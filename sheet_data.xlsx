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Ổ CHI TIẾT BÁN HÀNG" sheetId="1" r:id="rId5"/>
    <sheet state="visible" name="Đơn đặt" sheetId="2" r:id="rId6"/>
    <sheet state="visible" name="Sheet1" sheetId="3" r:id="rId7"/>
  </sheets>
  <definedNames>
    <definedName hidden="1" localSheetId="0" name="_xlnm._FilterDatabase">'SỔ CHI TIẾT BÁN HÀNG'!$A$4:$W$1113</definedName>
    <definedName hidden="1" localSheetId="1" name="_xlnm._FilterDatabase">'Đơn đặt'!$A$3:$P$324</definedName>
  </definedNames>
  <calcPr/>
</workbook>
</file>

<file path=xl/sharedStrings.xml><?xml version="1.0" encoding="utf-8"?>
<sst xmlns="http://schemas.openxmlformats.org/spreadsheetml/2006/main" count="9656" uniqueCount="1644">
  <si>
    <t>Túi PE 85x70cm</t>
  </si>
  <si>
    <t>TP-PE00006</t>
  </si>
  <si>
    <t xml:space="preserve">TÚI PE 54*92CM                                                                                                                  </t>
  </si>
  <si>
    <t>TP-PE00001</t>
  </si>
  <si>
    <t xml:space="preserve">TÚI PE 52*100CM                                                                                                                 </t>
  </si>
  <si>
    <t>NHÃN DU LỊCH đỏ BM</t>
  </si>
  <si>
    <t>HH-NT00013</t>
  </si>
  <si>
    <t>NHÃN HÒA BÌNH BM</t>
  </si>
  <si>
    <t>Khách hàng</t>
  </si>
  <si>
    <t>HH-NT00011</t>
  </si>
  <si>
    <t>Tút ĐÀ LẠT KĐL</t>
  </si>
  <si>
    <t>HH-CT00112</t>
  </si>
  <si>
    <t>Ngày đặt</t>
  </si>
  <si>
    <t>Thùng carton COTAB BC-TĐ</t>
  </si>
  <si>
    <t>HH-CT00036</t>
  </si>
  <si>
    <t>BÁN RA</t>
  </si>
  <si>
    <t>Thùng carton ĐÀ LẠT Xanh BC-TĐ</t>
  </si>
  <si>
    <t>HH-CT00081</t>
  </si>
  <si>
    <t>Đơn đặt hàng khách hàng</t>
  </si>
  <si>
    <t>Thùng carton DU LỊCH Đỏ BM-TĐ</t>
  </si>
  <si>
    <t>Đơn đặt hàng AVP</t>
  </si>
  <si>
    <t>HH-CT00028</t>
  </si>
  <si>
    <t>Mã hàng</t>
  </si>
  <si>
    <t>Tên hàng</t>
  </si>
  <si>
    <t>Số lượng PO</t>
  </si>
  <si>
    <t>Thùng carton FASOL BM-TĐ</t>
  </si>
  <si>
    <t>HH-CT00038</t>
  </si>
  <si>
    <t>+-10% theo PO</t>
  </si>
  <si>
    <t>Thùng carton FASOL Vàng BC-TĐ</t>
  </si>
  <si>
    <t>HH-CT00089</t>
  </si>
  <si>
    <t>SL giao hoàn thành</t>
  </si>
  <si>
    <t>CL</t>
  </si>
  <si>
    <t xml:space="preserve">% CHÊNH LỆCH </t>
  </si>
  <si>
    <t>Mua AVP</t>
  </si>
  <si>
    <t>Thùng carton HÒA BÌNH BM-TĐ</t>
  </si>
  <si>
    <t>HH-CT00006</t>
  </si>
  <si>
    <t>Thùng carton HÒA BÌNH BC-TĐ</t>
  </si>
  <si>
    <t>Quốc Đại</t>
  </si>
  <si>
    <t>HH-CT00005</t>
  </si>
  <si>
    <t>MUA HÀNG AVP</t>
  </si>
  <si>
    <t>Thùng carton MELIA Ment BC-TĐ</t>
  </si>
  <si>
    <t>HH-CT00078</t>
  </si>
  <si>
    <t>Hàng thanh lý - ko DDH</t>
  </si>
  <si>
    <t>Thùng carton SÀI GÒN Xanh BC- TĐ</t>
  </si>
  <si>
    <t>HH-CT00133</t>
  </si>
  <si>
    <t>Thùng carton GREENHILL 100SP FF</t>
  </si>
  <si>
    <t>Ngày hóa đơn</t>
  </si>
  <si>
    <t>Thùng carton SAIGON Silver DS-TĐ</t>
  </si>
  <si>
    <t>HH-CT00007</t>
  </si>
  <si>
    <t>Thùng carton SAIGON Silver DS-B-TĐ</t>
  </si>
  <si>
    <t>HH-CT00008</t>
  </si>
  <si>
    <t>Số hóa đơn</t>
  </si>
  <si>
    <t xml:space="preserve">Tên hàng trên chứng từ </t>
  </si>
  <si>
    <t>Thùng carton SÀI GÒN Vàng BC-TĐ</t>
  </si>
  <si>
    <t>Tên khách hàng</t>
  </si>
  <si>
    <t>HH-CT00072</t>
  </si>
  <si>
    <t>ĐVT</t>
  </si>
  <si>
    <t>Tổng số lượng bán</t>
  </si>
  <si>
    <t>Thùng carton SAIGON SILVER CAPSULE DS BC</t>
  </si>
  <si>
    <t>HH-CT00131</t>
  </si>
  <si>
    <t>Đơn giá</t>
  </si>
  <si>
    <t>Doanh số bán</t>
  </si>
  <si>
    <t>Thuế GTGT</t>
  </si>
  <si>
    <t>Tổng thanh toán</t>
  </si>
  <si>
    <t>DD khach</t>
  </si>
  <si>
    <t>Bắc Sơn</t>
  </si>
  <si>
    <t>Số đơn đặt hàng mua TS-AVP</t>
  </si>
  <si>
    <t>Tổng số lượng mua</t>
  </si>
  <si>
    <t>00000006</t>
  </si>
  <si>
    <t>26/YFY/01</t>
  </si>
  <si>
    <t>CÔNG TY TNHH MỘT THÀNH VIÊN THUỐC LÁ SÀI GÒN</t>
  </si>
  <si>
    <t>Cái</t>
  </si>
  <si>
    <t>HH-CT00149</t>
  </si>
  <si>
    <t>Thùng V5 (Red-XK) C5-15</t>
  </si>
  <si>
    <t>11-10-TS137-2025/TS-AVP/ĐĐHHH-CT00007</t>
  </si>
  <si>
    <t>00000009</t>
  </si>
  <si>
    <t>00000007</t>
  </si>
  <si>
    <t>HH-CT00064</t>
  </si>
  <si>
    <t>Thùng carton GREENHILL 100SP MENTHOL</t>
  </si>
  <si>
    <t>12-09-TS149-2025/TS-AVP/ĐĐHHH-CT00064</t>
  </si>
  <si>
    <t>ok</t>
  </si>
  <si>
    <t>151a</t>
  </si>
  <si>
    <t>26/TB/01</t>
  </si>
  <si>
    <t>HH-NT00038</t>
  </si>
  <si>
    <t>Nhãn BlueSky (Red-XK)</t>
  </si>
  <si>
    <t>00000017</t>
  </si>
  <si>
    <t>00000008</t>
  </si>
  <si>
    <t>12-01-TS03-2026/TS-AVP/ĐĐHHH-CT00078</t>
  </si>
  <si>
    <t>HH-NT00039</t>
  </si>
  <si>
    <t>Nhãn V5 (Red-XK)</t>
  </si>
  <si>
    <t>00000024</t>
  </si>
  <si>
    <t>00000010</t>
  </si>
  <si>
    <t>TP-LG00003-BT</t>
  </si>
  <si>
    <t>Lưỡi gà trắng 95 - LGT95/TS-BT 95mm x 800m x 210gsm, 15.96kg/cuộn</t>
  </si>
  <si>
    <t>CÔNG TY TNHH MỘT THÀNH VIÊN THUỐC LÁ BẾN TRE</t>
  </si>
  <si>
    <t>Cuộn</t>
  </si>
  <si>
    <t>13-12/2025Hàng SXTP-LG00003-BT</t>
  </si>
  <si>
    <t>26/YFY/02</t>
  </si>
  <si>
    <t>Hàng SX</t>
  </si>
  <si>
    <t>HH-CT00150</t>
  </si>
  <si>
    <t>Thùng Laguna (Red-XK) C5-16</t>
  </si>
  <si>
    <t>00000011</t>
  </si>
  <si>
    <t>232a</t>
  </si>
  <si>
    <t>26/TB/02</t>
  </si>
  <si>
    <t>00000016</t>
  </si>
  <si>
    <t>Thùng carton SAIGON Silver Capsule DS BC</t>
  </si>
  <si>
    <t>11-10-TS02-2026/TS-AVP/ĐĐHHH-CT00131</t>
  </si>
  <si>
    <t>00000034</t>
  </si>
  <si>
    <t>HH-NT00040</t>
  </si>
  <si>
    <t>Nhãn Laguna (Red-XK)</t>
  </si>
  <si>
    <t>TP-LG00008-SG</t>
  </si>
  <si>
    <t>Giấy lưỡi gà trắng - LGT90-TS 90mm x 800m x 250gsm (PO 11/08/TSC-LT - 156 cuộn)</t>
  </si>
  <si>
    <t>kg</t>
  </si>
  <si>
    <t>11/08/TSC-LTHàng SXTP-LG00008-SG</t>
  </si>
  <si>
    <t>26/TB/03</t>
  </si>
  <si>
    <t>00000019</t>
  </si>
  <si>
    <t>00000036</t>
  </si>
  <si>
    <t>301a</t>
  </si>
  <si>
    <t>26/YFY/03</t>
  </si>
  <si>
    <t>HH-CT00025</t>
  </si>
  <si>
    <t>Thùng carton ERA Premium - OD</t>
  </si>
  <si>
    <t>11-04-TS01-2026/TS-AVP/ĐĐHHH-CT00025</t>
  </si>
  <si>
    <t>00000020</t>
  </si>
  <si>
    <t>Thanh Hoá</t>
  </si>
  <si>
    <t>01/TS/26</t>
  </si>
  <si>
    <t>TP-LG00004-TH</t>
  </si>
  <si>
    <t>Lưỡi gà trắng 95mm x 800m x 230 (±3%) gsm (LGTTS-002)</t>
  </si>
  <si>
    <t>00000037</t>
  </si>
  <si>
    <t>00000021</t>
  </si>
  <si>
    <t>00000044</t>
  </si>
  <si>
    <t>00000022</t>
  </si>
  <si>
    <t>02/TS/26</t>
  </si>
  <si>
    <t>00000043</t>
  </si>
  <si>
    <t>00000023</t>
  </si>
  <si>
    <t>02-01/2026Hàng SXTP-LG00003-BT</t>
  </si>
  <si>
    <t>03/TS/26</t>
  </si>
  <si>
    <t>Túi PE 85 x 70 cm</t>
  </si>
  <si>
    <t>12-38/TS-LP150-2025/TS-AVP/ĐĐHTP-PE00006</t>
  </si>
  <si>
    <t>00000046</t>
  </si>
  <si>
    <t>04/TS/26</t>
  </si>
  <si>
    <t>TP-PE00004</t>
  </si>
  <si>
    <t>Túi PE 52 x 100 cm</t>
  </si>
  <si>
    <t>12-38/TS-LP150-2025/TS-AVP/ĐĐHTP-PE00004</t>
  </si>
  <si>
    <t>00000038</t>
  </si>
  <si>
    <t>Thăng Long</t>
  </si>
  <si>
    <t>TP-LG00003-TL</t>
  </si>
  <si>
    <t>Lưỡi gà trắng 95mm x 800m x 210 (±3%) gsm (LGTPS-002)</t>
  </si>
  <si>
    <t>00000052</t>
  </si>
  <si>
    <t>TP-LG00002</t>
  </si>
  <si>
    <t>Lưỡi gà trắng 71mm x 800m x 210 (±3%) gsm (LGTPS-002)</t>
  </si>
  <si>
    <t>00000039</t>
  </si>
  <si>
    <t>00000049</t>
  </si>
  <si>
    <t>00000040</t>
  </si>
  <si>
    <t>00000055</t>
  </si>
  <si>
    <t>00000041</t>
  </si>
  <si>
    <t>TP-LG00004-TL</t>
  </si>
  <si>
    <t>Lưỡi gà trắng 91mm x 800m x 210 (±3%) gsm (LGTPS-002)</t>
  </si>
  <si>
    <t>00000056</t>
  </si>
  <si>
    <t>00000042</t>
  </si>
  <si>
    <t>00000067</t>
  </si>
  <si>
    <t>00000057</t>
  </si>
  <si>
    <t>11-10-TS02-2026/TS-AVP/ĐĐHHH-CT00036</t>
  </si>
  <si>
    <t>00000076</t>
  </si>
  <si>
    <t>00000058</t>
  </si>
  <si>
    <t>Túi PE 54 x 92 cm</t>
  </si>
  <si>
    <t>12-38/TS-LP150-2025/TS-AVP/ĐĐHTP-PE00001</t>
  </si>
  <si>
    <t>TP-LG00005</t>
  </si>
  <si>
    <t>Lưỡi gà trắng 83mm x 800m x 210 (±3%) gsm (LGTPS-002)</t>
  </si>
  <si>
    <t>00000077</t>
  </si>
  <si>
    <t>00000059</t>
  </si>
  <si>
    <t>00000075</t>
  </si>
  <si>
    <t>00000060</t>
  </si>
  <si>
    <t>00000086</t>
  </si>
  <si>
    <t>TP-LG00005-TL</t>
  </si>
  <si>
    <t>Lưỡi gà trắng 96.5mm x 800m x 210 (±3%) gsm (LGTPS-002)</t>
  </si>
  <si>
    <t>00000061</t>
  </si>
  <si>
    <t>26/THP/01</t>
  </si>
  <si>
    <t>00000085</t>
  </si>
  <si>
    <t>HH-CT00037</t>
  </si>
  <si>
    <t>Thùng carton C48 5 lớp 15kg</t>
  </si>
  <si>
    <t>00000062</t>
  </si>
  <si>
    <t>00000087</t>
  </si>
  <si>
    <t>26/THP/02</t>
  </si>
  <si>
    <t>00000073</t>
  </si>
  <si>
    <t>CÔNG TY TNHH THƯƠNG MẠI VÀ ĐẦU TƯ QUỐC ĐẠI</t>
  </si>
  <si>
    <t>00000074</t>
  </si>
  <si>
    <t>Sài gòn</t>
  </si>
  <si>
    <t>11/08/TSC-LT</t>
  </si>
  <si>
    <t xml:space="preserve">Giấy lưỡi gà trắng - LGT90-TS 90mm x 800m x 250gsm </t>
  </si>
  <si>
    <t>00000109</t>
  </si>
  <si>
    <t>00000108</t>
  </si>
  <si>
    <t>11-10-TS</t>
  </si>
  <si>
    <t>136-2025/TS-AVP/ĐĐH</t>
  </si>
  <si>
    <t>00000111</t>
  </si>
  <si>
    <t>137-2025/TS-AVP/ĐĐH</t>
  </si>
  <si>
    <t>12-01-TS03-2026/TS-AVP/ĐĐHHH-CT00006</t>
  </si>
  <si>
    <t>HH-CT00095</t>
  </si>
  <si>
    <t>Thùng carton GOLD SEAL 20 Ment (C)</t>
  </si>
  <si>
    <t>01-03-TS06-2026/TS-AVP/ĐĐHHH-CT00095</t>
  </si>
  <si>
    <t>00000110</t>
  </si>
  <si>
    <t>12-01-TS</t>
  </si>
  <si>
    <t>146-2025/TS-AVP/ĐĐH</t>
  </si>
  <si>
    <t>00000092</t>
  </si>
  <si>
    <t>12-09-TS</t>
  </si>
  <si>
    <t>149-2025/TS-AVP/ĐĐH</t>
  </si>
  <si>
    <t>00000127</t>
  </si>
  <si>
    <t>HH-CT00031</t>
  </si>
  <si>
    <t>Thùng carton ERA BLACK MENTHOL</t>
  </si>
  <si>
    <t>11-04-TS01-2026/TS-AVP/ĐĐHHH-CT00031</t>
  </si>
  <si>
    <t>12-38/TS-LP</t>
  </si>
  <si>
    <t>150-2025/TS-AVP/ĐĐH</t>
  </si>
  <si>
    <t>Túi PE 52*100cm</t>
  </si>
  <si>
    <t>00000093</t>
  </si>
  <si>
    <t>00000128</t>
  </si>
  <si>
    <t>Túi PE 85 x 70cm</t>
  </si>
  <si>
    <t>Túi PE 54*92cm</t>
  </si>
  <si>
    <t>00000094</t>
  </si>
  <si>
    <t>11-04-TS</t>
  </si>
  <si>
    <t>01-2026/TS-AVP/ĐĐH</t>
  </si>
  <si>
    <t>00000126</t>
  </si>
  <si>
    <t>11-10-TS137-2025/TS-AVP/ĐĐHHH-CT00008</t>
  </si>
  <si>
    <t>00000095</t>
  </si>
  <si>
    <t>HH-CT00054</t>
  </si>
  <si>
    <t>Thùng carton ERA FF - OD</t>
  </si>
  <si>
    <t>00000136</t>
  </si>
  <si>
    <t>02-2026/TS-AVP/ĐĐH</t>
  </si>
  <si>
    <t>00000096</t>
  </si>
  <si>
    <t>00000134</t>
  </si>
  <si>
    <t>01-02-TS04-2026/TS-AVP/ĐĐHHH-CT00025</t>
  </si>
  <si>
    <t>00000097</t>
  </si>
  <si>
    <t>11-10-TS136-2025/TS-AVP/ĐĐHHH-CT00072</t>
  </si>
  <si>
    <t>03-2026/TS-AVP/ĐĐH</t>
  </si>
  <si>
    <t>00000135</t>
  </si>
  <si>
    <t>12-01-TS146-2025/TS-AVP/ĐĐHHH-CT00072</t>
  </si>
  <si>
    <t>00000098</t>
  </si>
  <si>
    <t>00000099</t>
  </si>
  <si>
    <t>00000151</t>
  </si>
  <si>
    <t>00000100</t>
  </si>
  <si>
    <t>00000150</t>
  </si>
  <si>
    <t>11-10-TS02-2026/TS-AVP/ĐĐHHH-CT00005</t>
  </si>
  <si>
    <t>01-06-TS08-2026/TS-AVP/ĐĐHHH-CT00095</t>
  </si>
  <si>
    <t>00000101</t>
  </si>
  <si>
    <t>CÔNG TY TNHH MỘT THÀNH VIÊN THUỐC LÁ THANH HOÁ</t>
  </si>
  <si>
    <t>01/TS/26Hàng SXTP-LG00004-TH</t>
  </si>
  <si>
    <t>HH-CT00075</t>
  </si>
  <si>
    <t>Thùng carton FASOL Nâu BC-TĐ</t>
  </si>
  <si>
    <t>00000102</t>
  </si>
  <si>
    <t>HH-CT00083</t>
  </si>
  <si>
    <t>CÔNG TY TNHH MỘT THÀNH VIÊN THUỐC LÁ THĂNG LONG</t>
  </si>
  <si>
    <t>Thùng carton Era Ment BC-TĐ</t>
  </si>
  <si>
    <t>82Hàng SXTP-LG00003-TL</t>
  </si>
  <si>
    <t>82Hàng SXTP-LG00002</t>
  </si>
  <si>
    <t>01-02-TS</t>
  </si>
  <si>
    <t>04-2026/TS-AVP/ĐĐH</t>
  </si>
  <si>
    <t>00000163</t>
  </si>
  <si>
    <t>05-2026/TS-AVP/ĐĐH</t>
  </si>
  <si>
    <t>145-2025/TS-AVP/ĐĐH</t>
  </si>
  <si>
    <t>00000162</t>
  </si>
  <si>
    <t>01-03-TS</t>
  </si>
  <si>
    <t>06-2026/TS-AVP/ĐĐH</t>
  </si>
  <si>
    <t>Thùng carton GOLD SEAL 20s Menthol (C)</t>
  </si>
  <si>
    <t>00000115</t>
  </si>
  <si>
    <t>01-04-TS</t>
  </si>
  <si>
    <t>07-2026/TS-AVP/ĐĐH</t>
  </si>
  <si>
    <t>00000116</t>
  </si>
  <si>
    <t>00000167</t>
  </si>
  <si>
    <t>HH-CT00046</t>
  </si>
  <si>
    <t>Thùng carton Era Menthol - OD</t>
  </si>
  <si>
    <t>00000117</t>
  </si>
  <si>
    <t>12-01-TS09-2026/TS-AVP/ĐĐHHH-CT00007</t>
  </si>
  <si>
    <t>00000169</t>
  </si>
  <si>
    <t>00000168</t>
  </si>
  <si>
    <t>HH-CT00061</t>
  </si>
  <si>
    <t>Thùng carton ERA ICE PLUS RC</t>
  </si>
  <si>
    <t>00000124</t>
  </si>
  <si>
    <t>HH-CT00103</t>
  </si>
  <si>
    <t>Thùng carton MEMORY Classic RC</t>
  </si>
  <si>
    <t>00000125</t>
  </si>
  <si>
    <t>00000184</t>
  </si>
  <si>
    <t>HH-CT00104</t>
  </si>
  <si>
    <t>Thùng carton MEMORY Menthol RC</t>
  </si>
  <si>
    <t>00000185</t>
  </si>
  <si>
    <t>00000182</t>
  </si>
  <si>
    <t>01/09/TSC-LT</t>
  </si>
  <si>
    <t>00000183</t>
  </si>
  <si>
    <t>01-06-TS</t>
  </si>
  <si>
    <t>08-2026/TS-AVP/ĐĐH</t>
  </si>
  <si>
    <t>09-2026/TS-AVP/ĐĐH</t>
  </si>
  <si>
    <t>00000186</t>
  </si>
  <si>
    <t>00000138</t>
  </si>
  <si>
    <t>00000199</t>
  </si>
  <si>
    <t>12-01-TS03-2026/TS-AVP/ĐĐHHH-CT00036</t>
  </si>
  <si>
    <t>01-04-TS07-2026/TS-AVP/ĐĐHHH-CT00104</t>
  </si>
  <si>
    <t>01-18/TS-LP</t>
  </si>
  <si>
    <t>10-2026/TS-AVP/ĐĐH</t>
  </si>
  <si>
    <t>TP-PE00009</t>
  </si>
  <si>
    <t>Túi PE 58 x 102cm</t>
  </si>
  <si>
    <t>00000139</t>
  </si>
  <si>
    <t>00000197</t>
  </si>
  <si>
    <t>TP-PE00002</t>
  </si>
  <si>
    <t>Túi PE 56*100cm</t>
  </si>
  <si>
    <t>01-14-TS</t>
  </si>
  <si>
    <t>11-2026/TS-AVP/ĐĐH</t>
  </si>
  <si>
    <t>01-04-TS07-2026/TS-AVP/ĐĐHHH-CT00103</t>
  </si>
  <si>
    <t>00000140</t>
  </si>
  <si>
    <t>12-01-TS05-2026/TS-AVP/ĐĐHHH-CT00007</t>
  </si>
  <si>
    <t>00000196</t>
  </si>
  <si>
    <t>00000198</t>
  </si>
  <si>
    <t>00000143</t>
  </si>
  <si>
    <t>HH-CT00063</t>
  </si>
  <si>
    <t>Thùng carton MELIA Tím</t>
  </si>
  <si>
    <t>00000210</t>
  </si>
  <si>
    <t>12-2026/TS-AVP/ĐĐH</t>
  </si>
  <si>
    <t>12-01-TS03-2026/TS-AVP/ĐĐHHH-CT00131</t>
  </si>
  <si>
    <t>00000144</t>
  </si>
  <si>
    <t>00000211</t>
  </si>
  <si>
    <t>HH-CT00027</t>
  </si>
  <si>
    <t>Thùng carton DU LỊCH MENT BM-TĐ</t>
  </si>
  <si>
    <t>12-01-TS03-2026/TS-AVP/ĐĐHHH-CT00005</t>
  </si>
  <si>
    <t>00000145</t>
  </si>
  <si>
    <t>00000208</t>
  </si>
  <si>
    <t>00000209</t>
  </si>
  <si>
    <t>01-13-TS16-2026/TS-AVP/ĐĐHHH-CT00064</t>
  </si>
  <si>
    <t>00000153</t>
  </si>
  <si>
    <t>00000222</t>
  </si>
  <si>
    <t>00000221</t>
  </si>
  <si>
    <t>00000154</t>
  </si>
  <si>
    <t>00000224</t>
  </si>
  <si>
    <t>00000155</t>
  </si>
  <si>
    <t>HH-CT00077</t>
  </si>
  <si>
    <t>Thùng carton VITAB Vàng BC- TĐ</t>
  </si>
  <si>
    <t>01-14-TS13-2026/TS-AVP/ĐĐHHH-CT00072</t>
  </si>
  <si>
    <t>00000223</t>
  </si>
  <si>
    <t>00000164</t>
  </si>
  <si>
    <t>00000239</t>
  </si>
  <si>
    <t>00000165</t>
  </si>
  <si>
    <t>00000237</t>
  </si>
  <si>
    <t>00000166</t>
  </si>
  <si>
    <t>13-2026/TS-AVP/ĐĐH</t>
  </si>
  <si>
    <t>02-07/TS-LP</t>
  </si>
  <si>
    <t>14-2026/TS-AVP/ĐĐH</t>
  </si>
  <si>
    <t>Túi PE 58 x 102 cm</t>
  </si>
  <si>
    <t>01-18/TS-LP10-2026/TS-AVP/ĐĐHTP-PE00009</t>
  </si>
  <si>
    <t>00000238</t>
  </si>
  <si>
    <t>HH-CT00111</t>
  </si>
  <si>
    <t>Tút Globe KĐL</t>
  </si>
  <si>
    <t>Túi PE 56 x 100 cm</t>
  </si>
  <si>
    <t>01-18/TS-LP10-2026/TS-AVP/ĐĐHTP-PE00002</t>
  </si>
  <si>
    <t>HH-CT00110</t>
  </si>
  <si>
    <t>Tút Mai Đỏ KĐL</t>
  </si>
  <si>
    <t>00000176</t>
  </si>
  <si>
    <t>00000249</t>
  </si>
  <si>
    <t>15-2026/TS-AVP/ĐĐH</t>
  </si>
  <si>
    <t>HH-NT00014</t>
  </si>
  <si>
    <t>Nhãn DU Lịch Ment BM</t>
  </si>
  <si>
    <t>00000248</t>
  </si>
  <si>
    <t>00000177</t>
  </si>
  <si>
    <t>00000251</t>
  </si>
  <si>
    <t>Nhãn DU Lịch đỏ BM</t>
  </si>
  <si>
    <t>00000178</t>
  </si>
  <si>
    <t>00000250</t>
  </si>
  <si>
    <t>Nhãn Hòa Bình BM</t>
  </si>
  <si>
    <t>01-13-TS</t>
  </si>
  <si>
    <t>16-2026/TS-AVP/ĐĐH</t>
  </si>
  <si>
    <t xml:space="preserve">Thùng carton GreenHILL 100SP MENTHOL </t>
  </si>
  <si>
    <t>00000187</t>
  </si>
  <si>
    <t>02/TS/26Hàng SXTP-LG00004-TH</t>
  </si>
  <si>
    <t>02-10/TS-LP</t>
  </si>
  <si>
    <t>17-2026/TS-AVP/ĐĐH</t>
  </si>
  <si>
    <t>00000188</t>
  </si>
  <si>
    <t>00000256</t>
  </si>
  <si>
    <t>Thùng carton Du lịch đỏ BM-TĐ</t>
  </si>
  <si>
    <t>01-14-TS12-2026/TS-AVP/ĐĐHHH-CT00028</t>
  </si>
  <si>
    <t>02-19/TS-LP</t>
  </si>
  <si>
    <t>18-2026/TS-AVP/ĐĐH</t>
  </si>
  <si>
    <t>Thùng carton Du lịch Ment BM-TĐ</t>
  </si>
  <si>
    <t>01-14-TS12-2026/TS-AVP/ĐĐHHH-CT00027</t>
  </si>
  <si>
    <t>19-2026/TS-AVP/ĐĐH</t>
  </si>
  <si>
    <t>00000189</t>
  </si>
  <si>
    <t>00000255</t>
  </si>
  <si>
    <t>Thùng carton ERA Ment BC-TĐ</t>
  </si>
  <si>
    <t>12-01-TS03-2026/TS-AVP/ĐĐHHH-CT00083</t>
  </si>
  <si>
    <t>00000190</t>
  </si>
  <si>
    <t>00000254</t>
  </si>
  <si>
    <t>12-01-TS05-2026/TS-AVP/ĐĐHHH-CT00008</t>
  </si>
  <si>
    <t>02-01-TS</t>
  </si>
  <si>
    <t>20-2026/TS-AVP/ĐĐH</t>
  </si>
  <si>
    <t>HH-CT00011</t>
  </si>
  <si>
    <t>Thùng carton ERA tiger Tím BC</t>
  </si>
  <si>
    <t>00000269+264</t>
  </si>
  <si>
    <t>02-03-TS</t>
  </si>
  <si>
    <t>21-2026/TS-AVP/ĐĐH</t>
  </si>
  <si>
    <t>12-01-TS09-2026/TS-AVP/ĐĐHHH-CT00008</t>
  </si>
  <si>
    <t>00000269</t>
  </si>
  <si>
    <t>00000270</t>
  </si>
  <si>
    <t>00000271</t>
  </si>
  <si>
    <t>00000281</t>
  </si>
  <si>
    <t>00000200</t>
  </si>
  <si>
    <t>09-01/2026Hàng SXTP-LG00003-BT</t>
  </si>
  <si>
    <t>00000201</t>
  </si>
  <si>
    <t>00000282</t>
  </si>
  <si>
    <t>01-14-TS11-2026/TS-AVP/ĐĐHHH-CT00063</t>
  </si>
  <si>
    <t>HH-CT00073</t>
  </si>
  <si>
    <t>Thùng carton ERA Đỏ BC-TĐ</t>
  </si>
  <si>
    <t>00000202</t>
  </si>
  <si>
    <t>00000203</t>
  </si>
  <si>
    <t>02-10/TS-LP17-2026/TS-AVP/ĐĐHTP-PE00002</t>
  </si>
  <si>
    <t>00000280</t>
  </si>
  <si>
    <t>00000204</t>
  </si>
  <si>
    <t>HH-CT00009</t>
  </si>
  <si>
    <t>Thùng carton SAIGON SPECIAL</t>
  </si>
  <si>
    <t>00000286</t>
  </si>
  <si>
    <t>00000205</t>
  </si>
  <si>
    <t>00000284</t>
  </si>
  <si>
    <t>HH-CT00091</t>
  </si>
  <si>
    <t>Thùng carton SÀI GÒN Xanh BC-TĐ</t>
  </si>
  <si>
    <t>00000206</t>
  </si>
  <si>
    <t>01-14-TS12-2026/TS-AVP/ĐĐHHH-CT00081</t>
  </si>
  <si>
    <t>00000285</t>
  </si>
  <si>
    <t>HH-CT00090</t>
  </si>
  <si>
    <t>Thùng carton ĐÀ LẠT đỏ BC-TĐ</t>
  </si>
  <si>
    <t>00000207</t>
  </si>
  <si>
    <t>00000291</t>
  </si>
  <si>
    <t>HH-CT00002</t>
  </si>
  <si>
    <t>Thùng carton ERA Tím BC</t>
  </si>
  <si>
    <t>HH-CT00013</t>
  </si>
  <si>
    <t>00000292</t>
  </si>
  <si>
    <t>Thùng carton SOUVENIR Tím</t>
  </si>
  <si>
    <t>HH-CT00003</t>
  </si>
  <si>
    <t>Thùng carton SOUVENIR NHŨ BC</t>
  </si>
  <si>
    <t>00000212</t>
  </si>
  <si>
    <t>22-2026/TS-AVP/ĐĐH</t>
  </si>
  <si>
    <t>00000213</t>
  </si>
  <si>
    <t>00000300</t>
  </si>
  <si>
    <t>00000214</t>
  </si>
  <si>
    <t>00000299</t>
  </si>
  <si>
    <t>HH-CT00052</t>
  </si>
  <si>
    <t>Thùng carton SAIGON Virginia BC-RC</t>
  </si>
  <si>
    <t>00000215</t>
  </si>
  <si>
    <t>00000298+297</t>
  </si>
  <si>
    <t>23-2026/TS-AVP/ĐĐH</t>
  </si>
  <si>
    <t>00000297+300</t>
  </si>
  <si>
    <t>02-32/TS-LP</t>
  </si>
  <si>
    <t>24-2026/TS-AVP/ĐĐH</t>
  </si>
  <si>
    <t>Giấy lưỡi gà trắng - LGT90-TS 90mm x 800m x 250gsm (PO 01/09/TSC-LT - 260 cuộn)</t>
  </si>
  <si>
    <t>01/09/TSC-LTHàng SXTP-LG00008-SG</t>
  </si>
  <si>
    <t>HH-NT00012</t>
  </si>
  <si>
    <t>00000308+307</t>
  </si>
  <si>
    <t>Nhãn Fasol BM</t>
  </si>
  <si>
    <t>00000307</t>
  </si>
  <si>
    <t>00000225</t>
  </si>
  <si>
    <t>01-04-TS07-2026/TS-AVP/ĐĐHHH-CT00031</t>
  </si>
  <si>
    <t>00000306</t>
  </si>
  <si>
    <t>02-38/TS-LP</t>
  </si>
  <si>
    <t>25-2026/TS-AVP/ĐĐH</t>
  </si>
  <si>
    <t>TP-PE00005</t>
  </si>
  <si>
    <t>Túi PE 88x98cm</t>
  </si>
  <si>
    <t>00000229</t>
  </si>
  <si>
    <t>00000319</t>
  </si>
  <si>
    <t>02-10-TS</t>
  </si>
  <si>
    <t>26-2026/TS-AVP/ĐĐH</t>
  </si>
  <si>
    <t>Thùng carton VITAB Vàng BC-TĐ</t>
  </si>
  <si>
    <t>01-14-TS12-2026/TS-AVP/ĐĐHHH-CT00077</t>
  </si>
  <si>
    <t>02-45/TS-LP</t>
  </si>
  <si>
    <t>27-2026/TS-AVP/ĐĐH</t>
  </si>
  <si>
    <t>00000230</t>
  </si>
  <si>
    <t>00000317</t>
  </si>
  <si>
    <t>00000231</t>
  </si>
  <si>
    <t>00000318</t>
  </si>
  <si>
    <t>02-11-TS</t>
  </si>
  <si>
    <t>28-2026/TS-AVP/ĐĐH</t>
  </si>
  <si>
    <t>11-04-TS01-2026/TS-AVP/ĐĐHHH-CT00054</t>
  </si>
  <si>
    <t>00000232</t>
  </si>
  <si>
    <t>00000324</t>
  </si>
  <si>
    <t>00000233</t>
  </si>
  <si>
    <t>00000323</t>
  </si>
  <si>
    <t>00000242</t>
  </si>
  <si>
    <t>00000342</t>
  </si>
  <si>
    <t>02-12-TS</t>
  </si>
  <si>
    <t>29-2026/TS-AVP/ĐĐH</t>
  </si>
  <si>
    <t>00000243</t>
  </si>
  <si>
    <t>00000341</t>
  </si>
  <si>
    <t>2/10/TSC-LT</t>
  </si>
  <si>
    <t>02-49/TS-LP</t>
  </si>
  <si>
    <t>30-2026/TS-AVP/ĐĐH</t>
  </si>
  <si>
    <t>00000244</t>
  </si>
  <si>
    <t>Túi PE 88 x 98 cm</t>
  </si>
  <si>
    <t>02-38/TS-LP25-2026/TS-AVP/ĐĐHTP-PE00005</t>
  </si>
  <si>
    <t>00000340</t>
  </si>
  <si>
    <t>02-19/TS-LP19-2026/TS-AVP/ĐĐHTP-PE00006</t>
  </si>
  <si>
    <t>03-03-TS</t>
  </si>
  <si>
    <t>33-2026/TS-AVP/ĐĐH</t>
  </si>
  <si>
    <t>HH-CT00132</t>
  </si>
  <si>
    <t>Thùng carton C48 - 14kg</t>
  </si>
  <si>
    <t>00000245</t>
  </si>
  <si>
    <t>00000339</t>
  </si>
  <si>
    <t>31-2026/TS-AVP/ĐĐH</t>
  </si>
  <si>
    <t>01-14-TS12-2026/TS-AVP/ĐĐHHH-CT00005</t>
  </si>
  <si>
    <t>02-03-TS21-2026/TS-AVP/ĐĐHHH-CT00006</t>
  </si>
  <si>
    <t>Nhãn Du lịch đỏ BM</t>
  </si>
  <si>
    <t>Tờ</t>
  </si>
  <si>
    <t>02-07/TS-LP15-2026/TS-AVP/ĐĐHHH-NT00013</t>
  </si>
  <si>
    <t>00000354</t>
  </si>
  <si>
    <t>03-03/TS-LP</t>
  </si>
  <si>
    <t>32-2026/TS-AVP/ĐĐH</t>
  </si>
  <si>
    <t>00000361</t>
  </si>
  <si>
    <t>Thùng carton ERA Tiger Tím BC</t>
  </si>
  <si>
    <t>02-01-TS20-2026/TS-AVP/ĐĐHHH-CT00011</t>
  </si>
  <si>
    <t>00000257</t>
  </si>
  <si>
    <t>00000360</t>
  </si>
  <si>
    <t>00000258</t>
  </si>
  <si>
    <t>03-06-TS (Mã chưa chạy)</t>
  </si>
  <si>
    <t>34-2026/TS-AVP/ĐĐH</t>
  </si>
  <si>
    <t>Thùng carton GOLD SEAL 10 Menthol (VEG)</t>
  </si>
  <si>
    <t>00000362</t>
  </si>
  <si>
    <t>02-10-TS26-2026/TS-AVP/ĐĐHHH-CT00095</t>
  </si>
  <si>
    <t>Thùng carton ERA Menthol – OD</t>
  </si>
  <si>
    <t>01-04-TS07-2026/TS-AVP/ĐĐHHH-CT00046</t>
  </si>
  <si>
    <t>03-09-TS</t>
  </si>
  <si>
    <t>35-2026/TS-AVP/ĐĐH</t>
  </si>
  <si>
    <t>03-12-TS</t>
  </si>
  <si>
    <t>36-2026/TS-AVP/ĐĐH</t>
  </si>
  <si>
    <t>00000259</t>
  </si>
  <si>
    <t>37-2026/TS-AVP/ĐĐH</t>
  </si>
  <si>
    <t>00000363</t>
  </si>
  <si>
    <t>00000261</t>
  </si>
  <si>
    <t>00000364</t>
  </si>
  <si>
    <t>38-2026/TS-AVP/ĐĐH</t>
  </si>
  <si>
    <t>00000365</t>
  </si>
  <si>
    <t>00000262</t>
  </si>
  <si>
    <t>00000366</t>
  </si>
  <si>
    <t>00000263</t>
  </si>
  <si>
    <t>128Hàng SXTP-LG00003-TL</t>
  </si>
  <si>
    <t>128Hàng SXTP-LG00002</t>
  </si>
  <si>
    <t>128Hàng SXTP-LG00004-TL</t>
  </si>
  <si>
    <t>00000264</t>
  </si>
  <si>
    <t>01-14-TS11-2026/TS-AVP/ĐĐHHH-CT00007</t>
  </si>
  <si>
    <t>00000367</t>
  </si>
  <si>
    <t>00000266</t>
  </si>
  <si>
    <t>00000373</t>
  </si>
  <si>
    <t>00000374</t>
  </si>
  <si>
    <t>00000267</t>
  </si>
  <si>
    <t>02-07/TS-LP15-2026/TS-AVP/ĐĐHHH-NT00011</t>
  </si>
  <si>
    <t>00000378</t>
  </si>
  <si>
    <t>Nhãn DU LỊCH Ment BM</t>
  </si>
  <si>
    <t>02-07/TS-LP15-2026/TS-AVP/ĐĐHHH-NT00014</t>
  </si>
  <si>
    <t>00000268</t>
  </si>
  <si>
    <t>00000377</t>
  </si>
  <si>
    <t>01-14-TS12-2026/TS-AVP/ĐĐHHH-CT00131</t>
  </si>
  <si>
    <t>00000376</t>
  </si>
  <si>
    <t>00000379</t>
  </si>
  <si>
    <t>00000276</t>
  </si>
  <si>
    <t>02-03-TS21-2026/TS-AVP/ĐĐHHH-CT00028</t>
  </si>
  <si>
    <t>00000397</t>
  </si>
  <si>
    <t>01-14-TS12-2026/TS-AVP/ĐĐHHH-CT00083</t>
  </si>
  <si>
    <t>Thùng carton ĐÀ LẠT Đỏ BC-TĐ</t>
  </si>
  <si>
    <t>02-03-TS21-2026/TS-AVP/ĐĐHHH-CT00090</t>
  </si>
  <si>
    <t>00000277</t>
  </si>
  <si>
    <t>02-19/TS-LP18-2026/TS-AVP/ĐĐHTP-PE00001</t>
  </si>
  <si>
    <t>00000400</t>
  </si>
  <si>
    <t>00000278</t>
  </si>
  <si>
    <t>HH-CT00055</t>
  </si>
  <si>
    <t>Thùng carton FASOL Trắng BC</t>
  </si>
  <si>
    <t>00000279</t>
  </si>
  <si>
    <t>01-14-TS12-2026/TS-AVP/ĐĐHHH-CT00036</t>
  </si>
  <si>
    <t>04-07/TS-LP</t>
  </si>
  <si>
    <t>39-2026/TS-AVP/ĐĐH</t>
  </si>
  <si>
    <t>00000396</t>
  </si>
  <si>
    <t>02-03-TS21-2026/TS-AVP/ĐĐHHH-CT00003</t>
  </si>
  <si>
    <t>01-14-TS12-2026/TS-AVP/ĐĐHHH-CT00006</t>
  </si>
  <si>
    <t>00000398</t>
  </si>
  <si>
    <t>40-2026/TS-AVP/ĐĐH</t>
  </si>
  <si>
    <t>00000399</t>
  </si>
  <si>
    <t>03-17-TS</t>
  </si>
  <si>
    <t>41-2026/TS-AVP/ĐĐH</t>
  </si>
  <si>
    <t>HH-CT00034-SG</t>
  </si>
  <si>
    <t>Thùng Carton C48 - 7.3kg</t>
  </si>
  <si>
    <t>00000287</t>
  </si>
  <si>
    <t>02-07/TS-LP14-2026/TS-AVP/ĐĐHHH-CT00112</t>
  </si>
  <si>
    <t>00000410</t>
  </si>
  <si>
    <t>03-18-TS</t>
  </si>
  <si>
    <t>42-2026/TS-AVP/ĐĐH</t>
  </si>
  <si>
    <t>Tút GLOBE KĐL</t>
  </si>
  <si>
    <t>02-07/TS-LP14-2026/TS-AVP/ĐĐHHH-CT00111</t>
  </si>
  <si>
    <t>02-07/TS-LP14-2026/TS-AVP/ĐĐHHH-CT00110</t>
  </si>
  <si>
    <t>00000288</t>
  </si>
  <si>
    <t>04-02-TS</t>
  </si>
  <si>
    <t>43-2026/TS-AVP/ĐĐH</t>
  </si>
  <si>
    <t>00000408</t>
  </si>
  <si>
    <t>01-14-TS11-2026/TS-AVP/ĐĐHHH-CT00008</t>
  </si>
  <si>
    <t>00000408+411</t>
  </si>
  <si>
    <t>04-23/TS-LP</t>
  </si>
  <si>
    <t>44-2026/TS-AVP/ĐĐH</t>
  </si>
  <si>
    <t>02-03-TS22-2026/TS-AVP/ĐĐHHH-CT00052</t>
  </si>
  <si>
    <t>02-12-TS29-2026/TS-AVP/ĐĐHHH-CT00064</t>
  </si>
  <si>
    <t>04-34/TS-LP</t>
  </si>
  <si>
    <t>45-2026/TS-AVP/ĐĐH</t>
  </si>
  <si>
    <t>00000289</t>
  </si>
  <si>
    <t>02-19/TS-LP19-2026/TS-AVP/ĐĐHTP-PE00001</t>
  </si>
  <si>
    <t>00000409</t>
  </si>
  <si>
    <t>05-07/TS-LP</t>
  </si>
  <si>
    <t>46-2026/TS-AVP/ĐĐH</t>
  </si>
  <si>
    <t>02-19/TS-LP19-2026/TS-AVP/ĐĐHTP-PE00004</t>
  </si>
  <si>
    <t>00000290</t>
  </si>
  <si>
    <t>04/06/TSC-LT</t>
  </si>
  <si>
    <t>00000413</t>
  </si>
  <si>
    <t>04-08-TS</t>
  </si>
  <si>
    <t>47-2026/TS-AVP/ĐĐH</t>
  </si>
  <si>
    <t>00000412+413</t>
  </si>
  <si>
    <t>00000412</t>
  </si>
  <si>
    <t>12-01-TS03-2026/TS-AVP/ĐĐHHH-CT00075</t>
  </si>
  <si>
    <t>00000293</t>
  </si>
  <si>
    <t>00000414</t>
  </si>
  <si>
    <t>02-03-TS21-2026/TS-AVP/ĐĐHHH-CT00089</t>
  </si>
  <si>
    <t>00000296</t>
  </si>
  <si>
    <t>00000421</t>
  </si>
  <si>
    <t>02-03-TS21-2026/TS-AVP/ĐĐHHH-CT00081</t>
  </si>
  <si>
    <t>00000297</t>
  </si>
  <si>
    <t>48-2026/TS-AVP/ĐĐH</t>
  </si>
  <si>
    <t>00000298</t>
  </si>
  <si>
    <t>02-03-TS21-2026/TS-AVP/ĐĐHHH-CT00002</t>
  </si>
  <si>
    <t>05-11/TS-LP</t>
  </si>
  <si>
    <t>49-2026/TS-AVP/ĐĐH</t>
  </si>
  <si>
    <t>02-03-TS21-2026/TS-AVP/ĐĐHHH-CT00013</t>
  </si>
  <si>
    <t>02-03-TS21-2026/TS-AVP/ĐĐHHH-CT00091</t>
  </si>
  <si>
    <t>00000420</t>
  </si>
  <si>
    <t>05-15/TS-LP</t>
  </si>
  <si>
    <t>50-2026/TS-AVP/ĐĐH</t>
  </si>
  <si>
    <t>02-45/TS-LP27-2026/TS-AVP/ĐĐHTP-PE00009</t>
  </si>
  <si>
    <t>00000422</t>
  </si>
  <si>
    <t>02-45/TS-LP27-2026/TS-AVP/ĐĐHTP-PE00002</t>
  </si>
  <si>
    <t>00000423</t>
  </si>
  <si>
    <t>00000308</t>
  </si>
  <si>
    <t>02-03-TS21-2026/TS-AVP/ĐĐHHH-CT00073</t>
  </si>
  <si>
    <t>00000424</t>
  </si>
  <si>
    <t>51-2026/TS-AVP/ĐĐH</t>
  </si>
  <si>
    <t>00000309</t>
  </si>
  <si>
    <t>00000425</t>
  </si>
  <si>
    <t>52-2026/TS-AVP/ĐĐH</t>
  </si>
  <si>
    <t>02-03-TS21-2026/TS-AVP/ĐĐHHH-CT00083</t>
  </si>
  <si>
    <t>00000310</t>
  </si>
  <si>
    <t>00000438</t>
  </si>
  <si>
    <t>00000311</t>
  </si>
  <si>
    <t>00000439</t>
  </si>
  <si>
    <t>02-03-TS21-2026/TS-AVP/ĐĐHHH-CT00077</t>
  </si>
  <si>
    <t>53-2026/TS-AVP/ĐĐH</t>
  </si>
  <si>
    <t>00000439+440</t>
  </si>
  <si>
    <t>00000312</t>
  </si>
  <si>
    <t>54-2026/TS-AVP/ĐĐH</t>
  </si>
  <si>
    <t>00000440</t>
  </si>
  <si>
    <t>00000313</t>
  </si>
  <si>
    <t>00000448</t>
  </si>
  <si>
    <t>02-03-TS21-2026/TS-AVP/ĐĐHHH-CT00075</t>
  </si>
  <si>
    <t>02-03-TS21-2026/TS-AVP/ĐĐHHH-CT00078</t>
  </si>
  <si>
    <t>00000314</t>
  </si>
  <si>
    <t>00000449</t>
  </si>
  <si>
    <t>02-03-TS21-2026/TS-AVP/ĐĐHHH-CT00005</t>
  </si>
  <si>
    <t>00000315</t>
  </si>
  <si>
    <t>55-2026/TS-AVP/ĐĐH</t>
  </si>
  <si>
    <t>00000446+447</t>
  </si>
  <si>
    <t>00000446</t>
  </si>
  <si>
    <t>00000316</t>
  </si>
  <si>
    <t>00000445</t>
  </si>
  <si>
    <t>00000455</t>
  </si>
  <si>
    <t>Thùng carton SAIGON Special</t>
  </si>
  <si>
    <t>56-2026/TS-AVP/ĐĐH</t>
  </si>
  <si>
    <t>02-03-TS21-2026/TS-AVP/ĐĐHHH-CT00009</t>
  </si>
  <si>
    <t>57-2026/TS-AVP/ĐĐH</t>
  </si>
  <si>
    <t>00000452</t>
  </si>
  <si>
    <t>02-32/TS-LP24-2026/TS-AVP/ĐĐHHH-NT00011</t>
  </si>
  <si>
    <t>00000454</t>
  </si>
  <si>
    <t>00000320</t>
  </si>
  <si>
    <t>00000451</t>
  </si>
  <si>
    <t>00000321</t>
  </si>
  <si>
    <t>00000453</t>
  </si>
  <si>
    <t>00000460</t>
  </si>
  <si>
    <t>00000462</t>
  </si>
  <si>
    <t>00000325</t>
  </si>
  <si>
    <t>02-03-TS21-2026/TS-AVP/ĐĐHHH-CT00038</t>
  </si>
  <si>
    <t>00000463</t>
  </si>
  <si>
    <t>01-04-TS07-2026/TS-AVP/ĐĐHHH-CT00054</t>
  </si>
  <si>
    <t>00000326</t>
  </si>
  <si>
    <t>00000461</t>
  </si>
  <si>
    <t>00000328</t>
  </si>
  <si>
    <t>00000472</t>
  </si>
  <si>
    <t>00000329</t>
  </si>
  <si>
    <t>00000473</t>
  </si>
  <si>
    <t>58-2026/TS-AVP/ĐĐH</t>
  </si>
  <si>
    <t>00000330</t>
  </si>
  <si>
    <t>00000471</t>
  </si>
  <si>
    <t>59-2026/TS-AVP/ĐĐH</t>
  </si>
  <si>
    <t>00000331</t>
  </si>
  <si>
    <t>00000470</t>
  </si>
  <si>
    <t>02-03-TS23-2026/TS-AVP/ĐĐHHH-CT00072</t>
  </si>
  <si>
    <t>00000337</t>
  </si>
  <si>
    <t>04-12-TS</t>
  </si>
  <si>
    <t>60-2026/TS-AVP/ĐĐH</t>
  </si>
  <si>
    <t>00000338</t>
  </si>
  <si>
    <t>05-01-TS</t>
  </si>
  <si>
    <t>61-2026/TS-AVP/ĐĐH</t>
  </si>
  <si>
    <t>00000480</t>
  </si>
  <si>
    <t>00000479</t>
  </si>
  <si>
    <t>05-02-TS</t>
  </si>
  <si>
    <t>62-2026/TS-AVP/ĐĐH</t>
  </si>
  <si>
    <t>00000344</t>
  </si>
  <si>
    <t>00000501</t>
  </si>
  <si>
    <t>00000345</t>
  </si>
  <si>
    <t>05-26/TS-LP</t>
  </si>
  <si>
    <t>00000502</t>
  </si>
  <si>
    <t>63-2026/TS-AVP/ĐĐH</t>
  </si>
  <si>
    <t>02-11-TS28-2026/TS-AVP/ĐĐHHH-CT00103</t>
  </si>
  <si>
    <t>00000346</t>
  </si>
  <si>
    <t>00000510</t>
  </si>
  <si>
    <t>05/09/TSC-LT</t>
  </si>
  <si>
    <t>00000347</t>
  </si>
  <si>
    <t>00000508</t>
  </si>
  <si>
    <t>05-06-TS</t>
  </si>
  <si>
    <t>64-2026/TS-AVP/ĐĐH</t>
  </si>
  <si>
    <t>00000348</t>
  </si>
  <si>
    <t>00000511</t>
  </si>
  <si>
    <t>05-07-TS</t>
  </si>
  <si>
    <t>65-2026/TS-AVP/ĐĐH</t>
  </si>
  <si>
    <t>00000349</t>
  </si>
  <si>
    <t>02-32/TS-LP24-2026/TS-AVP/ĐĐHHH-NT00013</t>
  </si>
  <si>
    <t>00000509</t>
  </si>
  <si>
    <t>02-32/TS-LP24-2026/TS-AVP/ĐĐHHH-NT00012</t>
  </si>
  <si>
    <t>00000518</t>
  </si>
  <si>
    <t>00000355</t>
  </si>
  <si>
    <t>06-07/TS-LP</t>
  </si>
  <si>
    <t>00000519</t>
  </si>
  <si>
    <t>66-2026/TS-AVP/ĐĐH</t>
  </si>
  <si>
    <t>00000359</t>
  </si>
  <si>
    <t>00000529</t>
  </si>
  <si>
    <t>00000530</t>
  </si>
  <si>
    <t>05-08-TS</t>
  </si>
  <si>
    <t>67-2026/TS-AVP/ĐĐH</t>
  </si>
  <si>
    <t>00000553</t>
  </si>
  <si>
    <t>05-09-TS</t>
  </si>
  <si>
    <t>68-2026/TS-AVP/ĐĐH</t>
  </si>
  <si>
    <t>00000551</t>
  </si>
  <si>
    <t>00000375</t>
  </si>
  <si>
    <t>00000552</t>
  </si>
  <si>
    <t>00000573</t>
  </si>
  <si>
    <t>02-03-TS21-2026/TS-AVP/ĐĐHHH-CT00131</t>
  </si>
  <si>
    <t>00000574</t>
  </si>
  <si>
    <t>00000385</t>
  </si>
  <si>
    <t>239Hàng SXTP-LG00003-TL</t>
  </si>
  <si>
    <t>00000386</t>
  </si>
  <si>
    <t>00000387</t>
  </si>
  <si>
    <t>184Hàng SXTP-LG00003-TL</t>
  </si>
  <si>
    <t>00000388</t>
  </si>
  <si>
    <t>00000591</t>
  </si>
  <si>
    <t>00000389</t>
  </si>
  <si>
    <t>02-49/TS-LP31-2026/TS-AVP/ĐĐHTP-PE00009</t>
  </si>
  <si>
    <t>00000588</t>
  </si>
  <si>
    <t>02-49/TS-LP31-2026/TS-AVP/ĐĐHTP-PE00004</t>
  </si>
  <si>
    <t>00000390</t>
  </si>
  <si>
    <t>00000589</t>
  </si>
  <si>
    <t>00000391</t>
  </si>
  <si>
    <t>00000592</t>
  </si>
  <si>
    <t>00000392</t>
  </si>
  <si>
    <t>00000590</t>
  </si>
  <si>
    <t>00000403</t>
  </si>
  <si>
    <t>00000610</t>
  </si>
  <si>
    <t>00000406</t>
  </si>
  <si>
    <t>05-10-TS</t>
  </si>
  <si>
    <t>69-2026/TS-AVP/ĐĐH</t>
  </si>
  <si>
    <t>02-49/TS-LP30-2026/TS-AVP/ĐĐHTP-PE00001</t>
  </si>
  <si>
    <t>00000612</t>
  </si>
  <si>
    <t>00000407</t>
  </si>
  <si>
    <t>70-2026/TS-AVP/ĐĐH</t>
  </si>
  <si>
    <t>02-03-TS22-2026/TS-AVP/ĐĐHHH-CT00007</t>
  </si>
  <si>
    <t>00000613</t>
  </si>
  <si>
    <t>02-03-TS22-2026/TS-AVP/ĐĐHHH-CT00008</t>
  </si>
  <si>
    <t>00000614</t>
  </si>
  <si>
    <t>00000411</t>
  </si>
  <si>
    <t>CÔNG TY TNHH MỘT THÀNH VIÊN THUỐC LÁ BẮC SƠN.</t>
  </si>
  <si>
    <t>151a26/TB/01HH-NT00038</t>
  </si>
  <si>
    <t>Bến tre</t>
  </si>
  <si>
    <t>13-12/2025</t>
  </si>
  <si>
    <t>00000575</t>
  </si>
  <si>
    <t>Lưỡi Gà Trắng 95mm x 800m x 210gsm, LGT95/TS-BT</t>
  </si>
  <si>
    <t>151a26/TB/01HH-NT00039</t>
  </si>
  <si>
    <t>02-01/2026</t>
  </si>
  <si>
    <t>15126/YFY/01HH-CT00149</t>
  </si>
  <si>
    <t>00000600</t>
  </si>
  <si>
    <t>09-01/2026</t>
  </si>
  <si>
    <t>00000624</t>
  </si>
  <si>
    <t>02-04/2026</t>
  </si>
  <si>
    <t>00000623</t>
  </si>
  <si>
    <t>05-05/2026</t>
  </si>
  <si>
    <t>00000415</t>
  </si>
  <si>
    <t>00000622</t>
  </si>
  <si>
    <t>26/THP/03</t>
  </si>
  <si>
    <t>00000416</t>
  </si>
  <si>
    <t>00000625</t>
  </si>
  <si>
    <t>00000417</t>
  </si>
  <si>
    <t>00000629</t>
  </si>
  <si>
    <t>00000418</t>
  </si>
  <si>
    <t>00000628</t>
  </si>
  <si>
    <t>01-04-TS07-2026/TS-AVP/ĐĐHHH-CT00061</t>
  </si>
  <si>
    <t>00000419</t>
  </si>
  <si>
    <t>00000630</t>
  </si>
  <si>
    <t>00000628+630</t>
  </si>
  <si>
    <t>06-18/TS</t>
  </si>
  <si>
    <t xml:space="preserve"> 71-2026/TS-AVP/ĐĐH</t>
  </si>
  <si>
    <t>00000641</t>
  </si>
  <si>
    <t>00000643</t>
  </si>
  <si>
    <t xml:space="preserve"> 72-2026/TS-AVP/ĐĐH</t>
  </si>
  <si>
    <t>00000642</t>
  </si>
  <si>
    <t>00000426</t>
  </si>
  <si>
    <t>07-07/TS</t>
  </si>
  <si>
    <t>73-2026/TS-AVP/ĐĐH</t>
  </si>
  <si>
    <t>00000640</t>
  </si>
  <si>
    <t>00000428</t>
  </si>
  <si>
    <t>00000656</t>
  </si>
  <si>
    <t>74-2026/TS-AVP/ĐĐH</t>
  </si>
  <si>
    <t>06-08/TS</t>
  </si>
  <si>
    <t>75-2026/TS-AVP/ĐĐH</t>
  </si>
  <si>
    <t>Bộ</t>
  </si>
  <si>
    <t>03-03-TS33-2026/TS-AVP/ĐĐHHH-CT00132</t>
  </si>
  <si>
    <t>00000429</t>
  </si>
  <si>
    <t>00000655</t>
  </si>
  <si>
    <t>00000431</t>
  </si>
  <si>
    <t>00000662</t>
  </si>
  <si>
    <t>00000432</t>
  </si>
  <si>
    <t>00000661</t>
  </si>
  <si>
    <t>00000433</t>
  </si>
  <si>
    <t>00000663</t>
  </si>
  <si>
    <t>00000434</t>
  </si>
  <si>
    <t>00000667</t>
  </si>
  <si>
    <t>00000435</t>
  </si>
  <si>
    <t>00000666</t>
  </si>
  <si>
    <t>00000436</t>
  </si>
  <si>
    <t>00000670+672</t>
  </si>
  <si>
    <t>77-2026/TS-AVP/ĐĐH</t>
  </si>
  <si>
    <t>00000672</t>
  </si>
  <si>
    <t>00000437</t>
  </si>
  <si>
    <t>78-2026/TS-AVP/ĐĐH</t>
  </si>
  <si>
    <t>00000674</t>
  </si>
  <si>
    <t>02-03-TS21-2026/TS-AVP/ĐĐHHH-CT00036</t>
  </si>
  <si>
    <t>00000673</t>
  </si>
  <si>
    <t>76-2026/TS-AVP/ĐĐH</t>
  </si>
  <si>
    <t>00000675</t>
  </si>
  <si>
    <t>07-13/TS</t>
  </si>
  <si>
    <t>80-2026/TS-AVP/ĐĐH</t>
  </si>
  <si>
    <t>00000443</t>
  </si>
  <si>
    <t>00000690</t>
  </si>
  <si>
    <t>03-12-TS38-2026/TS-AVP/ĐĐHHH-CT00028</t>
  </si>
  <si>
    <t>03-12-TS38-2026/TS-AVP/ĐĐHHH-CT00027</t>
  </si>
  <si>
    <t>79-2026/TS-AVP/ĐĐH</t>
  </si>
  <si>
    <t>00000444</t>
  </si>
  <si>
    <t>00000691</t>
  </si>
  <si>
    <t>07-19/TS</t>
  </si>
  <si>
    <t>03-12-TS38-2026/TS-AVP/ĐĐHHH-CT00038</t>
  </si>
  <si>
    <t>03-12-TS38-2026/TS-AVP/ĐĐHHH-CT00077</t>
  </si>
  <si>
    <t>07-02/TS</t>
  </si>
  <si>
    <t>81-2026/TS-AVP/ĐĐH</t>
  </si>
  <si>
    <t>Thùng carton GreenHILL 100SP Menthol</t>
  </si>
  <si>
    <t>00000700</t>
  </si>
  <si>
    <t>82-2026/TS-AVP/ĐĐH</t>
  </si>
  <si>
    <t>00000701</t>
  </si>
  <si>
    <t>05/TS/26</t>
  </si>
  <si>
    <t>03-12-TS38-2026/TS-AVP/ĐĐHHH-CT00002</t>
  </si>
  <si>
    <t>00000450</t>
  </si>
  <si>
    <t>239Hàng SXTP-LG00005</t>
  </si>
  <si>
    <t>26/THP/04</t>
  </si>
  <si>
    <t>239Hàng SXTP-LG00002</t>
  </si>
  <si>
    <t>00000456</t>
  </si>
  <si>
    <t>07-04/TS</t>
  </si>
  <si>
    <t xml:space="preserve"> 83-2026/TS-AVP/ĐĐH</t>
  </si>
  <si>
    <t>294Hàng SXTP-LG00005-TL</t>
  </si>
  <si>
    <t>00000459</t>
  </si>
  <si>
    <t>00000725</t>
  </si>
  <si>
    <t>Giấy lưỡi gà trắng - LGT90-TS 90mm x 800m x 250gsm (PO 02/10/TSC-LT - 260 cuộn)</t>
  </si>
  <si>
    <t>2/10/TSC-LTHàng SXTP-LG00008-SG</t>
  </si>
  <si>
    <t>07-05/TS</t>
  </si>
  <si>
    <t xml:space="preserve"> 84-2026/TS-AVP/ĐĐH</t>
  </si>
  <si>
    <t xml:space="preserve"> 85-2026/TS-AVP/ĐĐH</t>
  </si>
  <si>
    <t>00000464</t>
  </si>
  <si>
    <t xml:space="preserve"> 86-2026/TS-AVP/ĐĐH</t>
  </si>
  <si>
    <t>00000734</t>
  </si>
  <si>
    <t>Thùng carton ERA FF – OD</t>
  </si>
  <si>
    <t>03-12-TS38-2026/TS-AVP/ĐĐHHH-CT00083</t>
  </si>
  <si>
    <t>03-12-TS38-2026/TS-AVP/ĐĐHHH-CT00055</t>
  </si>
  <si>
    <t>00000737</t>
  </si>
  <si>
    <t>Thùng carton ERA Premium – OD</t>
  </si>
  <si>
    <t>00000735+734</t>
  </si>
  <si>
    <t>07-33/TS</t>
  </si>
  <si>
    <t xml:space="preserve"> 87-2026/TS-AVP/ĐĐH</t>
  </si>
  <si>
    <t>03-12-TS38-2026/TS-AVP/ĐĐHHH-CT00073</t>
  </si>
  <si>
    <t>00000465</t>
  </si>
  <si>
    <t>00000735</t>
  </si>
  <si>
    <t>07-11/TS</t>
  </si>
  <si>
    <t xml:space="preserve"> 88-2026/TS-AVP/ĐĐH</t>
  </si>
  <si>
    <t>03-12-TS38-2026/TS-AVP/ĐĐHHH-CT00090</t>
  </si>
  <si>
    <t>08-07/TS-LP</t>
  </si>
  <si>
    <t xml:space="preserve"> 89-2026/TS-AVP/ĐĐH</t>
  </si>
  <si>
    <t>00000466</t>
  </si>
  <si>
    <t>00000736</t>
  </si>
  <si>
    <t>00000474</t>
  </si>
  <si>
    <t>07-12/TS</t>
  </si>
  <si>
    <t xml:space="preserve"> 90-2026/TS-AVP/ĐĐH</t>
  </si>
  <si>
    <t>00000757</t>
  </si>
  <si>
    <t>07-14/TS</t>
  </si>
  <si>
    <t xml:space="preserve"> 91-2026/TS-AVP/ĐĐH</t>
  </si>
  <si>
    <t>03-12-TS38-2026/TS-AVP/ĐĐHHH-CT00075</t>
  </si>
  <si>
    <t>00000475</t>
  </si>
  <si>
    <t>00000755</t>
  </si>
  <si>
    <t>Thùng carton DU LỊCH Ment BM-TĐ</t>
  </si>
  <si>
    <t xml:space="preserve"> 92-2026/TS-AVP/ĐĐH</t>
  </si>
  <si>
    <t>00000476</t>
  </si>
  <si>
    <t>00000756</t>
  </si>
  <si>
    <t>03-09-TS35-2026/TS-AVP/ĐĐHHH-CT00005</t>
  </si>
  <si>
    <t>00000755+756</t>
  </si>
  <si>
    <t>00000477</t>
  </si>
  <si>
    <t>00000754</t>
  </si>
  <si>
    <t>00000478</t>
  </si>
  <si>
    <t>00000764</t>
  </si>
  <si>
    <t xml:space="preserve"> 93-2026/TS-AVP/ĐĐH</t>
  </si>
  <si>
    <t>00000762+763</t>
  </si>
  <si>
    <t>00000763</t>
  </si>
  <si>
    <t>00000765</t>
  </si>
  <si>
    <t>03-12-TS38-2026/TS-AVP/ĐĐHHH-CT00089</t>
  </si>
  <si>
    <t>00000481</t>
  </si>
  <si>
    <t>00000767</t>
  </si>
  <si>
    <t>00000482</t>
  </si>
  <si>
    <t>00000770</t>
  </si>
  <si>
    <t>00000483</t>
  </si>
  <si>
    <t>08-14/TS</t>
  </si>
  <si>
    <t xml:space="preserve"> 94-2026/TS-AVP/ĐĐH</t>
  </si>
  <si>
    <t>00000768</t>
  </si>
  <si>
    <t>Túi PE 58 x 102</t>
  </si>
  <si>
    <t>00000484</t>
  </si>
  <si>
    <t>03-12-TS38-2026/TS-AVP/ĐĐHHH-CT00081</t>
  </si>
  <si>
    <t>00000769</t>
  </si>
  <si>
    <t>00000490</t>
  </si>
  <si>
    <t>00000491</t>
  </si>
  <si>
    <t>00000791</t>
  </si>
  <si>
    <t>00000492</t>
  </si>
  <si>
    <t>00000790</t>
  </si>
  <si>
    <t>04-02-TS43-2026/TS-AVP/ĐĐHHH-CT00009</t>
  </si>
  <si>
    <t>00000493</t>
  </si>
  <si>
    <t>03-12-TS38-2026/TS-AVP/ĐĐHHH-CT00078</t>
  </si>
  <si>
    <t>00000789</t>
  </si>
  <si>
    <t>03-12-TS38-2026/TS-AVP/ĐĐHHH-CT00005</t>
  </si>
  <si>
    <t>00000494</t>
  </si>
  <si>
    <t>00000788</t>
  </si>
  <si>
    <t>00000495</t>
  </si>
  <si>
    <t>00000786+787</t>
  </si>
  <si>
    <t>03-12-TS58-2026/TS-AVP/ĐĐHHH-CT00008</t>
  </si>
  <si>
    <t>00000786</t>
  </si>
  <si>
    <t>00000496</t>
  </si>
  <si>
    <t>03-03/TS-LP32-2026/TS-AVP/ĐĐHTP-PE00004</t>
  </si>
  <si>
    <t>00000784</t>
  </si>
  <si>
    <t>03-03/TS-LP32-2026/TS-AVP/ĐĐHTP-PE00001</t>
  </si>
  <si>
    <t>00000497</t>
  </si>
  <si>
    <t>00000785</t>
  </si>
  <si>
    <t>03-12-TS36-2026/TS-AVP/ĐĐHHH-CT00072</t>
  </si>
  <si>
    <t>30926/THP/01HH-CT00037</t>
  </si>
  <si>
    <t>00000803</t>
  </si>
  <si>
    <t>00000806</t>
  </si>
  <si>
    <t>00000503</t>
  </si>
  <si>
    <t>00000804</t>
  </si>
  <si>
    <t>00000507</t>
  </si>
  <si>
    <t>00000805</t>
  </si>
  <si>
    <t>00000825</t>
  </si>
  <si>
    <t>00000823+825</t>
  </si>
  <si>
    <t>00000823</t>
  </si>
  <si>
    <t>00000824</t>
  </si>
  <si>
    <t>00000513</t>
  </si>
  <si>
    <t>00000832</t>
  </si>
  <si>
    <t>00000514</t>
  </si>
  <si>
    <t>00000831</t>
  </si>
  <si>
    <t>00000515</t>
  </si>
  <si>
    <t>04-07/TS-LP39-2026/TS-AVP/ĐĐHHH-NT00011</t>
  </si>
  <si>
    <t>00000830</t>
  </si>
  <si>
    <t>00000516</t>
  </si>
  <si>
    <t>00000838</t>
  </si>
  <si>
    <t>00000517</t>
  </si>
  <si>
    <t>00000840+839</t>
  </si>
  <si>
    <t>00000840</t>
  </si>
  <si>
    <t>00000842</t>
  </si>
  <si>
    <t>03-18-TS42-2026/TS-AVP/ĐĐHHH-CT00104</t>
  </si>
  <si>
    <t>00000843</t>
  </si>
  <si>
    <t>00000520</t>
  </si>
  <si>
    <t>00000841</t>
  </si>
  <si>
    <t>00000521</t>
  </si>
  <si>
    <t>03/TS/26Hàng SXTP-LG00004-TH</t>
  </si>
  <si>
    <t>00000522</t>
  </si>
  <si>
    <t>00000844</t>
  </si>
  <si>
    <t>03-12-TS38-2026/TS-AVP/ĐĐHHH-CT00006</t>
  </si>
  <si>
    <t>00000523</t>
  </si>
  <si>
    <t>00000845</t>
  </si>
  <si>
    <t>03-18-TS42-2026/TS-AVP/ĐĐHHH-CT00103</t>
  </si>
  <si>
    <t>00000525</t>
  </si>
  <si>
    <t>02-04/2026Hàng SXTP-LG00003-BT</t>
  </si>
  <si>
    <t>00000526</t>
  </si>
  <si>
    <t>00000848</t>
  </si>
  <si>
    <t>00000527</t>
  </si>
  <si>
    <t>00000850</t>
  </si>
  <si>
    <t>00000528</t>
  </si>
  <si>
    <t>00000851</t>
  </si>
  <si>
    <t>00000849</t>
  </si>
  <si>
    <t>00000531</t>
  </si>
  <si>
    <t>00000858</t>
  </si>
  <si>
    <t>00000532</t>
  </si>
  <si>
    <t>00000859</t>
  </si>
  <si>
    <t>00000859+860</t>
  </si>
  <si>
    <t>00000860</t>
  </si>
  <si>
    <t>00000533</t>
  </si>
  <si>
    <t>00000861</t>
  </si>
  <si>
    <t>00000534</t>
  </si>
  <si>
    <t>00000862</t>
  </si>
  <si>
    <t>00000536</t>
  </si>
  <si>
    <t>00000868+869</t>
  </si>
  <si>
    <t>00000537</t>
  </si>
  <si>
    <t>00000869</t>
  </si>
  <si>
    <t>02-11-TS28-2026/TS-AVP/ĐĐHHH-CT00031</t>
  </si>
  <si>
    <t>00000541</t>
  </si>
  <si>
    <t>04-07/TS-LP39-2026/TS-AVP/ĐĐHHH-NT00012</t>
  </si>
  <si>
    <t>00000891</t>
  </si>
  <si>
    <t>04-07/TS-LP39-2026/TS-AVP/ĐĐHHH-NT00013</t>
  </si>
  <si>
    <t>00000542</t>
  </si>
  <si>
    <t>04-08-TS57-2026/TS-AVP/ĐĐHHH-CT00073</t>
  </si>
  <si>
    <t>00000889</t>
  </si>
  <si>
    <t>00000543</t>
  </si>
  <si>
    <t>00000890</t>
  </si>
  <si>
    <t>00000544</t>
  </si>
  <si>
    <t>00000896</t>
  </si>
  <si>
    <t>00000545</t>
  </si>
  <si>
    <t>00000897</t>
  </si>
  <si>
    <t>00000548</t>
  </si>
  <si>
    <t>03-12-TS37-2026/TS-AVP/ĐĐHHH-CT00007</t>
  </si>
  <si>
    <t>00000905+906</t>
  </si>
  <si>
    <t>00000906</t>
  </si>
  <si>
    <t>00000549</t>
  </si>
  <si>
    <t>00000911</t>
  </si>
  <si>
    <t>00000550</t>
  </si>
  <si>
    <t>00000910</t>
  </si>
  <si>
    <t>00000909+910</t>
  </si>
  <si>
    <t>03-12-TS38-2026/TS-AVP/ĐĐHHH-CT00131</t>
  </si>
  <si>
    <t>00000554</t>
  </si>
  <si>
    <t>232a26/TB/02HH-NT00039</t>
  </si>
  <si>
    <t>00000928</t>
  </si>
  <si>
    <t>232a26/TB/02HH-NT00040</t>
  </si>
  <si>
    <t>00000555</t>
  </si>
  <si>
    <t>00000930+931</t>
  </si>
  <si>
    <t>00000930</t>
  </si>
  <si>
    <t>00000556</t>
  </si>
  <si>
    <t>00000932</t>
  </si>
  <si>
    <t>02-11-TS28-2026/TS-AVP/ĐĐHHH-CT00054</t>
  </si>
  <si>
    <t>02-11-TS28-2026/TS-AVP/ĐĐHHH-CT00061</t>
  </si>
  <si>
    <t>00000557</t>
  </si>
  <si>
    <t>Thùng carton C48</t>
  </si>
  <si>
    <t>03-17-TS41-2026/TS-AVP/ĐĐHHH-CT00034-SG</t>
  </si>
  <si>
    <t>00000933</t>
  </si>
  <si>
    <t>00000558</t>
  </si>
  <si>
    <t>00000929</t>
  </si>
  <si>
    <t>00000561</t>
  </si>
  <si>
    <t>23226/YFY/02HH-CT00150</t>
  </si>
  <si>
    <t>00000947</t>
  </si>
  <si>
    <t>23226/YFY/02HH-CT00149</t>
  </si>
  <si>
    <t>00000562</t>
  </si>
  <si>
    <t>00000945</t>
  </si>
  <si>
    <t>00000563</t>
  </si>
  <si>
    <t>04-34/TS-LP45-2026/TS-AVP/ĐĐHTP-PE00006</t>
  </si>
  <si>
    <t>00000944</t>
  </si>
  <si>
    <t>00000564</t>
  </si>
  <si>
    <t>03-12-TS38-2026/TS-AVP/ĐĐHHH-CT00036</t>
  </si>
  <si>
    <t>00000565</t>
  </si>
  <si>
    <t>04-23/TS-LP44-2026/TS-AVP/ĐĐHHH-NT00011</t>
  </si>
  <si>
    <t>00000946</t>
  </si>
  <si>
    <t>00000571</t>
  </si>
  <si>
    <t>00000958+959</t>
  </si>
  <si>
    <t>00000958</t>
  </si>
  <si>
    <t>00000572</t>
  </si>
  <si>
    <t>00000966+967</t>
  </si>
  <si>
    <t>00000967</t>
  </si>
  <si>
    <t>00000965+966</t>
  </si>
  <si>
    <t>00000968</t>
  </si>
  <si>
    <t>00000578</t>
  </si>
  <si>
    <t>00000977</t>
  </si>
  <si>
    <t>00000579</t>
  </si>
  <si>
    <t>00000979</t>
  </si>
  <si>
    <t>00000580</t>
  </si>
  <si>
    <t>00000980</t>
  </si>
  <si>
    <t>04-08-TS48-2026/TS-AVP/ĐĐHHH-CT00063</t>
  </si>
  <si>
    <t>00000581</t>
  </si>
  <si>
    <t>00000978</t>
  </si>
  <si>
    <t>00000582</t>
  </si>
  <si>
    <t>04-08-TS47-2026/TS-AVP/ĐĐHHH-CT00090</t>
  </si>
  <si>
    <t>00000984</t>
  </si>
  <si>
    <t>04-08-TS47-2026/TS-AVP/ĐĐHHH-CT00089</t>
  </si>
  <si>
    <t>00000583</t>
  </si>
  <si>
    <t>02-11-TS28-2026/TS-AVP/ĐĐHHH-CT00025</t>
  </si>
  <si>
    <t>00000983</t>
  </si>
  <si>
    <t>00000584</t>
  </si>
  <si>
    <t>00000982</t>
  </si>
  <si>
    <t>00000585</t>
  </si>
  <si>
    <t>00000985</t>
  </si>
  <si>
    <t>00000586</t>
  </si>
  <si>
    <t>00001002</t>
  </si>
  <si>
    <t>00000587</t>
  </si>
  <si>
    <t>00001000</t>
  </si>
  <si>
    <t>00000997+998</t>
  </si>
  <si>
    <t>00000997</t>
  </si>
  <si>
    <t>00001003</t>
  </si>
  <si>
    <t>00000999</t>
  </si>
  <si>
    <t>00001001</t>
  </si>
  <si>
    <t>04-08-TS47-2026/TS-AVP/ĐĐHHH-CT00091</t>
  </si>
  <si>
    <t>00000597</t>
  </si>
  <si>
    <t>04/TS/26Hàng SXTP-LG00004-TH</t>
  </si>
  <si>
    <t>00000598</t>
  </si>
  <si>
    <t>00001017</t>
  </si>
  <si>
    <t>00000599</t>
  </si>
  <si>
    <t>00001020</t>
  </si>
  <si>
    <t>04-08-TS47-2026/TS-AVP/ĐĐHHH-CT00005</t>
  </si>
  <si>
    <t>00001022</t>
  </si>
  <si>
    <t>00000601</t>
  </si>
  <si>
    <t>00001014</t>
  </si>
  <si>
    <t>00001016</t>
  </si>
  <si>
    <t>00001018</t>
  </si>
  <si>
    <t>00000602</t>
  </si>
  <si>
    <t>00001015</t>
  </si>
  <si>
    <t>03-12-TS37-2026/TS-AVP/ĐĐHHH-CT00008</t>
  </si>
  <si>
    <t>00000603</t>
  </si>
  <si>
    <t>00001019</t>
  </si>
  <si>
    <t>04-08-TS47-2026/TS-AVP/ĐĐHHH-CT00078</t>
  </si>
  <si>
    <t>00000604</t>
  </si>
  <si>
    <t>04-08-TS47-2026/TS-AVP/ĐĐHHH-CT00009</t>
  </si>
  <si>
    <t>00001021</t>
  </si>
  <si>
    <t>00000605</t>
  </si>
  <si>
    <t>00001032</t>
  </si>
  <si>
    <t>00000606</t>
  </si>
  <si>
    <t>02-11-TS52-2026/TS-AVP/ĐĐHHH-CT00031</t>
  </si>
  <si>
    <t>00001033</t>
  </si>
  <si>
    <t>04-08-TS57-2026/TS-AVP/ĐĐHHH-CT00028</t>
  </si>
  <si>
    <t>04-08-TS57-2026/TS-AVP/ĐĐHHH-CT00005</t>
  </si>
  <si>
    <t>00000607</t>
  </si>
  <si>
    <t>00001034</t>
  </si>
  <si>
    <t>04-08-TS57-2026/TS-AVP/ĐĐHHH-CT00002</t>
  </si>
  <si>
    <t>00000608</t>
  </si>
  <si>
    <t>04-08-TS57-2026/TS-AVP/ĐĐHHH-CT00081</t>
  </si>
  <si>
    <t>00001035</t>
  </si>
  <si>
    <t>00000609</t>
  </si>
  <si>
    <t>03-12-TS58-2026/TS-AVP/ĐĐHHH-CT00007</t>
  </si>
  <si>
    <t>00001037</t>
  </si>
  <si>
    <t>00001036</t>
  </si>
  <si>
    <t>00000611</t>
  </si>
  <si>
    <t>03-12-TS54-2026/TS-AVP/ĐĐHHH-CT00131</t>
  </si>
  <si>
    <t>00001039</t>
  </si>
  <si>
    <t>03-12-TS54-2026/TS-AVP/ĐĐHHH-CT00083</t>
  </si>
  <si>
    <t>00001040</t>
  </si>
  <si>
    <t>03-12-TS54-2026/TS-AVP/ĐĐHHH-CT00006</t>
  </si>
  <si>
    <t>04-08-TS57-2026/TS-AVP/ĐĐHHH-CT00006</t>
  </si>
  <si>
    <t>00000615</t>
  </si>
  <si>
    <t>00000616</t>
  </si>
  <si>
    <t>00001045</t>
  </si>
  <si>
    <t>00000617</t>
  </si>
  <si>
    <t>00001046</t>
  </si>
  <si>
    <t>00000618</t>
  </si>
  <si>
    <t>02-11-TS52-2026/TS-AVP/ĐĐHHH-CT00054</t>
  </si>
  <si>
    <t>00001047</t>
  </si>
  <si>
    <t>04-08-TS57-2026/TS-AVP/ĐĐHHH-CT00077</t>
  </si>
  <si>
    <t>00000620</t>
  </si>
  <si>
    <t>00001051</t>
  </si>
  <si>
    <t>00000621</t>
  </si>
  <si>
    <t>00001052</t>
  </si>
  <si>
    <t>04-08-TS57-2026/TS-AVP/ĐĐHHH-CT00083</t>
  </si>
  <si>
    <t>00001069</t>
  </si>
  <si>
    <t>00001070</t>
  </si>
  <si>
    <t>00001071</t>
  </si>
  <si>
    <t>00000626</t>
  </si>
  <si>
    <t>03-12-TS54-2026/TS-AVP/ĐĐHHH-CT00075</t>
  </si>
  <si>
    <t>00001081</t>
  </si>
  <si>
    <t>04-08-TS57-2026/TS-AVP/ĐĐHHH-CT00075</t>
  </si>
  <si>
    <t>00000627</t>
  </si>
  <si>
    <t>00001085</t>
  </si>
  <si>
    <t>04-08-TS59-2026/TS-AVP/ĐĐHHH-CT00052</t>
  </si>
  <si>
    <t>00001085+1084</t>
  </si>
  <si>
    <t>00000631</t>
  </si>
  <si>
    <t>05-07/TS-LP46-2026/TS-AVP/ĐĐHHH-NT00011</t>
  </si>
  <si>
    <t>00001082</t>
  </si>
  <si>
    <t>00000632</t>
  </si>
  <si>
    <t>00001083</t>
  </si>
  <si>
    <t>05-11/TS-LP49-2026/TS-AVP/ĐĐHTP-PE00009</t>
  </si>
  <si>
    <t>05-11/TS-LP49-2026/TS-AVP/ĐĐHTP-PE00002</t>
  </si>
  <si>
    <t>00000636</t>
  </si>
  <si>
    <t>00001106</t>
  </si>
  <si>
    <t>00000637</t>
  </si>
  <si>
    <t>00000638</t>
  </si>
  <si>
    <t>00001105</t>
  </si>
  <si>
    <t>00000639</t>
  </si>
  <si>
    <t>04-12-TS60-2026/TS-AVP/ĐĐHHH-CT00064</t>
  </si>
  <si>
    <t>00001107</t>
  </si>
  <si>
    <t>44426/THP/02HH-CT00037</t>
  </si>
  <si>
    <t>00001104</t>
  </si>
  <si>
    <t>00001116</t>
  </si>
  <si>
    <t>00001118</t>
  </si>
  <si>
    <t>02-11-TS52-2026/TS-AVP/ĐĐHHH-CT00025</t>
  </si>
  <si>
    <t>00001117</t>
  </si>
  <si>
    <t>00000644</t>
  </si>
  <si>
    <t>00000645</t>
  </si>
  <si>
    <t>00001131</t>
  </si>
  <si>
    <t>01-04-TS51-2026/TS-AVP/ĐĐHHH-CT00046</t>
  </si>
  <si>
    <t>00000646</t>
  </si>
  <si>
    <t>03-12-TS54-2026/TS-AVP/ĐĐHHH-CT00036</t>
  </si>
  <si>
    <t>00000647</t>
  </si>
  <si>
    <t>00001132</t>
  </si>
  <si>
    <t>00000648</t>
  </si>
  <si>
    <t>00000649</t>
  </si>
  <si>
    <t>05-07/TS-LP46-2026/TS-AVP/ĐĐHHH-NT00013</t>
  </si>
  <si>
    <t>00001146</t>
  </si>
  <si>
    <t>00000650</t>
  </si>
  <si>
    <t>00001145</t>
  </si>
  <si>
    <t>00000651</t>
  </si>
  <si>
    <t>00001141+1140</t>
  </si>
  <si>
    <t>00000652</t>
  </si>
  <si>
    <t>00001143</t>
  </si>
  <si>
    <t>02-11-TS52-2026/TS-AVP/ĐĐHHH-CT00046</t>
  </si>
  <si>
    <t>00000653</t>
  </si>
  <si>
    <t>00001144</t>
  </si>
  <si>
    <t>00000654</t>
  </si>
  <si>
    <t>03-12-TS40-2026/TS-AVP/ĐĐHHH-CT00036</t>
  </si>
  <si>
    <t>00001142</t>
  </si>
  <si>
    <t>03-12-TS40-2026/TS-AVP/ĐĐHHH-CT00131</t>
  </si>
  <si>
    <t>00000657</t>
  </si>
  <si>
    <t>00001149</t>
  </si>
  <si>
    <t>00000658</t>
  </si>
  <si>
    <t>00001151</t>
  </si>
  <si>
    <t>00000659</t>
  </si>
  <si>
    <t>00001150</t>
  </si>
  <si>
    <t>00000660</t>
  </si>
  <si>
    <t>00001152</t>
  </si>
  <si>
    <t>30126/TB/03HH-NT00039</t>
  </si>
  <si>
    <t>00001153</t>
  </si>
  <si>
    <t>301a26/YFY/03HH-CT00149</t>
  </si>
  <si>
    <t>00001157</t>
  </si>
  <si>
    <t>00000665</t>
  </si>
  <si>
    <t>00001162</t>
  </si>
  <si>
    <t>00001163</t>
  </si>
  <si>
    <t>00000668</t>
  </si>
  <si>
    <t>00000671</t>
  </si>
  <si>
    <t>00001179</t>
  </si>
  <si>
    <t>00001180</t>
  </si>
  <si>
    <t>00001196</t>
  </si>
  <si>
    <t>00000676</t>
  </si>
  <si>
    <t>00001198+197</t>
  </si>
  <si>
    <t>00001198</t>
  </si>
  <si>
    <t>00000677</t>
  </si>
  <si>
    <t>00001197</t>
  </si>
  <si>
    <t>00000678</t>
  </si>
  <si>
    <t>05-01-TS61-2026/TS-AVP/ĐĐHHH-CT00132</t>
  </si>
  <si>
    <t>00000679</t>
  </si>
  <si>
    <t>05-15/TS-LP50-2026/TS-AVP/ĐĐHTP-PE00006</t>
  </si>
  <si>
    <t>00001199</t>
  </si>
  <si>
    <t>05-15/TS-LP50-2026/TS-AVP/ĐĐHTP-PE00001</t>
  </si>
  <si>
    <t>00000680</t>
  </si>
  <si>
    <t>00001211</t>
  </si>
  <si>
    <t>00000681</t>
  </si>
  <si>
    <t>00001212</t>
  </si>
  <si>
    <t>00000682</t>
  </si>
  <si>
    <t>00001208</t>
  </si>
  <si>
    <t>00000683</t>
  </si>
  <si>
    <t>00001210</t>
  </si>
  <si>
    <t>00000684</t>
  </si>
  <si>
    <t>00001214</t>
  </si>
  <si>
    <t>00000685</t>
  </si>
  <si>
    <t>00001215</t>
  </si>
  <si>
    <t>00000686</t>
  </si>
  <si>
    <t>00001216</t>
  </si>
  <si>
    <t>00000687</t>
  </si>
  <si>
    <t>00000688</t>
  </si>
  <si>
    <t>00000689</t>
  </si>
  <si>
    <t>00001234</t>
  </si>
  <si>
    <t>00001235</t>
  </si>
  <si>
    <t>00000692</t>
  </si>
  <si>
    <t>00001260</t>
  </si>
  <si>
    <t>00000693</t>
  </si>
  <si>
    <t>00001261</t>
  </si>
  <si>
    <t>05-06-TS64-2026/TS-AVP/ĐĐHHH-CT00064</t>
  </si>
  <si>
    <t>00000694</t>
  </si>
  <si>
    <t>00001262</t>
  </si>
  <si>
    <t>00000695</t>
  </si>
  <si>
    <t>00000696</t>
  </si>
  <si>
    <t>00001269</t>
  </si>
  <si>
    <t>00000697</t>
  </si>
  <si>
    <t>05-15/TS-LP50-2026/TS-AVP/ĐĐHTP-PE00004</t>
  </si>
  <si>
    <t>00001270</t>
  </si>
  <si>
    <t>00000698</t>
  </si>
  <si>
    <t>00001271</t>
  </si>
  <si>
    <t>00000699</t>
  </si>
  <si>
    <t>00001276</t>
  </si>
  <si>
    <t>00001275</t>
  </si>
  <si>
    <t>00000705</t>
  </si>
  <si>
    <t>00000706</t>
  </si>
  <si>
    <t>00001280</t>
  </si>
  <si>
    <t>00000707</t>
  </si>
  <si>
    <t>00001285</t>
  </si>
  <si>
    <t>00000708</t>
  </si>
  <si>
    <t>00001284</t>
  </si>
  <si>
    <t>05-09-TS68-2026/TS-AVP/ĐĐHHH-CT00027</t>
  </si>
  <si>
    <t>00000709</t>
  </si>
  <si>
    <t>00001291</t>
  </si>
  <si>
    <t>04-08-TS59-2026/TS-AVP/ĐĐHHH-CT00007</t>
  </si>
  <si>
    <t>00000710</t>
  </si>
  <si>
    <t>00001288</t>
  </si>
  <si>
    <t>00000711</t>
  </si>
  <si>
    <t>04-08-TS56-2026/TS-AVP/ĐĐHHH-CT00072</t>
  </si>
  <si>
    <t>00001286</t>
  </si>
  <si>
    <t>00000712</t>
  </si>
  <si>
    <t>00000715</t>
  </si>
  <si>
    <t>00001292</t>
  </si>
  <si>
    <t>00000716</t>
  </si>
  <si>
    <t>04-08-TS57-2026/TS-AVP/ĐĐHHH-CT00078</t>
  </si>
  <si>
    <t>00001294</t>
  </si>
  <si>
    <t>00000717</t>
  </si>
  <si>
    <t>00001293</t>
  </si>
  <si>
    <t>05-26/TS-LP63-2026/TS-AVP/ĐĐHTP-PE00009</t>
  </si>
  <si>
    <t>05-26/TS-LP63-2026/TS-AVP/ĐĐHTP-PE00002</t>
  </si>
  <si>
    <t>00000718</t>
  </si>
  <si>
    <t>00001295</t>
  </si>
  <si>
    <t>00000719</t>
  </si>
  <si>
    <t>05-09-TS68-2026/TS-AVP/ĐĐHHH-CT00081</t>
  </si>
  <si>
    <t>00000720</t>
  </si>
  <si>
    <t>05-09-TS68-2026/TS-AVP/ĐĐHHH-CT00003</t>
  </si>
  <si>
    <t>05-09-TS68-2026/TS-AVP/ĐĐHHH-CT00013</t>
  </si>
  <si>
    <t>05-09-TS68-2026/TS-AVP/ĐĐHHH-CT00055</t>
  </si>
  <si>
    <t>00000732</t>
  </si>
  <si>
    <t>05/TS/26Hàng SXTP-LG00004-TH</t>
  </si>
  <si>
    <t>49326/THP/03HH-CT00037</t>
  </si>
  <si>
    <t>00001365</t>
  </si>
  <si>
    <t>00000740</t>
  </si>
  <si>
    <t>00001371</t>
  </si>
  <si>
    <t>00000747</t>
  </si>
  <si>
    <t>00001401</t>
  </si>
  <si>
    <t>00000758</t>
  </si>
  <si>
    <t>00001432</t>
  </si>
  <si>
    <t>00000783</t>
  </si>
  <si>
    <t>00001522</t>
  </si>
  <si>
    <t>00000721</t>
  </si>
  <si>
    <t>00001320</t>
  </si>
  <si>
    <t>00000722</t>
  </si>
  <si>
    <t>05-09-TS68-2026/TS-AVP/ĐĐHHH-CT00038</t>
  </si>
  <si>
    <t>00000723</t>
  </si>
  <si>
    <t>00001321</t>
  </si>
  <si>
    <t>00000724</t>
  </si>
  <si>
    <t>00001328</t>
  </si>
  <si>
    <t>00000726</t>
  </si>
  <si>
    <t>05-09-TS68-2026/TS-AVP/ĐĐHHH-CT00073</t>
  </si>
  <si>
    <t>00000727</t>
  </si>
  <si>
    <t>00001329</t>
  </si>
  <si>
    <t>00000728</t>
  </si>
  <si>
    <t>00001330</t>
  </si>
  <si>
    <t>00000729</t>
  </si>
  <si>
    <t>00001339</t>
  </si>
  <si>
    <t>00000730</t>
  </si>
  <si>
    <t>00001340</t>
  </si>
  <si>
    <t>00000731</t>
  </si>
  <si>
    <t>00001341</t>
  </si>
  <si>
    <t>00000733</t>
  </si>
  <si>
    <t>00001362</t>
  </si>
  <si>
    <t>00001367</t>
  </si>
  <si>
    <t>00000738</t>
  </si>
  <si>
    <t>06-07/TS-LP66-2026/TS-AVP/ĐĐHHH-NT00014</t>
  </si>
  <si>
    <t>00001366</t>
  </si>
  <si>
    <t>00000739</t>
  </si>
  <si>
    <t>00001368</t>
  </si>
  <si>
    <t>00000741</t>
  </si>
  <si>
    <t>00001372</t>
  </si>
  <si>
    <t>00000742</t>
  </si>
  <si>
    <t>00001370</t>
  </si>
  <si>
    <t>00000743</t>
  </si>
  <si>
    <t>00000744</t>
  </si>
  <si>
    <t>00001384</t>
  </si>
  <si>
    <t>00000745</t>
  </si>
  <si>
    <t>00001385</t>
  </si>
  <si>
    <t>00000746</t>
  </si>
  <si>
    <t>00000748</t>
  </si>
  <si>
    <t>00001403</t>
  </si>
  <si>
    <t>00000749</t>
  </si>
  <si>
    <t>00001402</t>
  </si>
  <si>
    <t>00000753</t>
  </si>
  <si>
    <t>Giấy lưỡi gà trắng - LGT90-TS 90mm x 800m x 250gsm (Kg)</t>
  </si>
  <si>
    <t>04/06/TSC-LTHàng SXTP-LG00008-SG</t>
  </si>
  <si>
    <t>00001427</t>
  </si>
  <si>
    <t>00001428</t>
  </si>
  <si>
    <t>00001429</t>
  </si>
  <si>
    <t>00000759</t>
  </si>
  <si>
    <t>05-08-TS67-2026/TS-AVP/ĐĐHHH-CT00132</t>
  </si>
  <si>
    <t>00001435</t>
  </si>
  <si>
    <t>00000760</t>
  </si>
  <si>
    <t>00001434</t>
  </si>
  <si>
    <t>00000761</t>
  </si>
  <si>
    <t>00001434+00001433</t>
  </si>
  <si>
    <t>00001443</t>
  </si>
  <si>
    <t>00000766</t>
  </si>
  <si>
    <t>00001445</t>
  </si>
  <si>
    <t>00001444</t>
  </si>
  <si>
    <t>05-09-TS68-2026/TS-AVP/ĐĐHHH-CT00036</t>
  </si>
  <si>
    <t>05-09-TS68-2026/TS-AVP/ĐĐHHH-CT00078</t>
  </si>
  <si>
    <t>00001477</t>
  </si>
  <si>
    <t>00000771</t>
  </si>
  <si>
    <t>06-18/TS 72-2026/TS-AVP/ĐĐHTP-PE00001</t>
  </si>
  <si>
    <t>00001476</t>
  </si>
  <si>
    <t>00000772</t>
  </si>
  <si>
    <t>00001473</t>
  </si>
  <si>
    <t>00000773</t>
  </si>
  <si>
    <t>00001478</t>
  </si>
  <si>
    <t>00000774</t>
  </si>
  <si>
    <t>00000775</t>
  </si>
  <si>
    <t>00001475+00001473</t>
  </si>
  <si>
    <t>00000777</t>
  </si>
  <si>
    <t>00001498</t>
  </si>
  <si>
    <t>00000778</t>
  </si>
  <si>
    <t>00001499</t>
  </si>
  <si>
    <t>03-18-TS55-2026/TS-AVP/ĐĐHHH-CT00031</t>
  </si>
  <si>
    <t>00000779</t>
  </si>
  <si>
    <t>00001523+00001524</t>
  </si>
  <si>
    <t>00001524</t>
  </si>
  <si>
    <t>00000780</t>
  </si>
  <si>
    <t>06-07/TS-LP66-2026/TS-AVP/ĐĐHHH-NT00011</t>
  </si>
  <si>
    <t>00001521</t>
  </si>
  <si>
    <t>00000781</t>
  </si>
  <si>
    <t>00001520</t>
  </si>
  <si>
    <t>02-11-TS52-2026/TS-AVP/ĐĐHHH-CT00061</t>
  </si>
  <si>
    <t>00000782</t>
  </si>
  <si>
    <t>05-09-TS70-2026/TS-AVP/ĐĐHHH-CT00008</t>
  </si>
  <si>
    <t>00001537</t>
  </si>
  <si>
    <t>00000792</t>
  </si>
  <si>
    <t>00001551</t>
  </si>
  <si>
    <t>00000793</t>
  </si>
  <si>
    <t>00001550</t>
  </si>
  <si>
    <t>00000794</t>
  </si>
  <si>
    <t>00001552</t>
  </si>
  <si>
    <t>03-18-TS55-2026/TS-AVP/ĐĐHHH-CT00025</t>
  </si>
  <si>
    <t>00000795</t>
  </si>
  <si>
    <t>00001553</t>
  </si>
  <si>
    <t>00000796</t>
  </si>
  <si>
    <t>00001554</t>
  </si>
  <si>
    <t>00000797</t>
  </si>
  <si>
    <t>00001555+00001556</t>
  </si>
  <si>
    <t>00001556</t>
  </si>
  <si>
    <t>00000798</t>
  </si>
  <si>
    <t>00001557</t>
  </si>
  <si>
    <t>05-02-TS62-2026/TS-AVP/ĐĐHHH-CT00095</t>
  </si>
  <si>
    <t>00000799</t>
  </si>
  <si>
    <t>00001571</t>
  </si>
  <si>
    <t>05-09-TS68-2026/TS-AVP/ĐĐHHH-CT00131</t>
  </si>
  <si>
    <t>00000800</t>
  </si>
  <si>
    <t>00000801</t>
  </si>
  <si>
    <t>00001570</t>
  </si>
  <si>
    <t>00000802</t>
  </si>
  <si>
    <t>00001594</t>
  </si>
  <si>
    <t>00001596 +00001595</t>
  </si>
  <si>
    <t>05-09-TS68-2026/TS-AVP/ĐĐHHH-CT00028</t>
  </si>
  <si>
    <t>00001596</t>
  </si>
  <si>
    <t>05-10-TS69-2026/TS-AVP/ĐĐHHH-CT00095</t>
  </si>
  <si>
    <t>00001606</t>
  </si>
  <si>
    <t>00001628</t>
  </si>
  <si>
    <t>00000807</t>
  </si>
  <si>
    <t>00001626</t>
  </si>
  <si>
    <t>00000808</t>
  </si>
  <si>
    <t>00001625</t>
  </si>
  <si>
    <t>00000809</t>
  </si>
  <si>
    <t>00001627</t>
  </si>
  <si>
    <t>00000810</t>
  </si>
  <si>
    <t>00001629</t>
  </si>
  <si>
    <t>00000811</t>
  </si>
  <si>
    <t>00001642</t>
  </si>
  <si>
    <t>06-08/TS75-2026/TS-AVP/ĐĐHHH-CT00005</t>
  </si>
  <si>
    <t>00000812</t>
  </si>
  <si>
    <t>00001643</t>
  </si>
  <si>
    <t>00000813</t>
  </si>
  <si>
    <t>00001644</t>
  </si>
  <si>
    <t>00000814</t>
  </si>
  <si>
    <t>00000821</t>
  </si>
  <si>
    <t>00001647</t>
  </si>
  <si>
    <t>00000822</t>
  </si>
  <si>
    <t>00001649</t>
  </si>
  <si>
    <t>00001648</t>
  </si>
  <si>
    <t>00000867</t>
  </si>
  <si>
    <t>60026/THP/04HH-CT00037</t>
  </si>
  <si>
    <t>00001676</t>
  </si>
  <si>
    <t>00001688</t>
  </si>
  <si>
    <t>00000852</t>
  </si>
  <si>
    <t>00001731</t>
  </si>
  <si>
    <t>00001738</t>
  </si>
  <si>
    <t>00000920</t>
  </si>
  <si>
    <t>00001862</t>
  </si>
  <si>
    <t>00000935</t>
  </si>
  <si>
    <t>547Hàng SXTP-LG00002</t>
  </si>
  <si>
    <t>00000943</t>
  </si>
  <si>
    <t>00000826</t>
  </si>
  <si>
    <t>00001669</t>
  </si>
  <si>
    <t>00000827</t>
  </si>
  <si>
    <t>00001668</t>
  </si>
  <si>
    <t>00000828</t>
  </si>
  <si>
    <t>00000829</t>
  </si>
  <si>
    <t>00001675</t>
  </si>
  <si>
    <t>00001674</t>
  </si>
  <si>
    <t>00000835</t>
  </si>
  <si>
    <t>00001685</t>
  </si>
  <si>
    <t>00000836</t>
  </si>
  <si>
    <t>00001686</t>
  </si>
  <si>
    <t>00000837</t>
  </si>
  <si>
    <t>00000839</t>
  </si>
  <si>
    <t>00001690</t>
  </si>
  <si>
    <t>00001695</t>
  </si>
  <si>
    <t>00001697+00001696</t>
  </si>
  <si>
    <t>00001696</t>
  </si>
  <si>
    <t>06-08/TS75-2026/TS-AVP/ĐĐHHH-CT00089</t>
  </si>
  <si>
    <t>00001709</t>
  </si>
  <si>
    <t>00000846</t>
  </si>
  <si>
    <t>00001708</t>
  </si>
  <si>
    <t>00000847</t>
  </si>
  <si>
    <t>00001712</t>
  </si>
  <si>
    <t>00001713</t>
  </si>
  <si>
    <t>00001722</t>
  </si>
  <si>
    <t>00000853</t>
  </si>
  <si>
    <t>00001733</t>
  </si>
  <si>
    <t>00000854</t>
  </si>
  <si>
    <t>00000855</t>
  </si>
  <si>
    <t>00001734</t>
  </si>
  <si>
    <t>00000856</t>
  </si>
  <si>
    <t>07-07/TS 86-2026/TS-AVP/ĐĐHHH-CT00031</t>
  </si>
  <si>
    <t>00001735</t>
  </si>
  <si>
    <t>00000857</t>
  </si>
  <si>
    <t>07-13/TS79-2026/TS-AVP/ĐĐHTP-PE00001</t>
  </si>
  <si>
    <t>00001732</t>
  </si>
  <si>
    <t>07-19/TS80-2026/TS-AVP/ĐĐHTP-PE00009</t>
  </si>
  <si>
    <t>00001739</t>
  </si>
  <si>
    <t>07-02/TS82-2026/TS-AVP/ĐĐHHH-CT00095</t>
  </si>
  <si>
    <t>00001740</t>
  </si>
  <si>
    <t>00001746</t>
  </si>
  <si>
    <t>00001747</t>
  </si>
  <si>
    <t>00001745</t>
  </si>
  <si>
    <t>00000863</t>
  </si>
  <si>
    <t>00001747+00001746</t>
  </si>
  <si>
    <t>00000866</t>
  </si>
  <si>
    <t>00001772</t>
  </si>
  <si>
    <t>00001781</t>
  </si>
  <si>
    <t>00000870</t>
  </si>
  <si>
    <t>00001779</t>
  </si>
  <si>
    <t>00000871</t>
  </si>
  <si>
    <t>00001780</t>
  </si>
  <si>
    <t>00000872</t>
  </si>
  <si>
    <t>00001778</t>
  </si>
  <si>
    <t>00000874</t>
  </si>
  <si>
    <t>00001788</t>
  </si>
  <si>
    <t>00000875</t>
  </si>
  <si>
    <t>05-07-TS65-2026/TS-AVP/ĐĐHHH-CT00025</t>
  </si>
  <si>
    <t>00001789</t>
  </si>
  <si>
    <t>00000876</t>
  </si>
  <si>
    <t>07-04/TS 83-2026/TS-AVP/ĐĐHHH-CT00104</t>
  </si>
  <si>
    <t>00000877</t>
  </si>
  <si>
    <t>00001795</t>
  </si>
  <si>
    <t>00000878</t>
  </si>
  <si>
    <t>00001796</t>
  </si>
  <si>
    <t>00000879</t>
  </si>
  <si>
    <t>00000880</t>
  </si>
  <si>
    <t>00001794</t>
  </si>
  <si>
    <t>00000881</t>
  </si>
  <si>
    <t>00001798</t>
  </si>
  <si>
    <t>00000882</t>
  </si>
  <si>
    <t>00001799</t>
  </si>
  <si>
    <t>00000883</t>
  </si>
  <si>
    <t>00001800</t>
  </si>
  <si>
    <t>00000884</t>
  </si>
  <si>
    <t>00001818+00001817</t>
  </si>
  <si>
    <t>00001818</t>
  </si>
  <si>
    <t>00000885</t>
  </si>
  <si>
    <t>07-13/TS80-2026/TS-AVP/ĐĐHTP-PE00004</t>
  </si>
  <si>
    <t>00001816</t>
  </si>
  <si>
    <t>00000886</t>
  </si>
  <si>
    <t>00001819</t>
  </si>
  <si>
    <t>00000887</t>
  </si>
  <si>
    <t>00000888</t>
  </si>
  <si>
    <t>07-13/TS80-2026/TS-AVP/ĐĐHTP-PE00001</t>
  </si>
  <si>
    <t>00001827</t>
  </si>
  <si>
    <t>05-07-TS65-2026/TS-AVP/ĐĐHHH-CT00061</t>
  </si>
  <si>
    <t>00001828</t>
  </si>
  <si>
    <t>00000892</t>
  </si>
  <si>
    <t>07-05/TS 84-2026/TS-AVP/ĐĐHHH-CT00132</t>
  </si>
  <si>
    <t>00000902</t>
  </si>
  <si>
    <t>00001843</t>
  </si>
  <si>
    <t>00000903</t>
  </si>
  <si>
    <t>00001844</t>
  </si>
  <si>
    <t>00000904</t>
  </si>
  <si>
    <t>00001845</t>
  </si>
  <si>
    <t>00000905</t>
  </si>
  <si>
    <t>00001846</t>
  </si>
  <si>
    <t>00000914</t>
  </si>
  <si>
    <t>00001858</t>
  </si>
  <si>
    <t>00000915</t>
  </si>
  <si>
    <t>00001859</t>
  </si>
  <si>
    <t>00000916</t>
  </si>
  <si>
    <t>06-08/TS75-2026/TS-AVP/ĐĐHHH-CT00078</t>
  </si>
  <si>
    <t>00000921</t>
  </si>
  <si>
    <t>00001863</t>
  </si>
  <si>
    <t>00000922</t>
  </si>
  <si>
    <t>00000923</t>
  </si>
  <si>
    <t>00001864</t>
  </si>
  <si>
    <t>00000924</t>
  </si>
  <si>
    <t>00001887</t>
  </si>
  <si>
    <t>00001888</t>
  </si>
  <si>
    <t>06-08/TS78-2026/TS-AVP/ĐĐHHH-CT00007</t>
  </si>
  <si>
    <t>00001883</t>
  </si>
  <si>
    <t>00000931</t>
  </si>
  <si>
    <t>00001884</t>
  </si>
  <si>
    <t>00001886</t>
  </si>
  <si>
    <t>07-07/TS 86-2026/TS-AVP/ĐĐHHH-CT00025</t>
  </si>
  <si>
    <t>07-33/TS 87-2026/TS-AVP/ĐĐHTP-PE00009</t>
  </si>
  <si>
    <t>00001885</t>
  </si>
  <si>
    <t>00000934</t>
  </si>
  <si>
    <t>00000936</t>
  </si>
  <si>
    <t>00001865</t>
  </si>
  <si>
    <t>06-08/TS77-2026/TS-AVP/ĐĐHHH-CT00007</t>
  </si>
  <si>
    <t>00001899</t>
  </si>
  <si>
    <t>00000937</t>
  </si>
  <si>
    <t>00001900</t>
  </si>
  <si>
    <t>00000938</t>
  </si>
  <si>
    <t>00001901</t>
  </si>
  <si>
    <t>05-07-TS65-2026/TS-AVP/ĐĐHHH-CT00031</t>
  </si>
  <si>
    <t>07-14/TS 91-2026/TS-AVP/ĐĐHHH-CT00002</t>
  </si>
  <si>
    <t>00000940</t>
  </si>
  <si>
    <t>07-14/TS 91-2026/TS-AVP/ĐĐHHH-CT00073</t>
  </si>
  <si>
    <t>00001920</t>
  </si>
  <si>
    <t>00000941</t>
  </si>
  <si>
    <t>07-14/TS 91-2026/TS-AVP/ĐĐHHH-CT00027</t>
  </si>
  <si>
    <t>00000942</t>
  </si>
  <si>
    <t>00001921</t>
  </si>
  <si>
    <t>07-11/TS 88-2026/TS-AVP/ĐĐHHH-CT00064</t>
  </si>
  <si>
    <t>07-14/TS 92-2026/TS-AVP/ĐĐHHH-CT00052</t>
  </si>
  <si>
    <t>00001926</t>
  </si>
  <si>
    <t>03-18-TS55-2026/TS-AVP/ĐĐHHH-CT00054</t>
  </si>
  <si>
    <t>05-09-TS68-2026/TS-AVP/ĐĐHHH-CT00075</t>
  </si>
  <si>
    <t>00000949</t>
  </si>
  <si>
    <t>00000950</t>
  </si>
  <si>
    <t>00001933</t>
  </si>
  <si>
    <t>00000951</t>
  </si>
  <si>
    <t>00001932</t>
  </si>
  <si>
    <t>00000952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</si>
</sst>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-* #,##0_-;\-* #,##0_-;_-* &quot;-&quot;??_-;_-@"/>
    <numFmt numFmtId="165" formatCode="#,##0.000_);\(#,##0.000\)"/>
    <numFmt numFmtId="166" formatCode="_-* #,##0.00_-;\-* #,##0.00_-;_-* &quot;-&quot;??_-;_-@"/>
    <numFmt numFmtId="167" formatCode="#,##0.000"/>
    <numFmt numFmtId="168" formatCode="_-* #,##0.00\ _₫_-;\-* #,##0.00\ _₫_-;_-* &quot;-&quot;??\ _₫_-;_-@"/>
  </numFmts>
  <fonts count="17">
    <font>
      <sz val="11.0"/>
      <color theme="1"/>
      <name val="Times New Roman"/>
      <scheme val="minor"/>
    </font>
    <font>
      <sz val="11.0"/>
      <color theme="1"/>
      <name val="Times New Roman"/>
    </font>
    <font>
      <b/>
      <sz val="16.0"/>
      <color theme="1"/>
      <name val="Arial"/>
    </font>
    <font>
      <b/>
      <i/>
      <sz val="11.0"/>
      <color theme="1"/>
      <name val="Arial"/>
    </font>
    <font>
      <b/>
      <sz val="10.0"/>
      <color rgb="FFFF0000"/>
      <name val="Arial"/>
    </font>
    <font>
      <sz val="8.0"/>
      <color theme="1"/>
      <name val="Times New Roman"/>
    </font>
    <font>
      <b/>
      <sz val="11.0"/>
      <color theme="1"/>
      <name val="Times New Roman"/>
    </font>
    <font>
      <u/>
      <sz val="10.0"/>
      <color rgb="FF0075C0"/>
      <name val="Noto Sans"/>
    </font>
    <font>
      <color theme="1"/>
      <name val="Times New Roman"/>
      <scheme val="minor"/>
    </font>
    <font>
      <b/>
      <i/>
      <sz val="8.0"/>
      <color theme="1"/>
      <name val="Arial"/>
    </font>
    <font/>
    <font>
      <b/>
      <sz val="10.0"/>
      <color theme="1"/>
      <name val="Arial"/>
    </font>
    <font>
      <sz val="10.0"/>
      <color theme="1"/>
      <name val="Arial"/>
    </font>
    <font>
      <sz val="11.0"/>
      <color rgb="FFFF0000"/>
      <name val="Times New Roman"/>
    </font>
    <font>
      <sz val="9.0"/>
      <color theme="1"/>
      <name val="Times New Roman"/>
    </font>
    <font>
      <sz val="8.0"/>
      <color rgb="FFFF0000"/>
      <name val="Times New Roman"/>
    </font>
    <font>
      <sz val="9.0"/>
      <color rgb="FFFF0000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2F5496"/>
        <bgColor rgb="FF2F5496"/>
      </patternFill>
    </fill>
  </fills>
  <borders count="12">
    <border/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vertical="center"/>
    </xf>
    <xf borderId="0" fillId="0" fontId="2" numFmtId="14" xfId="0" applyAlignment="1" applyFont="1" applyNumberFormat="1">
      <alignment horizontal="center" shrinkToFit="0" vertical="center" wrapText="1"/>
    </xf>
    <xf borderId="0" fillId="0" fontId="1" numFmtId="14" xfId="0" applyAlignment="1" applyFont="1" applyNumberFormat="1">
      <alignment vertical="center"/>
    </xf>
    <xf borderId="0" fillId="0" fontId="1" numFmtId="0" xfId="0" applyAlignment="1" applyFont="1">
      <alignment horizontal="left" vertical="center"/>
    </xf>
    <xf borderId="0" fillId="0" fontId="2" numFmtId="37" xfId="0" applyAlignment="1" applyFont="1" applyNumberFormat="1">
      <alignment horizontal="left" vertical="center"/>
    </xf>
    <xf borderId="0" fillId="0" fontId="2" numFmtId="49" xfId="0" applyAlignment="1" applyFont="1" applyNumberFormat="1">
      <alignment horizontal="left" vertical="center"/>
    </xf>
    <xf borderId="0" fillId="0" fontId="2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3" numFmtId="14" xfId="0" applyAlignment="1" applyFont="1" applyNumberForma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1" numFmtId="164" xfId="0" applyAlignment="1" applyFont="1" applyNumberFormat="1">
      <alignment vertical="center"/>
    </xf>
    <xf borderId="0" fillId="0" fontId="4" numFmtId="164" xfId="0" applyAlignment="1" applyFont="1" applyNumberFormat="1">
      <alignment shrinkToFit="0" vertical="center" wrapText="1"/>
    </xf>
    <xf borderId="0" fillId="0" fontId="4" numFmtId="165" xfId="0" applyAlignment="1" applyFont="1" applyNumberFormat="1">
      <alignment shrinkToFit="0" vertical="center" wrapText="1"/>
    </xf>
    <xf borderId="0" fillId="0" fontId="4" numFmtId="37" xfId="0" applyAlignment="1" applyFont="1" applyNumberFormat="1">
      <alignment shrinkToFit="0" vertical="center" wrapText="1"/>
    </xf>
    <xf borderId="0" fillId="0" fontId="3" numFmtId="37" xfId="0" applyAlignment="1" applyFont="1" applyNumberFormat="1">
      <alignment horizontal="left" vertical="center"/>
    </xf>
    <xf borderId="1" fillId="0" fontId="5" numFmtId="0" xfId="0" applyAlignment="1" applyBorder="1" applyFont="1">
      <alignment horizontal="left" vertical="center"/>
    </xf>
    <xf borderId="0" fillId="0" fontId="6" numFmtId="166" xfId="0" applyAlignment="1" applyFont="1" applyNumberFormat="1">
      <alignment horizontal="center" vertical="center"/>
    </xf>
    <xf borderId="0" fillId="0" fontId="3" numFmtId="49" xfId="0" applyAlignment="1" applyFont="1" applyNumberFormat="1">
      <alignment horizontal="left" vertical="center"/>
    </xf>
    <xf borderId="0" fillId="0" fontId="7" numFmtId="0" xfId="0" applyFont="1"/>
    <xf borderId="0" fillId="0" fontId="3" numFmtId="0" xfId="0" applyAlignment="1" applyFont="1">
      <alignment horizontal="center" shrinkToFit="0" vertical="center" wrapText="1"/>
    </xf>
    <xf borderId="0" fillId="0" fontId="8" numFmtId="0" xfId="0" applyFont="1"/>
    <xf borderId="0" fillId="0" fontId="1" numFmtId="166" xfId="0" applyAlignment="1" applyFont="1" applyNumberFormat="1">
      <alignment vertical="center"/>
    </xf>
    <xf borderId="0" fillId="0" fontId="9" numFmtId="164" xfId="0" applyAlignment="1" applyFont="1" applyNumberFormat="1">
      <alignment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9" numFmtId="165" xfId="0" applyAlignment="1" applyFont="1" applyNumberFormat="1">
      <alignment shrinkToFit="0" vertical="center" wrapText="1"/>
    </xf>
    <xf borderId="2" fillId="0" fontId="6" numFmtId="0" xfId="0" applyAlignment="1" applyBorder="1" applyFont="1">
      <alignment horizontal="center" vertical="center"/>
    </xf>
    <xf borderId="2" fillId="0" fontId="6" numFmtId="14" xfId="0" applyAlignment="1" applyBorder="1" applyFont="1" applyNumberFormat="1">
      <alignment horizontal="center" vertical="center"/>
    </xf>
    <xf borderId="2" fillId="0" fontId="6" numFmtId="0" xfId="0" applyAlignment="1" applyBorder="1" applyFont="1">
      <alignment horizontal="left" vertical="center"/>
    </xf>
    <xf borderId="2" fillId="0" fontId="6" numFmtId="0" xfId="0" applyAlignment="1" applyBorder="1" applyFont="1">
      <alignment horizontal="center" shrinkToFit="0" vertical="center" wrapText="1"/>
    </xf>
    <xf borderId="3" fillId="0" fontId="2" numFmtId="14" xfId="0" applyAlignment="1" applyBorder="1" applyFont="1" applyNumberFormat="1">
      <alignment horizontal="center" shrinkToFit="0" vertical="center" wrapText="1"/>
    </xf>
    <xf borderId="4" fillId="0" fontId="10" numFmtId="0" xfId="0" applyBorder="1" applyFont="1"/>
    <xf quotePrefix="1" borderId="2" fillId="0" fontId="6" numFmtId="0" xfId="0" applyAlignment="1" applyBorder="1" applyFont="1">
      <alignment horizontal="center" shrinkToFit="0" vertical="center" wrapText="1"/>
    </xf>
    <xf borderId="5" fillId="0" fontId="10" numFmtId="0" xfId="0" applyBorder="1" applyFont="1"/>
    <xf borderId="2" fillId="0" fontId="1" numFmtId="0" xfId="0" applyAlignment="1" applyBorder="1" applyFont="1">
      <alignment vertical="center"/>
    </xf>
    <xf borderId="3" fillId="0" fontId="2" numFmtId="37" xfId="0" applyAlignment="1" applyBorder="1" applyFont="1" applyNumberFormat="1">
      <alignment horizontal="left" vertical="center"/>
    </xf>
    <xf borderId="1" fillId="0" fontId="1" numFmtId="0" xfId="0" applyAlignment="1" applyBorder="1" applyFont="1">
      <alignment horizontal="left" vertical="center"/>
    </xf>
    <xf borderId="3" fillId="0" fontId="2" numFmtId="49" xfId="0" applyAlignment="1" applyBorder="1" applyFont="1" applyNumberFormat="1">
      <alignment horizontal="left" vertical="center"/>
    </xf>
    <xf borderId="6" fillId="0" fontId="1" numFmtId="0" xfId="0" applyAlignment="1" applyBorder="1" applyFont="1">
      <alignment horizontal="center" vertical="center"/>
    </xf>
    <xf borderId="6" fillId="0" fontId="6" numFmtId="14" xfId="0" applyAlignment="1" applyBorder="1" applyFont="1" applyNumberFormat="1">
      <alignment horizontal="center" vertical="center"/>
    </xf>
    <xf borderId="3" fillId="0" fontId="2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left" vertical="center"/>
    </xf>
    <xf borderId="7" fillId="0" fontId="1" numFmtId="0" xfId="0" applyAlignment="1" applyBorder="1" applyFont="1">
      <alignment horizontal="left" vertical="center"/>
    </xf>
    <xf borderId="6" fillId="0" fontId="6" numFmtId="0" xfId="0" applyAlignment="1" applyBorder="1" applyFont="1">
      <alignment horizontal="center" vertical="center"/>
    </xf>
    <xf borderId="2" fillId="2" fontId="11" numFmtId="0" xfId="0" applyAlignment="1" applyBorder="1" applyFill="1" applyFont="1">
      <alignment horizontal="center" shrinkToFit="0" vertical="center" wrapText="1"/>
    </xf>
    <xf borderId="6" fillId="0" fontId="6" numFmtId="0" xfId="0" applyAlignment="1" applyBorder="1" applyFont="1">
      <alignment horizontal="center" shrinkToFit="0" vertical="center" wrapText="1"/>
    </xf>
    <xf borderId="6" fillId="0" fontId="1" numFmtId="164" xfId="0" applyAlignment="1" applyBorder="1" applyFont="1" applyNumberFormat="1">
      <alignment horizontal="center" vertical="center"/>
    </xf>
    <xf borderId="2" fillId="2" fontId="12" numFmtId="164" xfId="0" applyAlignment="1" applyBorder="1" applyFill="1" applyFont="1" applyNumberFormat="1">
      <alignment horizontal="center" shrinkToFit="0" vertical="center" wrapText="1"/>
    </xf>
    <xf borderId="6" fillId="0" fontId="1" numFmtId="0" xfId="0" applyAlignment="1" applyBorder="1" applyFont="1">
      <alignment vertical="center"/>
    </xf>
    <xf borderId="2" fillId="2" fontId="11" numFmtId="0" xfId="0" applyAlignment="1" applyBorder="1" applyFill="1" applyFont="1">
      <alignment horizontal="left" vertical="center"/>
    </xf>
    <xf borderId="1" fillId="0" fontId="1" numFmtId="0" xfId="0" applyAlignment="1" applyBorder="1" applyFont="1">
      <alignment horizontal="center" vertical="center"/>
    </xf>
    <xf borderId="2" fillId="2" fontId="11" numFmtId="49" xfId="0" applyAlignment="1" applyBorder="1" applyFill="1" applyFont="1" applyNumberFormat="1">
      <alignment horizontal="left" vertical="center"/>
    </xf>
    <xf borderId="1" fillId="0" fontId="1" numFmtId="14" xfId="0" applyAlignment="1" applyBorder="1" applyFont="1" applyNumberFormat="1">
      <alignment horizontal="center" vertical="center"/>
    </xf>
    <xf borderId="2" fillId="2" fontId="11" numFmtId="164" xfId="0" applyAlignment="1" applyBorder="1" applyFill="1" applyFont="1" applyNumberFormat="1">
      <alignment horizontal="center" shrinkToFit="0" vertical="center" wrapText="1"/>
    </xf>
    <xf borderId="2" fillId="0" fontId="1" numFmtId="14" xfId="0" applyAlignment="1" applyBorder="1" applyFont="1" applyNumberFormat="1">
      <alignment horizontal="center" shrinkToFit="0" vertical="center" wrapText="1"/>
    </xf>
    <xf borderId="2" fillId="0" fontId="1" numFmtId="0" xfId="0" applyAlignment="1" applyBorder="1" applyFont="1">
      <alignment horizontal="left" shrinkToFit="0" vertical="center" wrapText="1"/>
    </xf>
    <xf borderId="1" fillId="0" fontId="1" numFmtId="14" xfId="0" applyAlignment="1" applyBorder="1" applyFont="1" applyNumberFormat="1">
      <alignment horizontal="left" vertical="center"/>
    </xf>
    <xf borderId="2" fillId="0" fontId="5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shrinkToFit="0" vertical="center" wrapText="1"/>
    </xf>
    <xf borderId="2" fillId="0" fontId="1" numFmtId="164" xfId="0" applyAlignment="1" applyBorder="1" applyFont="1" applyNumberFormat="1">
      <alignment horizontal="right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2" fillId="0" fontId="1" numFmtId="165" xfId="0" applyAlignment="1" applyBorder="1" applyFont="1" applyNumberFormat="1">
      <alignment horizontal="right" shrinkToFit="0" vertical="center" wrapText="1"/>
    </xf>
    <xf borderId="1" fillId="0" fontId="1" numFmtId="164" xfId="0" applyAlignment="1" applyBorder="1" applyFont="1" applyNumberFormat="1">
      <alignment horizontal="center" vertical="center"/>
    </xf>
    <xf borderId="2" fillId="0" fontId="1" numFmtId="37" xfId="0" applyAlignment="1" applyBorder="1" applyFont="1" applyNumberFormat="1">
      <alignment horizontal="right" shrinkToFit="0" vertical="center" wrapText="1"/>
    </xf>
    <xf borderId="2" fillId="0" fontId="1" numFmtId="37" xfId="0" applyAlignment="1" applyBorder="1" applyFont="1" applyNumberFormat="1">
      <alignment horizontal="left" vertical="center"/>
    </xf>
    <xf borderId="2" fillId="0" fontId="1" numFmtId="14" xfId="0" applyAlignment="1" applyBorder="1" applyFont="1" applyNumberFormat="1">
      <alignment horizontal="center" shrinkToFit="0" wrapText="1"/>
    </xf>
    <xf borderId="2" fillId="0" fontId="1" numFmtId="0" xfId="0" applyAlignment="1" applyBorder="1" applyFont="1">
      <alignment horizontal="left" shrinkToFit="0" wrapText="1"/>
    </xf>
    <xf borderId="2" fillId="0" fontId="1" numFmtId="164" xfId="0" applyAlignment="1" applyBorder="1" applyFont="1" applyNumberFormat="1">
      <alignment horizontal="right" shrinkToFit="0" wrapText="1"/>
    </xf>
    <xf borderId="0" fillId="0" fontId="13" numFmtId="0" xfId="0" applyAlignment="1" applyFont="1">
      <alignment vertical="center"/>
    </xf>
    <xf borderId="0" fillId="0" fontId="1" numFmtId="167" xfId="0" applyAlignment="1" applyFont="1" applyNumberFormat="1">
      <alignment vertical="center"/>
    </xf>
    <xf borderId="0" fillId="0" fontId="13" numFmtId="0" xfId="0" applyAlignment="1" applyFont="1">
      <alignment horizontal="left" vertical="center"/>
    </xf>
    <xf borderId="1" fillId="0" fontId="1" numFmtId="166" xfId="0" applyAlignment="1" applyBorder="1" applyFont="1" applyNumberFormat="1">
      <alignment vertical="center"/>
    </xf>
    <xf borderId="0" fillId="0" fontId="14" numFmtId="0" xfId="0" applyAlignment="1" applyFont="1">
      <alignment vertical="center"/>
    </xf>
    <xf borderId="1" fillId="0" fontId="1" numFmtId="0" xfId="0" applyAlignment="1" applyBorder="1" applyFont="1">
      <alignment vertical="center"/>
    </xf>
    <xf borderId="0" fillId="0" fontId="14" numFmtId="0" xfId="0" applyAlignment="1" applyFont="1">
      <alignment horizontal="left" vertical="center"/>
    </xf>
    <xf borderId="2" fillId="0" fontId="1" numFmtId="165" xfId="0" applyAlignment="1" applyBorder="1" applyFont="1" applyNumberFormat="1">
      <alignment horizontal="right" shrinkToFit="0" wrapText="1"/>
    </xf>
    <xf borderId="2" fillId="0" fontId="1" numFmtId="37" xfId="0" applyAlignment="1" applyBorder="1" applyFont="1" applyNumberFormat="1">
      <alignment horizontal="right" shrinkToFit="0" wrapText="1"/>
    </xf>
    <xf borderId="2" fillId="0" fontId="13" numFmtId="14" xfId="0" applyAlignment="1" applyBorder="1" applyFont="1" applyNumberFormat="1">
      <alignment horizontal="center" shrinkToFit="0" vertical="center" wrapText="1"/>
    </xf>
    <xf borderId="2" fillId="0" fontId="13" numFmtId="0" xfId="0" applyAlignment="1" applyBorder="1" applyFont="1">
      <alignment horizontal="left" shrinkToFit="0" vertical="center" wrapText="1"/>
    </xf>
    <xf borderId="2" fillId="0" fontId="15" numFmtId="0" xfId="0" applyAlignment="1" applyBorder="1" applyFont="1">
      <alignment horizontal="left" shrinkToFit="0" vertical="center" wrapText="1"/>
    </xf>
    <xf borderId="2" fillId="0" fontId="13" numFmtId="164" xfId="0" applyAlignment="1" applyBorder="1" applyFont="1" applyNumberFormat="1">
      <alignment horizontal="right" shrinkToFit="0" vertical="center" wrapText="1"/>
    </xf>
    <xf borderId="2" fillId="0" fontId="13" numFmtId="165" xfId="0" applyAlignment="1" applyBorder="1" applyFont="1" applyNumberFormat="1">
      <alignment horizontal="right" shrinkToFit="0" vertical="center" wrapText="1"/>
    </xf>
    <xf borderId="2" fillId="0" fontId="13" numFmtId="37" xfId="0" applyAlignment="1" applyBorder="1" applyFont="1" applyNumberFormat="1">
      <alignment horizontal="right" shrinkToFit="0" vertical="center" wrapText="1"/>
    </xf>
    <xf borderId="2" fillId="0" fontId="13" numFmtId="37" xfId="0" applyAlignment="1" applyBorder="1" applyFont="1" applyNumberFormat="1">
      <alignment horizontal="left" vertical="center"/>
    </xf>
    <xf quotePrefix="1" borderId="1" fillId="0" fontId="1" numFmtId="0" xfId="0" applyAlignment="1" applyBorder="1" applyFont="1">
      <alignment horizontal="center" vertical="center"/>
    </xf>
    <xf borderId="1" fillId="0" fontId="1" numFmtId="9" xfId="0" applyAlignment="1" applyBorder="1" applyFont="1" applyNumberFormat="1">
      <alignment vertical="center"/>
    </xf>
    <xf borderId="2" fillId="0" fontId="1" numFmtId="166" xfId="0" applyAlignment="1" applyBorder="1" applyFont="1" applyNumberFormat="1">
      <alignment horizontal="right" shrinkToFit="0" wrapText="1"/>
    </xf>
    <xf quotePrefix="1" borderId="1" fillId="0" fontId="1" numFmtId="0" xfId="0" applyAlignment="1" applyBorder="1" applyFont="1">
      <alignment horizontal="left" vertical="center"/>
    </xf>
    <xf borderId="2" fillId="0" fontId="1" numFmtId="0" xfId="0" applyAlignment="1" applyBorder="1" applyFont="1">
      <alignment horizontal="center" vertical="center"/>
    </xf>
    <xf borderId="2" fillId="0" fontId="1" numFmtId="164" xfId="0" applyAlignment="1" applyBorder="1" applyFont="1" applyNumberFormat="1">
      <alignment vertical="center"/>
    </xf>
    <xf borderId="8" fillId="0" fontId="1" numFmtId="37" xfId="0" applyAlignment="1" applyBorder="1" applyFont="1" applyNumberFormat="1">
      <alignment horizontal="left" vertical="center"/>
    </xf>
    <xf borderId="2" fillId="0" fontId="13" numFmtId="0" xfId="0" applyAlignment="1" applyBorder="1" applyFont="1">
      <alignment vertical="center"/>
    </xf>
    <xf quotePrefix="1" borderId="2" fillId="0" fontId="1" numFmtId="0" xfId="0" applyAlignment="1" applyBorder="1" applyFont="1">
      <alignment horizontal="left" shrinkToFit="0" wrapText="1"/>
    </xf>
    <xf borderId="1" fillId="0" fontId="13" numFmtId="0" xfId="0" applyAlignment="1" applyBorder="1" applyFont="1">
      <alignment horizontal="center" vertical="center"/>
    </xf>
    <xf borderId="1" fillId="0" fontId="13" numFmtId="14" xfId="0" applyAlignment="1" applyBorder="1" applyFont="1" applyNumberFormat="1">
      <alignment horizontal="center" vertical="center"/>
    </xf>
    <xf borderId="1" fillId="0" fontId="13" numFmtId="14" xfId="0" applyAlignment="1" applyBorder="1" applyFont="1" applyNumberFormat="1">
      <alignment horizontal="left" vertical="center"/>
    </xf>
    <xf borderId="1" fillId="0" fontId="13" numFmtId="0" xfId="0" applyAlignment="1" applyBorder="1" applyFont="1">
      <alignment horizontal="left" vertical="center"/>
    </xf>
    <xf borderId="1" fillId="0" fontId="13" numFmtId="0" xfId="0" applyAlignment="1" applyBorder="1" applyFont="1">
      <alignment vertical="center"/>
    </xf>
    <xf borderId="1" fillId="0" fontId="13" numFmtId="164" xfId="0" applyAlignment="1" applyBorder="1" applyFont="1" applyNumberFormat="1">
      <alignment horizontal="center" vertical="center"/>
    </xf>
    <xf borderId="1" fillId="0" fontId="13" numFmtId="168" xfId="0" applyAlignment="1" applyBorder="1" applyFont="1" applyNumberFormat="1">
      <alignment vertical="center"/>
    </xf>
    <xf quotePrefix="1" borderId="1" fillId="0" fontId="1" numFmtId="14" xfId="0" applyAlignment="1" applyBorder="1" applyFont="1" applyNumberFormat="1">
      <alignment horizontal="center" vertical="center"/>
    </xf>
    <xf borderId="9" fillId="0" fontId="1" numFmtId="37" xfId="0" applyAlignment="1" applyBorder="1" applyFont="1" applyNumberFormat="1">
      <alignment horizontal="left" vertical="center"/>
    </xf>
    <xf borderId="1" fillId="0" fontId="1" numFmtId="164" xfId="0" applyAlignment="1" applyBorder="1" applyFont="1" applyNumberFormat="1">
      <alignment vertical="center"/>
    </xf>
    <xf borderId="1" fillId="3" fontId="1" numFmtId="49" xfId="0" applyAlignment="1" applyBorder="1" applyFill="1" applyFont="1" applyNumberFormat="1">
      <alignment horizontal="center" shrinkToFit="0" vertical="center" wrapText="1"/>
    </xf>
    <xf borderId="1" fillId="0" fontId="1" numFmtId="0" xfId="0" applyBorder="1" applyFont="1"/>
    <xf borderId="2" fillId="0" fontId="14" numFmtId="0" xfId="0" applyAlignment="1" applyBorder="1" applyFont="1">
      <alignment horizontal="left" shrinkToFit="0" vertical="center" wrapText="1"/>
    </xf>
    <xf borderId="2" fillId="0" fontId="14" numFmtId="164" xfId="0" applyAlignment="1" applyBorder="1" applyFont="1" applyNumberFormat="1">
      <alignment vertical="center"/>
    </xf>
    <xf borderId="2" fillId="0" fontId="1" numFmtId="166" xfId="0" applyAlignment="1" applyBorder="1" applyFont="1" applyNumberFormat="1">
      <alignment vertical="center"/>
    </xf>
    <xf borderId="2" fillId="0" fontId="16" numFmtId="0" xfId="0" applyAlignment="1" applyBorder="1" applyFont="1">
      <alignment horizontal="left" shrinkToFit="0" vertical="center" wrapText="1"/>
    </xf>
    <xf borderId="2" fillId="0" fontId="13" numFmtId="0" xfId="0" applyAlignment="1" applyBorder="1" applyFont="1">
      <alignment horizontal="center" vertical="center"/>
    </xf>
    <xf borderId="2" fillId="0" fontId="13" numFmtId="164" xfId="0" applyAlignment="1" applyBorder="1" applyFont="1" applyNumberFormat="1">
      <alignment vertical="center"/>
    </xf>
    <xf borderId="0" fillId="0" fontId="16" numFmtId="0" xfId="0" applyAlignment="1" applyFont="1">
      <alignment vertical="center"/>
    </xf>
    <xf borderId="2" fillId="4" fontId="1" numFmtId="14" xfId="0" applyAlignment="1" applyBorder="1" applyFill="1" applyFont="1" applyNumberFormat="1">
      <alignment horizontal="center" shrinkToFit="0" vertical="center" wrapText="1"/>
    </xf>
    <xf borderId="2" fillId="4" fontId="1" numFmtId="0" xfId="0" applyAlignment="1" applyBorder="1" applyFill="1" applyFont="1">
      <alignment horizontal="left" shrinkToFit="0" vertical="center" wrapText="1"/>
    </xf>
    <xf borderId="2" fillId="4" fontId="14" numFmtId="0" xfId="0" applyAlignment="1" applyBorder="1" applyFill="1" applyFont="1">
      <alignment horizontal="left" shrinkToFit="0" vertical="center" wrapText="1"/>
    </xf>
    <xf borderId="2" fillId="4" fontId="1" numFmtId="164" xfId="0" applyAlignment="1" applyBorder="1" applyFill="1" applyFont="1" applyNumberFormat="1">
      <alignment horizontal="right" shrinkToFit="0" vertical="center" wrapText="1"/>
    </xf>
    <xf borderId="2" fillId="4" fontId="1" numFmtId="165" xfId="0" applyAlignment="1" applyBorder="1" applyFill="1" applyFont="1" applyNumberFormat="1">
      <alignment horizontal="right" shrinkToFit="0" vertical="center" wrapText="1"/>
    </xf>
    <xf borderId="2" fillId="4" fontId="1" numFmtId="37" xfId="0" applyAlignment="1" applyBorder="1" applyFill="1" applyFont="1" applyNumberFormat="1">
      <alignment horizontal="right" shrinkToFit="0" vertical="center" wrapText="1"/>
    </xf>
    <xf borderId="2" fillId="4" fontId="1" numFmtId="37" xfId="0" applyAlignment="1" applyBorder="1" applyFill="1" applyFont="1" applyNumberFormat="1">
      <alignment horizontal="left" vertical="center"/>
    </xf>
    <xf borderId="2" fillId="4" fontId="1" numFmtId="14" xfId="0" applyAlignment="1" applyBorder="1" applyFill="1" applyFont="1" applyNumberFormat="1">
      <alignment horizontal="center" shrinkToFit="0" wrapText="1"/>
    </xf>
    <xf borderId="2" fillId="4" fontId="1" numFmtId="0" xfId="0" applyAlignment="1" applyBorder="1" applyFill="1" applyFont="1">
      <alignment horizontal="left" shrinkToFit="0" wrapText="1"/>
    </xf>
    <xf borderId="2" fillId="4" fontId="1" numFmtId="164" xfId="0" applyAlignment="1" applyBorder="1" applyFill="1" applyFont="1" applyNumberFormat="1">
      <alignment horizontal="right" shrinkToFit="0" wrapText="1"/>
    </xf>
    <xf borderId="10" fillId="4" fontId="14" numFmtId="0" xfId="0" applyAlignment="1" applyBorder="1" applyFill="1" applyFont="1">
      <alignment vertical="center"/>
    </xf>
    <xf borderId="2" fillId="0" fontId="1" numFmtId="49" xfId="0" applyAlignment="1" applyBorder="1" applyFont="1" applyNumberFormat="1">
      <alignment horizontal="left" shrinkToFit="0" vertical="center" wrapText="1"/>
    </xf>
    <xf borderId="6" fillId="0" fontId="1" numFmtId="14" xfId="0" applyAlignment="1" applyBorder="1" applyFont="1" applyNumberFormat="1">
      <alignment horizontal="left" vertical="center"/>
    </xf>
    <xf borderId="2" fillId="0" fontId="1" numFmtId="14" xfId="0" applyAlignment="1" applyBorder="1" applyFont="1" applyNumberFormat="1">
      <alignment horizontal="right" shrinkToFit="0" wrapText="1"/>
    </xf>
    <xf borderId="2" fillId="0" fontId="1" numFmtId="49" xfId="0" applyAlignment="1" applyBorder="1" applyFont="1" applyNumberFormat="1">
      <alignment horizontal="left" shrinkToFit="0" wrapText="1"/>
    </xf>
    <xf borderId="2" fillId="0" fontId="1" numFmtId="14" xfId="0" applyAlignment="1" applyBorder="1" applyFont="1" applyNumberFormat="1">
      <alignment horizontal="right"/>
    </xf>
    <xf borderId="2" fillId="0" fontId="1" numFmtId="4" xfId="0" applyBorder="1" applyFont="1" applyNumberFormat="1"/>
    <xf borderId="2" fillId="0" fontId="1" numFmtId="3" xfId="0" applyBorder="1" applyFont="1" applyNumberFormat="1"/>
    <xf borderId="2" fillId="0" fontId="1" numFmtId="37" xfId="0" applyAlignment="1" applyBorder="1" applyFont="1" applyNumberFormat="1">
      <alignment horizontal="left"/>
    </xf>
    <xf borderId="2" fillId="0" fontId="1" numFmtId="164" xfId="0" applyBorder="1" applyFont="1" applyNumberFormat="1"/>
    <xf borderId="2" fillId="0" fontId="1" numFmtId="0" xfId="0" applyBorder="1" applyFont="1"/>
    <xf borderId="2" fillId="5" fontId="1" numFmtId="14" xfId="0" applyAlignment="1" applyBorder="1" applyFill="1" applyFont="1" applyNumberFormat="1">
      <alignment horizontal="center" shrinkToFit="0" wrapText="1"/>
    </xf>
    <xf borderId="2" fillId="5" fontId="1" numFmtId="0" xfId="0" applyAlignment="1" applyBorder="1" applyFill="1" applyFont="1">
      <alignment horizontal="left" shrinkToFit="0" wrapText="1"/>
    </xf>
    <xf borderId="2" fillId="5" fontId="1" numFmtId="164" xfId="0" applyAlignment="1" applyBorder="1" applyFill="1" applyFont="1" applyNumberFormat="1">
      <alignment horizontal="right" shrinkToFit="0" wrapText="1"/>
    </xf>
    <xf borderId="2" fillId="5" fontId="1" numFmtId="165" xfId="0" applyAlignment="1" applyBorder="1" applyFill="1" applyFont="1" applyNumberFormat="1">
      <alignment horizontal="right" shrinkToFit="0" wrapText="1"/>
    </xf>
    <xf borderId="2" fillId="5" fontId="1" numFmtId="37" xfId="0" applyAlignment="1" applyBorder="1" applyFill="1" applyFont="1" applyNumberFormat="1">
      <alignment horizontal="right" shrinkToFit="0" wrapText="1"/>
    </xf>
    <xf borderId="2" fillId="5" fontId="1" numFmtId="37" xfId="0" applyAlignment="1" applyBorder="1" applyFill="1" applyFont="1" applyNumberFormat="1">
      <alignment horizontal="left"/>
    </xf>
    <xf borderId="2" fillId="5" fontId="13" numFmtId="37" xfId="0" applyAlignment="1" applyBorder="1" applyFill="1" applyFont="1" applyNumberFormat="1">
      <alignment horizontal="left" vertical="center"/>
    </xf>
    <xf borderId="2" fillId="5" fontId="1" numFmtId="0" xfId="0" applyBorder="1" applyFill="1" applyFont="1"/>
    <xf borderId="2" fillId="5" fontId="1" numFmtId="164" xfId="0" applyBorder="1" applyFill="1" applyFont="1" applyNumberFormat="1"/>
    <xf borderId="10" fillId="5" fontId="1" numFmtId="167" xfId="0" applyAlignment="1" applyBorder="1" applyFill="1" applyFont="1" applyNumberFormat="1">
      <alignment vertical="center"/>
    </xf>
    <xf borderId="10" fillId="5" fontId="1" numFmtId="0" xfId="0" applyBorder="1" applyFill="1" applyFont="1"/>
    <xf borderId="2" fillId="3" fontId="1" numFmtId="14" xfId="0" applyAlignment="1" applyBorder="1" applyFill="1" applyFont="1" applyNumberFormat="1">
      <alignment horizontal="center" shrinkToFit="0" wrapText="1"/>
    </xf>
    <xf borderId="2" fillId="3" fontId="1" numFmtId="0" xfId="0" applyAlignment="1" applyBorder="1" applyFill="1" applyFont="1">
      <alignment horizontal="left" shrinkToFit="0" wrapText="1"/>
    </xf>
    <xf borderId="2" fillId="3" fontId="1" numFmtId="164" xfId="0" applyAlignment="1" applyBorder="1" applyFill="1" applyFont="1" applyNumberFormat="1">
      <alignment horizontal="right" shrinkToFit="0" wrapText="1"/>
    </xf>
    <xf borderId="2" fillId="3" fontId="1" numFmtId="165" xfId="0" applyAlignment="1" applyBorder="1" applyFill="1" applyFont="1" applyNumberFormat="1">
      <alignment horizontal="right" shrinkToFit="0" wrapText="1"/>
    </xf>
    <xf borderId="2" fillId="3" fontId="1" numFmtId="37" xfId="0" applyAlignment="1" applyBorder="1" applyFill="1" applyFont="1" applyNumberFormat="1">
      <alignment horizontal="right" shrinkToFit="0" wrapText="1"/>
    </xf>
    <xf borderId="2" fillId="3" fontId="1" numFmtId="37" xfId="0" applyAlignment="1" applyBorder="1" applyFill="1" applyFont="1" applyNumberFormat="1">
      <alignment horizontal="left"/>
    </xf>
    <xf borderId="2" fillId="3" fontId="1" numFmtId="37" xfId="0" applyAlignment="1" applyBorder="1" applyFill="1" applyFont="1" applyNumberFormat="1">
      <alignment horizontal="left" vertical="center"/>
    </xf>
    <xf borderId="2" fillId="3" fontId="1" numFmtId="164" xfId="0" applyBorder="1" applyFill="1" applyFont="1" applyNumberFormat="1"/>
    <xf borderId="10" fillId="3" fontId="1" numFmtId="0" xfId="0" applyBorder="1" applyFill="1" applyFont="1"/>
    <xf borderId="2" fillId="3" fontId="1" numFmtId="14" xfId="0" applyAlignment="1" applyBorder="1" applyFill="1" applyFont="1" applyNumberFormat="1">
      <alignment horizontal="center" shrinkToFit="0" vertical="center" wrapText="1"/>
    </xf>
    <xf borderId="2" fillId="3" fontId="1" numFmtId="0" xfId="0" applyAlignment="1" applyBorder="1" applyFill="1" applyFont="1">
      <alignment vertical="center"/>
    </xf>
    <xf borderId="2" fillId="3" fontId="1" numFmtId="164" xfId="0" applyAlignment="1" applyBorder="1" applyFill="1" applyFont="1" applyNumberFormat="1">
      <alignment horizontal="right" shrinkToFit="0" vertical="center" wrapText="1"/>
    </xf>
    <xf borderId="2" fillId="3" fontId="1" numFmtId="49" xfId="0" applyAlignment="1" applyBorder="1" applyFill="1" applyFont="1" applyNumberFormat="1">
      <alignment horizontal="left" shrinkToFit="0" vertical="center" wrapText="1"/>
    </xf>
    <xf borderId="2" fillId="3" fontId="1" numFmtId="0" xfId="0" applyAlignment="1" applyBorder="1" applyFill="1" applyFont="1">
      <alignment horizontal="left" shrinkToFit="0" vertical="center" wrapText="1"/>
    </xf>
    <xf borderId="2" fillId="3" fontId="5" numFmtId="0" xfId="0" applyAlignment="1" applyBorder="1" applyFill="1" applyFont="1">
      <alignment horizontal="left" shrinkToFit="0" vertical="center" wrapText="1"/>
    </xf>
    <xf borderId="2" fillId="3" fontId="1" numFmtId="165" xfId="0" applyAlignment="1" applyBorder="1" applyFill="1" applyFont="1" applyNumberFormat="1">
      <alignment horizontal="right" shrinkToFit="0" vertical="center" wrapText="1"/>
    </xf>
    <xf borderId="2" fillId="3" fontId="1" numFmtId="37" xfId="0" applyAlignment="1" applyBorder="1" applyFill="1" applyFont="1" applyNumberFormat="1">
      <alignment horizontal="right" shrinkToFit="0" vertical="center" wrapText="1"/>
    </xf>
    <xf borderId="11" fillId="3" fontId="1" numFmtId="37" xfId="0" applyAlignment="1" applyBorder="1" applyFill="1" applyFont="1" applyNumberFormat="1">
      <alignment horizontal="left" vertical="center"/>
    </xf>
    <xf borderId="10" fillId="3" fontId="1" numFmtId="167" xfId="0" applyAlignment="1" applyBorder="1" applyFill="1" applyFont="1" applyNumberFormat="1">
      <alignment vertical="center"/>
    </xf>
    <xf borderId="10" fillId="3" fontId="1" numFmtId="0" xfId="0" applyAlignment="1" applyBorder="1" applyFill="1" applyFont="1">
      <alignment vertical="center"/>
    </xf>
    <xf borderId="1" fillId="3" fontId="1" numFmtId="14" xfId="0" applyAlignment="1" applyBorder="1" applyFill="1" applyFont="1" applyNumberFormat="1">
      <alignment horizontal="left" vertical="center"/>
    </xf>
    <xf borderId="1" fillId="3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left" vertical="center"/>
    </xf>
    <xf quotePrefix="1" borderId="2" fillId="3" fontId="1" numFmtId="0" xfId="0" applyAlignment="1" applyBorder="1" applyFill="1" applyFont="1">
      <alignment horizontal="left" shrinkToFit="0" wrapText="1"/>
    </xf>
    <xf borderId="2" fillId="0" fontId="1" numFmtId="49" xfId="0" applyAlignment="1" applyBorder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0"/>
  <cols>
    <col customWidth="1" min="1" max="1" width="11.63"/>
    <col customWidth="1" min="2" max="2" width="12.0"/>
    <col customWidth="1" min="3" max="3" width="16.0"/>
    <col customWidth="1" min="4" max="4" width="42.25"/>
    <col customWidth="1" min="5" max="5" width="10.63"/>
    <col customWidth="1" min="6" max="6" width="5.38"/>
    <col customWidth="1" min="7" max="7" width="10.63"/>
    <col customWidth="1" min="8" max="11" width="13.75"/>
    <col customWidth="1" min="12" max="15" width="18.25"/>
    <col customWidth="1" min="16" max="16" width="14.63"/>
    <col customWidth="1" min="17" max="17" width="20.13"/>
    <col customWidth="1" min="18" max="18" width="14.25"/>
    <col customWidth="1" min="19" max="19" width="16.25"/>
    <col customWidth="1" min="20" max="20" width="18.0"/>
    <col customWidth="1" min="21" max="21" width="20.63"/>
    <col customWidth="1" min="22" max="22" width="12.63"/>
    <col customWidth="1" min="23" max="23" width="15.25"/>
    <col customWidth="1" min="24" max="41" width="8.63"/>
  </cols>
  <sheetData>
    <row r="1" ht="25.5" hidden="1" customHeight="1">
      <c r="A1" s="3"/>
      <c r="L1" s="6"/>
      <c r="M1" s="6"/>
      <c r="N1" s="7"/>
      <c r="O1" s="8"/>
      <c r="P1" s="8"/>
      <c r="Q1" s="9"/>
      <c r="R1" s="9"/>
      <c r="S1" s="9"/>
      <c r="T1" s="9"/>
      <c r="U1" s="9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</row>
    <row r="2" ht="25.5" hidden="1" customHeight="1">
      <c r="A2" s="10"/>
      <c r="B2" s="11"/>
      <c r="C2" s="11"/>
      <c r="D2" s="11"/>
      <c r="E2" s="11"/>
      <c r="F2" s="11"/>
      <c r="G2" s="13">
        <f>SUBTOTAL(9,G5:G6341)</f>
        <v>24589147.6</v>
      </c>
      <c r="H2" s="14"/>
      <c r="I2" s="15"/>
      <c r="J2" s="14">
        <f t="shared" ref="J2:K2" si="1">SUBTOTAL(9,J5:J6341)</f>
        <v>4115863132</v>
      </c>
      <c r="K2" s="14">
        <f t="shared" si="1"/>
        <v>55688607163</v>
      </c>
      <c r="L2" s="16"/>
      <c r="M2" s="16"/>
      <c r="N2" s="19"/>
      <c r="O2" s="21"/>
      <c r="P2" s="21"/>
      <c r="Q2" s="24">
        <f>SUBTOTAL(9,Q5:Q6341)</f>
        <v>24588957.6</v>
      </c>
      <c r="R2" s="25"/>
      <c r="S2" s="25"/>
      <c r="T2" s="25"/>
      <c r="U2" s="25"/>
      <c r="V2" s="26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</row>
    <row r="3" ht="25.5" hidden="1" customHeight="1">
      <c r="A3" s="31" t="s">
        <v>15</v>
      </c>
      <c r="B3" s="32"/>
      <c r="C3" s="32"/>
      <c r="D3" s="32"/>
      <c r="E3" s="32"/>
      <c r="F3" s="32"/>
      <c r="G3" s="32"/>
      <c r="H3" s="32"/>
      <c r="I3" s="32"/>
      <c r="J3" s="32"/>
      <c r="K3" s="34"/>
      <c r="L3" s="36"/>
      <c r="M3" s="36"/>
      <c r="N3" s="38"/>
      <c r="O3" s="41" t="s">
        <v>39</v>
      </c>
      <c r="P3" s="32"/>
      <c r="Q3" s="32"/>
      <c r="R3" s="32"/>
      <c r="S3" s="32"/>
      <c r="T3" s="32"/>
      <c r="U3" s="32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</row>
    <row r="4" ht="25.5" customHeight="1">
      <c r="A4" s="45" t="s">
        <v>46</v>
      </c>
      <c r="B4" s="45" t="s">
        <v>51</v>
      </c>
      <c r="C4" s="45" t="s">
        <v>22</v>
      </c>
      <c r="D4" s="45" t="s">
        <v>52</v>
      </c>
      <c r="E4" s="45" t="s">
        <v>54</v>
      </c>
      <c r="F4" s="45" t="s">
        <v>56</v>
      </c>
      <c r="G4" s="48" t="s">
        <v>57</v>
      </c>
      <c r="H4" s="45" t="s">
        <v>60</v>
      </c>
      <c r="I4" s="45" t="s">
        <v>61</v>
      </c>
      <c r="J4" s="45" t="s">
        <v>62</v>
      </c>
      <c r="K4" s="45" t="s">
        <v>63</v>
      </c>
      <c r="L4" s="50"/>
      <c r="M4" s="50" t="s">
        <v>64</v>
      </c>
      <c r="N4" s="52" t="s">
        <v>66</v>
      </c>
      <c r="O4" s="45" t="s">
        <v>46</v>
      </c>
      <c r="P4" s="45" t="s">
        <v>51</v>
      </c>
      <c r="Q4" s="54" t="s">
        <v>67</v>
      </c>
      <c r="R4" s="54" t="s">
        <v>60</v>
      </c>
      <c r="S4" s="54" t="s">
        <v>61</v>
      </c>
      <c r="T4" s="54" t="s">
        <v>62</v>
      </c>
      <c r="U4" s="54" t="s">
        <v>63</v>
      </c>
    </row>
    <row r="5" ht="25.5" customHeight="1">
      <c r="A5" s="55">
        <v>46028.0</v>
      </c>
      <c r="B5" s="56" t="s">
        <v>68</v>
      </c>
      <c r="C5" s="56" t="s">
        <v>48</v>
      </c>
      <c r="D5" s="58" t="s">
        <v>47</v>
      </c>
      <c r="E5" s="58" t="s">
        <v>70</v>
      </c>
      <c r="F5" s="56" t="s">
        <v>71</v>
      </c>
      <c r="G5" s="60">
        <v>7000.0</v>
      </c>
      <c r="H5" s="62">
        <v>18291.0</v>
      </c>
      <c r="I5" s="64">
        <v>1.28037E8</v>
      </c>
      <c r="J5" s="64">
        <v>1.024296E7</v>
      </c>
      <c r="K5" s="64">
        <v>1.3827996E8</v>
      </c>
      <c r="L5" s="65" t="s">
        <v>74</v>
      </c>
      <c r="M5" s="65" t="str">
        <f>VLOOKUP(L5,'Đơn đặt'!$C$3:$E$275,2,0)</f>
        <v>11-10-TS</v>
      </c>
      <c r="N5" s="65" t="str">
        <f>VLOOKUP(L5,'Đơn đặt'!$C$3:$E$275,3,0)</f>
        <v>137-2025/TS-AVP/ĐĐH</v>
      </c>
      <c r="O5" s="66">
        <v>46027.0</v>
      </c>
      <c r="P5" s="67" t="s">
        <v>75</v>
      </c>
      <c r="Q5" s="68">
        <v>7000.0</v>
      </c>
      <c r="R5" s="68">
        <v>14018.2</v>
      </c>
      <c r="S5" s="68">
        <v>9.81274E7</v>
      </c>
      <c r="T5" s="68">
        <v>7850192.0</v>
      </c>
      <c r="U5" s="60">
        <f t="shared" ref="U5:U785" si="2">S5+T5</f>
        <v>105977592</v>
      </c>
      <c r="V5" s="70"/>
      <c r="W5" s="23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ht="25.5" customHeight="1">
      <c r="A6" s="55">
        <v>46028.0</v>
      </c>
      <c r="B6" s="56" t="s">
        <v>76</v>
      </c>
      <c r="C6" s="56" t="s">
        <v>77</v>
      </c>
      <c r="D6" s="58" t="s">
        <v>78</v>
      </c>
      <c r="E6" s="58" t="s">
        <v>70</v>
      </c>
      <c r="F6" s="56" t="s">
        <v>71</v>
      </c>
      <c r="G6" s="60">
        <v>2000.0</v>
      </c>
      <c r="H6" s="62">
        <v>21777.0</v>
      </c>
      <c r="I6" s="64">
        <v>4.3554E7</v>
      </c>
      <c r="J6" s="64">
        <v>3484320.0</v>
      </c>
      <c r="K6" s="64">
        <v>4.703832E7</v>
      </c>
      <c r="L6" s="65" t="s">
        <v>79</v>
      </c>
      <c r="M6" s="65" t="str">
        <f>VLOOKUP(L6,'Đơn đặt'!$C$3:$E$275,2,0)</f>
        <v>12-09-TS</v>
      </c>
      <c r="N6" s="65" t="str">
        <f>VLOOKUP(L6,'Đơn đặt'!$C$3:$E$275,3,0)</f>
        <v>149-2025/TS-AVP/ĐĐH</v>
      </c>
      <c r="O6" s="66">
        <v>46027.0</v>
      </c>
      <c r="P6" s="67" t="s">
        <v>85</v>
      </c>
      <c r="Q6" s="68">
        <v>2000.0</v>
      </c>
      <c r="R6" s="76">
        <v>19059.4</v>
      </c>
      <c r="S6" s="77">
        <v>3.81188E7</v>
      </c>
      <c r="T6" s="77">
        <v>3049504.0</v>
      </c>
      <c r="U6" s="60">
        <f t="shared" si="2"/>
        <v>41168304</v>
      </c>
      <c r="V6" s="70"/>
      <c r="W6" s="23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ht="25.5" customHeight="1">
      <c r="A7" s="55">
        <v>46028.0</v>
      </c>
      <c r="B7" s="56" t="s">
        <v>86</v>
      </c>
      <c r="C7" s="56" t="s">
        <v>41</v>
      </c>
      <c r="D7" s="58" t="s">
        <v>40</v>
      </c>
      <c r="E7" s="58" t="s">
        <v>70</v>
      </c>
      <c r="F7" s="56" t="s">
        <v>71</v>
      </c>
      <c r="G7" s="60">
        <v>1200.0</v>
      </c>
      <c r="H7" s="62">
        <v>20024.0</v>
      </c>
      <c r="I7" s="64">
        <v>2.40288E7</v>
      </c>
      <c r="J7" s="64">
        <v>1922304.0</v>
      </c>
      <c r="K7" s="64">
        <v>2.5951104E7</v>
      </c>
      <c r="L7" s="65" t="s">
        <v>87</v>
      </c>
      <c r="M7" s="65" t="str">
        <f>VLOOKUP(L7,'Đơn đặt'!$C$3:$E$275,2,0)</f>
        <v>12-01-TS</v>
      </c>
      <c r="N7" s="65" t="str">
        <f>VLOOKUP(L7,'Đơn đặt'!$C$3:$E$275,3,0)</f>
        <v>03-2026/TS-AVP/ĐĐH</v>
      </c>
      <c r="O7" s="66">
        <v>46028.0</v>
      </c>
      <c r="P7" s="67" t="s">
        <v>90</v>
      </c>
      <c r="Q7" s="68">
        <v>1200.0</v>
      </c>
      <c r="R7" s="76">
        <v>17900.8</v>
      </c>
      <c r="S7" s="77">
        <v>2.148096E7</v>
      </c>
      <c r="T7" s="77">
        <v>1718477.0</v>
      </c>
      <c r="U7" s="60">
        <f t="shared" si="2"/>
        <v>23199437</v>
      </c>
      <c r="V7" s="70"/>
      <c r="W7" s="23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ht="25.5" customHeight="1">
      <c r="A8" s="78">
        <v>46029.0</v>
      </c>
      <c r="B8" s="79" t="s">
        <v>91</v>
      </c>
      <c r="C8" s="56" t="s">
        <v>92</v>
      </c>
      <c r="D8" s="80" t="s">
        <v>93</v>
      </c>
      <c r="E8" s="58" t="s">
        <v>94</v>
      </c>
      <c r="F8" s="56" t="s">
        <v>95</v>
      </c>
      <c r="G8" s="81">
        <v>104.0</v>
      </c>
      <c r="H8" s="62">
        <v>502740.0</v>
      </c>
      <c r="I8" s="64">
        <v>5.228496E7</v>
      </c>
      <c r="J8" s="64">
        <v>4182797.0</v>
      </c>
      <c r="K8" s="64">
        <v>5.6467757E7</v>
      </c>
      <c r="L8" s="65" t="s">
        <v>96</v>
      </c>
      <c r="M8" s="65" t="str">
        <f>VLOOKUP(L8,'Đơn đặt'!$C$3:$E$275,2,0)</f>
        <v>13-12/2025</v>
      </c>
      <c r="N8" s="65" t="str">
        <f>VLOOKUP(L8,'Đơn đặt'!$C$3:$E$275,3,0)</f>
        <v>Hàng SX</v>
      </c>
      <c r="O8" s="78" t="s">
        <v>98</v>
      </c>
      <c r="P8" s="79"/>
      <c r="Q8" s="81">
        <f t="shared" ref="Q8:Q9" si="3">G8</f>
        <v>104</v>
      </c>
      <c r="R8" s="82"/>
      <c r="S8" s="83">
        <f t="shared" ref="S8:S9" si="4">ROUND(Q8*R8,0)</f>
        <v>0</v>
      </c>
      <c r="T8" s="83">
        <f t="shared" ref="T8:T9" si="5">ROUND(S8*0.08,0)</f>
        <v>0</v>
      </c>
      <c r="U8" s="81">
        <f t="shared" si="2"/>
        <v>0</v>
      </c>
      <c r="V8" s="70"/>
      <c r="W8" s="23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</row>
    <row r="9" ht="25.5" customHeight="1">
      <c r="A9" s="78">
        <v>46029.0</v>
      </c>
      <c r="B9" s="79" t="s">
        <v>101</v>
      </c>
      <c r="C9" s="56" t="s">
        <v>92</v>
      </c>
      <c r="D9" s="80" t="s">
        <v>93</v>
      </c>
      <c r="E9" s="58" t="s">
        <v>94</v>
      </c>
      <c r="F9" s="56" t="s">
        <v>95</v>
      </c>
      <c r="G9" s="81">
        <v>156.0</v>
      </c>
      <c r="H9" s="62">
        <v>502740.0</v>
      </c>
      <c r="I9" s="64">
        <v>7.842744E7</v>
      </c>
      <c r="J9" s="64">
        <v>6274195.0</v>
      </c>
      <c r="K9" s="64">
        <v>8.4701635E7</v>
      </c>
      <c r="L9" s="65" t="s">
        <v>96</v>
      </c>
      <c r="M9" s="65" t="str">
        <f>VLOOKUP(L9,'Đơn đặt'!$C$3:$E$275,2,0)</f>
        <v>13-12/2025</v>
      </c>
      <c r="N9" s="65" t="str">
        <f>VLOOKUP(L9,'Đơn đặt'!$C$3:$E$275,3,0)</f>
        <v>Hàng SX</v>
      </c>
      <c r="O9" s="78" t="s">
        <v>98</v>
      </c>
      <c r="P9" s="79"/>
      <c r="Q9" s="81">
        <f t="shared" si="3"/>
        <v>156</v>
      </c>
      <c r="R9" s="82"/>
      <c r="S9" s="83">
        <f t="shared" si="4"/>
        <v>0</v>
      </c>
      <c r="T9" s="83">
        <f t="shared" si="5"/>
        <v>0</v>
      </c>
      <c r="U9" s="81">
        <f t="shared" si="2"/>
        <v>0</v>
      </c>
      <c r="V9" s="70"/>
      <c r="W9" s="23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</row>
    <row r="10" ht="25.5" customHeight="1">
      <c r="A10" s="55">
        <v>46029.0</v>
      </c>
      <c r="B10" s="56" t="s">
        <v>104</v>
      </c>
      <c r="C10" s="56" t="s">
        <v>59</v>
      </c>
      <c r="D10" s="58" t="s">
        <v>105</v>
      </c>
      <c r="E10" s="58" t="s">
        <v>70</v>
      </c>
      <c r="F10" s="56" t="s">
        <v>71</v>
      </c>
      <c r="G10" s="60">
        <v>1560.0</v>
      </c>
      <c r="H10" s="62">
        <v>18291.0</v>
      </c>
      <c r="I10" s="64">
        <v>2.853396E7</v>
      </c>
      <c r="J10" s="64">
        <v>2282717.0</v>
      </c>
      <c r="K10" s="64">
        <v>3.0816677E7</v>
      </c>
      <c r="L10" s="65" t="s">
        <v>106</v>
      </c>
      <c r="M10" s="65" t="str">
        <f>VLOOKUP(L10,'Đơn đặt'!$C$3:$E$275,2,0)</f>
        <v>11-10-TS</v>
      </c>
      <c r="N10" s="65" t="str">
        <f>VLOOKUP(L10,'Đơn đặt'!$C$3:$E$275,3,0)</f>
        <v>02-2026/TS-AVP/ĐĐH</v>
      </c>
      <c r="O10" s="66">
        <v>46029.0</v>
      </c>
      <c r="P10" s="67" t="s">
        <v>107</v>
      </c>
      <c r="Q10" s="68">
        <v>1560.0</v>
      </c>
      <c r="R10" s="76">
        <v>16258.2</v>
      </c>
      <c r="S10" s="68">
        <v>2.5362792E7</v>
      </c>
      <c r="T10" s="77">
        <v>2029023.0</v>
      </c>
      <c r="U10" s="60">
        <f t="shared" si="2"/>
        <v>27391815</v>
      </c>
      <c r="V10" s="70"/>
      <c r="W10" s="23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ht="25.5" customHeight="1">
      <c r="A11" s="78">
        <v>46029.0</v>
      </c>
      <c r="B11" s="79" t="s">
        <v>85</v>
      </c>
      <c r="C11" s="79" t="s">
        <v>110</v>
      </c>
      <c r="D11" s="80" t="s">
        <v>111</v>
      </c>
      <c r="E11" s="58" t="s">
        <v>70</v>
      </c>
      <c r="F11" s="79" t="s">
        <v>112</v>
      </c>
      <c r="G11" s="81">
        <v>2808.0</v>
      </c>
      <c r="H11" s="82">
        <v>28000.0</v>
      </c>
      <c r="I11" s="83">
        <v>7.8624E7</v>
      </c>
      <c r="J11" s="83">
        <v>6289920.0</v>
      </c>
      <c r="K11" s="83">
        <v>8.491392E7</v>
      </c>
      <c r="L11" s="84" t="s">
        <v>113</v>
      </c>
      <c r="M11" s="84" t="str">
        <f>VLOOKUP(L11,'Đơn đặt'!$C$3:$E$275,2,0)</f>
        <v>11/08/TSC-LT</v>
      </c>
      <c r="N11" s="84" t="str">
        <f>VLOOKUP(L11,'Đơn đặt'!$C$3:$E$275,3,0)</f>
        <v>Hàng SX</v>
      </c>
      <c r="O11" s="78" t="s">
        <v>98</v>
      </c>
      <c r="P11" s="79"/>
      <c r="Q11" s="81">
        <f>G11</f>
        <v>2808</v>
      </c>
      <c r="R11" s="82"/>
      <c r="S11" s="83">
        <f>ROUND(Q11*R11,0)</f>
        <v>0</v>
      </c>
      <c r="T11" s="83">
        <f>ROUND(S11*0.08,0)</f>
        <v>0</v>
      </c>
      <c r="U11" s="81">
        <f t="shared" si="2"/>
        <v>0</v>
      </c>
      <c r="V11" s="70"/>
      <c r="W11" s="23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</row>
    <row r="12" ht="25.5" customHeight="1">
      <c r="A12" s="55">
        <v>46030.0</v>
      </c>
      <c r="B12" s="56" t="s">
        <v>115</v>
      </c>
      <c r="C12" s="56" t="s">
        <v>59</v>
      </c>
      <c r="D12" s="58" t="s">
        <v>105</v>
      </c>
      <c r="E12" s="58" t="s">
        <v>70</v>
      </c>
      <c r="F12" s="56" t="s">
        <v>71</v>
      </c>
      <c r="G12" s="60">
        <v>440.0</v>
      </c>
      <c r="H12" s="62">
        <v>18291.0</v>
      </c>
      <c r="I12" s="64">
        <v>8048040.0</v>
      </c>
      <c r="J12" s="64">
        <v>643843.0</v>
      </c>
      <c r="K12" s="64">
        <v>8691883.0</v>
      </c>
      <c r="L12" s="65" t="s">
        <v>106</v>
      </c>
      <c r="M12" s="65" t="str">
        <f>VLOOKUP(L12,'Đơn đặt'!$C$3:$E$275,2,0)</f>
        <v>11-10-TS</v>
      </c>
      <c r="N12" s="65" t="str">
        <f>VLOOKUP(L12,'Đơn đặt'!$C$3:$E$275,3,0)</f>
        <v>02-2026/TS-AVP/ĐĐH</v>
      </c>
      <c r="O12" s="66">
        <v>46030.0</v>
      </c>
      <c r="P12" s="67" t="s">
        <v>116</v>
      </c>
      <c r="Q12" s="68">
        <v>440.0</v>
      </c>
      <c r="R12" s="76">
        <v>16258.2</v>
      </c>
      <c r="S12" s="68">
        <v>7153608.0</v>
      </c>
      <c r="T12" s="77">
        <v>572289.0</v>
      </c>
      <c r="U12" s="60">
        <f t="shared" si="2"/>
        <v>7725897</v>
      </c>
      <c r="V12" s="70"/>
      <c r="W12" s="23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ht="25.5" customHeight="1">
      <c r="A13" s="55">
        <v>46030.0</v>
      </c>
      <c r="B13" s="56" t="s">
        <v>115</v>
      </c>
      <c r="C13" s="56" t="s">
        <v>119</v>
      </c>
      <c r="D13" s="58" t="s">
        <v>120</v>
      </c>
      <c r="E13" s="58" t="s">
        <v>70</v>
      </c>
      <c r="F13" s="56" t="s">
        <v>71</v>
      </c>
      <c r="G13" s="60">
        <v>2000.0</v>
      </c>
      <c r="H13" s="62">
        <v>19310.0</v>
      </c>
      <c r="I13" s="64">
        <v>3.862E7</v>
      </c>
      <c r="J13" s="64">
        <v>3089600.0</v>
      </c>
      <c r="K13" s="64">
        <v>4.17096E7</v>
      </c>
      <c r="L13" s="65" t="s">
        <v>121</v>
      </c>
      <c r="M13" s="65" t="str">
        <f>VLOOKUP(L13,'Đơn đặt'!$C$3:$E$275,2,0)</f>
        <v>11-04-TS</v>
      </c>
      <c r="N13" s="65" t="str">
        <f>VLOOKUP(L13,'Đơn đặt'!$C$3:$E$275,3,0)</f>
        <v>01-2026/TS-AVP/ĐĐH</v>
      </c>
      <c r="O13" s="66">
        <v>46030.0</v>
      </c>
      <c r="P13" s="67" t="s">
        <v>116</v>
      </c>
      <c r="Q13" s="68">
        <v>2000.0</v>
      </c>
      <c r="R13" s="76">
        <v>17438.0</v>
      </c>
      <c r="S13" s="77">
        <v>3.4876E7</v>
      </c>
      <c r="T13" s="77">
        <v>2790080.0</v>
      </c>
      <c r="U13" s="60">
        <f t="shared" si="2"/>
        <v>37666080</v>
      </c>
      <c r="V13" s="70"/>
      <c r="W13" s="23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ht="25.5" customHeight="1">
      <c r="A14" s="55">
        <v>46030.0</v>
      </c>
      <c r="B14" s="56" t="s">
        <v>122</v>
      </c>
      <c r="C14" s="56" t="s">
        <v>48</v>
      </c>
      <c r="D14" s="58" t="s">
        <v>47</v>
      </c>
      <c r="E14" s="58" t="s">
        <v>70</v>
      </c>
      <c r="F14" s="56" t="s">
        <v>71</v>
      </c>
      <c r="G14" s="60">
        <v>3000.0</v>
      </c>
      <c r="H14" s="62">
        <v>18291.0</v>
      </c>
      <c r="I14" s="64">
        <v>5.4873E7</v>
      </c>
      <c r="J14" s="64">
        <v>4389840.0</v>
      </c>
      <c r="K14" s="64">
        <v>5.926284E7</v>
      </c>
      <c r="L14" s="65" t="s">
        <v>74</v>
      </c>
      <c r="M14" s="65" t="str">
        <f>VLOOKUP(L14,'Đơn đặt'!$C$3:$E$275,2,0)</f>
        <v>11-10-TS</v>
      </c>
      <c r="N14" s="65" t="str">
        <f>VLOOKUP(L14,'Đơn đặt'!$C$3:$E$275,3,0)</f>
        <v>137-2025/TS-AVP/ĐĐH</v>
      </c>
      <c r="O14" s="66">
        <v>46030.0</v>
      </c>
      <c r="P14" s="67" t="s">
        <v>127</v>
      </c>
      <c r="Q14" s="68">
        <v>3000.0</v>
      </c>
      <c r="R14" s="68">
        <v>14018.2</v>
      </c>
      <c r="S14" s="68">
        <v>4.20546E7</v>
      </c>
      <c r="T14" s="68">
        <v>3364368.0</v>
      </c>
      <c r="U14" s="60">
        <f t="shared" si="2"/>
        <v>45418968</v>
      </c>
      <c r="V14" s="70"/>
      <c r="W14" s="23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ht="25.5" customHeight="1">
      <c r="A15" s="55">
        <v>46032.0</v>
      </c>
      <c r="B15" s="56" t="s">
        <v>128</v>
      </c>
      <c r="C15" s="56" t="s">
        <v>59</v>
      </c>
      <c r="D15" s="58" t="s">
        <v>105</v>
      </c>
      <c r="E15" s="58" t="s">
        <v>70</v>
      </c>
      <c r="F15" s="56" t="s">
        <v>71</v>
      </c>
      <c r="G15" s="60">
        <v>4000.0</v>
      </c>
      <c r="H15" s="62">
        <v>18291.0</v>
      </c>
      <c r="I15" s="64">
        <v>7.3164E7</v>
      </c>
      <c r="J15" s="64">
        <v>5853120.0</v>
      </c>
      <c r="K15" s="64">
        <v>7.901712E7</v>
      </c>
      <c r="L15" s="65" t="s">
        <v>106</v>
      </c>
      <c r="M15" s="65" t="str">
        <f>VLOOKUP(L15,'Đơn đặt'!$C$3:$E$275,2,0)</f>
        <v>11-10-TS</v>
      </c>
      <c r="N15" s="65" t="str">
        <f>VLOOKUP(L15,'Đơn đặt'!$C$3:$E$275,3,0)</f>
        <v>02-2026/TS-AVP/ĐĐH</v>
      </c>
      <c r="O15" s="66">
        <v>46031.0</v>
      </c>
      <c r="P15" s="67" t="s">
        <v>129</v>
      </c>
      <c r="Q15" s="68">
        <v>4000.0</v>
      </c>
      <c r="R15" s="76">
        <v>16258.2</v>
      </c>
      <c r="S15" s="68">
        <v>6.50328E7</v>
      </c>
      <c r="T15" s="77">
        <v>5202624.0</v>
      </c>
      <c r="U15" s="60">
        <f t="shared" si="2"/>
        <v>70235424</v>
      </c>
      <c r="V15" s="70"/>
      <c r="W15" s="23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ht="25.5" customHeight="1">
      <c r="A16" s="55">
        <v>46032.0</v>
      </c>
      <c r="B16" s="56" t="s">
        <v>130</v>
      </c>
      <c r="C16" s="56" t="s">
        <v>48</v>
      </c>
      <c r="D16" s="58" t="s">
        <v>47</v>
      </c>
      <c r="E16" s="58" t="s">
        <v>70</v>
      </c>
      <c r="F16" s="56" t="s">
        <v>71</v>
      </c>
      <c r="G16" s="60">
        <v>3000.0</v>
      </c>
      <c r="H16" s="62">
        <v>18291.0</v>
      </c>
      <c r="I16" s="64">
        <v>5.4873E7</v>
      </c>
      <c r="J16" s="64">
        <v>4389840.0</v>
      </c>
      <c r="K16" s="64">
        <v>5.926284E7</v>
      </c>
      <c r="L16" s="65" t="s">
        <v>74</v>
      </c>
      <c r="M16" s="65" t="str">
        <f>VLOOKUP(L16,'Đơn đặt'!$C$3:$E$275,2,0)</f>
        <v>11-10-TS</v>
      </c>
      <c r="N16" s="65" t="str">
        <f>VLOOKUP(L16,'Đơn đặt'!$C$3:$E$275,3,0)</f>
        <v>137-2025/TS-AVP/ĐĐH</v>
      </c>
      <c r="O16" s="66">
        <v>46031.0</v>
      </c>
      <c r="P16" s="67" t="s">
        <v>132</v>
      </c>
      <c r="Q16" s="68">
        <v>3000.0</v>
      </c>
      <c r="R16" s="68">
        <v>14018.2</v>
      </c>
      <c r="S16" s="68">
        <v>4.20546E7</v>
      </c>
      <c r="T16" s="68">
        <v>3364368.0</v>
      </c>
      <c r="U16" s="60">
        <f t="shared" si="2"/>
        <v>45418968</v>
      </c>
      <c r="V16" s="70"/>
      <c r="W16" s="23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ht="25.5" customHeight="1">
      <c r="A17" s="78">
        <v>46032.0</v>
      </c>
      <c r="B17" s="79" t="s">
        <v>133</v>
      </c>
      <c r="C17" s="56" t="s">
        <v>92</v>
      </c>
      <c r="D17" s="80" t="s">
        <v>93</v>
      </c>
      <c r="E17" s="58" t="s">
        <v>94</v>
      </c>
      <c r="F17" s="56" t="s">
        <v>95</v>
      </c>
      <c r="G17" s="81">
        <v>260.0</v>
      </c>
      <c r="H17" s="62">
        <v>502740.0</v>
      </c>
      <c r="I17" s="64">
        <v>1.307124E8</v>
      </c>
      <c r="J17" s="64">
        <v>1.0456992E7</v>
      </c>
      <c r="K17" s="64">
        <v>1.41169392E8</v>
      </c>
      <c r="L17" s="65" t="s">
        <v>134</v>
      </c>
      <c r="M17" s="65" t="str">
        <f>VLOOKUP(L17,'Đơn đặt'!$C$3:$E$275,2,0)</f>
        <v>02-01/2026</v>
      </c>
      <c r="N17" s="65" t="str">
        <f>VLOOKUP(L17,'Đơn đặt'!$C$3:$E$275,3,0)</f>
        <v>Hàng SX</v>
      </c>
      <c r="O17" s="78" t="s">
        <v>98</v>
      </c>
      <c r="P17" s="79"/>
      <c r="Q17" s="81">
        <f>G17</f>
        <v>260</v>
      </c>
      <c r="R17" s="82"/>
      <c r="S17" s="83">
        <f t="shared" ref="S17:S19" si="6">ROUND(Q17*R17,0)</f>
        <v>0</v>
      </c>
      <c r="T17" s="83">
        <f>ROUND(S17*0.08,0)</f>
        <v>0</v>
      </c>
      <c r="U17" s="81">
        <f t="shared" si="2"/>
        <v>0</v>
      </c>
      <c r="V17" s="70"/>
      <c r="W17" s="23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</row>
    <row r="18" ht="25.5" customHeight="1">
      <c r="A18" s="55">
        <v>46036.0</v>
      </c>
      <c r="B18" s="56" t="s">
        <v>127</v>
      </c>
      <c r="C18" s="56" t="s">
        <v>1</v>
      </c>
      <c r="D18" s="58" t="s">
        <v>136</v>
      </c>
      <c r="E18" s="58" t="s">
        <v>70</v>
      </c>
      <c r="F18" s="56" t="s">
        <v>112</v>
      </c>
      <c r="G18" s="60">
        <v>1000.0</v>
      </c>
      <c r="H18" s="62">
        <v>38000.0</v>
      </c>
      <c r="I18" s="64">
        <v>3.8E7</v>
      </c>
      <c r="J18" s="64">
        <v>3040000.0</v>
      </c>
      <c r="K18" s="64">
        <v>4.104E7</v>
      </c>
      <c r="L18" s="65" t="s">
        <v>137</v>
      </c>
      <c r="M18" s="65" t="str">
        <f>VLOOKUP(L18,'Đơn đặt'!$C$3:$E$275,2,0)</f>
        <v>12-38/TS-LP</v>
      </c>
      <c r="N18" s="65" t="str">
        <f>VLOOKUP(L18,'Đơn đặt'!$C$3:$E$275,3,0)</f>
        <v>150-2025/TS-AVP/ĐĐH</v>
      </c>
      <c r="O18" s="66">
        <v>46032.0</v>
      </c>
      <c r="P18" s="67" t="s">
        <v>138</v>
      </c>
      <c r="Q18" s="68">
        <v>1000.0</v>
      </c>
      <c r="R18" s="76">
        <v>34800.0</v>
      </c>
      <c r="S18" s="77">
        <f t="shared" si="6"/>
        <v>34800000</v>
      </c>
      <c r="T18" s="77">
        <f t="shared" ref="T18:T19" si="7">S18*0.08</f>
        <v>2784000</v>
      </c>
      <c r="U18" s="60">
        <f t="shared" si="2"/>
        <v>37584000</v>
      </c>
      <c r="V18" s="70"/>
      <c r="W18" s="23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ht="25.5" customHeight="1">
      <c r="A19" s="55">
        <v>46036.0</v>
      </c>
      <c r="B19" s="56" t="s">
        <v>127</v>
      </c>
      <c r="C19" s="56" t="s">
        <v>140</v>
      </c>
      <c r="D19" s="58" t="s">
        <v>141</v>
      </c>
      <c r="E19" s="58" t="s">
        <v>70</v>
      </c>
      <c r="F19" s="56" t="s">
        <v>112</v>
      </c>
      <c r="G19" s="60">
        <v>4000.0</v>
      </c>
      <c r="H19" s="62">
        <v>38000.0</v>
      </c>
      <c r="I19" s="64">
        <v>1.52E8</v>
      </c>
      <c r="J19" s="64">
        <v>1.216E7</v>
      </c>
      <c r="K19" s="64">
        <v>1.6416E8</v>
      </c>
      <c r="L19" s="65" t="s">
        <v>142</v>
      </c>
      <c r="M19" s="65" t="str">
        <f>VLOOKUP(L19,'Đơn đặt'!$C$3:$E$275,2,0)</f>
        <v>12-38/TS-LP</v>
      </c>
      <c r="N19" s="65" t="str">
        <f>VLOOKUP(L19,'Đơn đặt'!$C$3:$E$275,3,0)</f>
        <v>150-2025/TS-AVP/ĐĐH</v>
      </c>
      <c r="O19" s="66">
        <v>46032.0</v>
      </c>
      <c r="P19" s="67" t="s">
        <v>138</v>
      </c>
      <c r="Q19" s="68">
        <v>4000.0</v>
      </c>
      <c r="R19" s="76">
        <v>34800.0</v>
      </c>
      <c r="S19" s="77">
        <f t="shared" si="6"/>
        <v>139200000</v>
      </c>
      <c r="T19" s="87">
        <f t="shared" si="7"/>
        <v>11136000</v>
      </c>
      <c r="U19" s="60">
        <f t="shared" si="2"/>
        <v>150336000</v>
      </c>
      <c r="V19" s="70"/>
      <c r="W19" s="23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ht="25.5" customHeight="1">
      <c r="A20" s="55">
        <v>46036.0</v>
      </c>
      <c r="B20" s="56" t="s">
        <v>143</v>
      </c>
      <c r="C20" s="56" t="s">
        <v>59</v>
      </c>
      <c r="D20" s="58" t="s">
        <v>105</v>
      </c>
      <c r="E20" s="58" t="s">
        <v>70</v>
      </c>
      <c r="F20" s="56" t="s">
        <v>71</v>
      </c>
      <c r="G20" s="60">
        <v>2000.0</v>
      </c>
      <c r="H20" s="62">
        <v>18291.0</v>
      </c>
      <c r="I20" s="64">
        <v>3.6582E7</v>
      </c>
      <c r="J20" s="64">
        <v>2926560.0</v>
      </c>
      <c r="K20" s="64">
        <v>3.950856E7</v>
      </c>
      <c r="L20" s="65" t="s">
        <v>106</v>
      </c>
      <c r="M20" s="65" t="str">
        <f>VLOOKUP(L20,'Đơn đặt'!$C$3:$E$275,2,0)</f>
        <v>11-10-TS</v>
      </c>
      <c r="N20" s="65" t="str">
        <f>VLOOKUP(L20,'Đơn đặt'!$C$3:$E$275,3,0)</f>
        <v>02-2026/TS-AVP/ĐĐH</v>
      </c>
      <c r="O20" s="66">
        <v>46034.0</v>
      </c>
      <c r="P20" s="67" t="s">
        <v>147</v>
      </c>
      <c r="Q20" s="68">
        <v>2000.0</v>
      </c>
      <c r="R20" s="76">
        <v>16258.2</v>
      </c>
      <c r="S20" s="68">
        <v>3.25164E7</v>
      </c>
      <c r="T20" s="77">
        <v>2601312.0</v>
      </c>
      <c r="U20" s="60">
        <f t="shared" si="2"/>
        <v>35117712</v>
      </c>
      <c r="V20" s="70"/>
      <c r="W20" s="23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ht="25.5" customHeight="1">
      <c r="A21" s="55">
        <v>46036.0</v>
      </c>
      <c r="B21" s="56" t="s">
        <v>143</v>
      </c>
      <c r="C21" s="56" t="s">
        <v>119</v>
      </c>
      <c r="D21" s="58" t="s">
        <v>120</v>
      </c>
      <c r="E21" s="58" t="s">
        <v>70</v>
      </c>
      <c r="F21" s="56" t="s">
        <v>71</v>
      </c>
      <c r="G21" s="60">
        <v>2000.0</v>
      </c>
      <c r="H21" s="62">
        <v>19310.0</v>
      </c>
      <c r="I21" s="64">
        <v>3.862E7</v>
      </c>
      <c r="J21" s="64">
        <v>3089600.0</v>
      </c>
      <c r="K21" s="64">
        <v>4.17096E7</v>
      </c>
      <c r="L21" s="65" t="s">
        <v>121</v>
      </c>
      <c r="M21" s="65" t="str">
        <f>VLOOKUP(L21,'Đơn đặt'!$C$3:$E$275,2,0)</f>
        <v>11-04-TS</v>
      </c>
      <c r="N21" s="65" t="str">
        <f>VLOOKUP(L21,'Đơn đặt'!$C$3:$E$275,3,0)</f>
        <v>01-2026/TS-AVP/ĐĐH</v>
      </c>
      <c r="O21" s="66">
        <v>46034.0</v>
      </c>
      <c r="P21" s="67" t="s">
        <v>147</v>
      </c>
      <c r="Q21" s="68">
        <v>2000.0</v>
      </c>
      <c r="R21" s="76">
        <v>17438.0</v>
      </c>
      <c r="S21" s="77">
        <v>3.4876E7</v>
      </c>
      <c r="T21" s="77">
        <v>2790080.0</v>
      </c>
      <c r="U21" s="60">
        <f t="shared" si="2"/>
        <v>37666080</v>
      </c>
      <c r="V21" s="70"/>
      <c r="W21" s="23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ht="25.5" customHeight="1">
      <c r="A22" s="55">
        <v>46036.0</v>
      </c>
      <c r="B22" s="56" t="s">
        <v>150</v>
      </c>
      <c r="C22" s="56" t="s">
        <v>48</v>
      </c>
      <c r="D22" s="58" t="s">
        <v>47</v>
      </c>
      <c r="E22" s="58" t="s">
        <v>70</v>
      </c>
      <c r="F22" s="56" t="s">
        <v>71</v>
      </c>
      <c r="G22" s="60">
        <v>5000.0</v>
      </c>
      <c r="H22" s="62">
        <v>18291.0</v>
      </c>
      <c r="I22" s="64">
        <v>9.1455E7</v>
      </c>
      <c r="J22" s="64">
        <v>7316400.0</v>
      </c>
      <c r="K22" s="64">
        <v>9.87714E7</v>
      </c>
      <c r="L22" s="65" t="s">
        <v>74</v>
      </c>
      <c r="M22" s="65" t="str">
        <f>VLOOKUP(L22,'Đơn đặt'!$C$3:$E$275,2,0)</f>
        <v>11-10-TS</v>
      </c>
      <c r="N22" s="65" t="str">
        <f>VLOOKUP(L22,'Đơn đặt'!$C$3:$E$275,3,0)</f>
        <v>137-2025/TS-AVP/ĐĐH</v>
      </c>
      <c r="O22" s="66">
        <v>46032.0</v>
      </c>
      <c r="P22" s="67" t="s">
        <v>151</v>
      </c>
      <c r="Q22" s="68">
        <v>5000.0</v>
      </c>
      <c r="R22" s="68">
        <v>14018.2</v>
      </c>
      <c r="S22" s="68">
        <v>7.0091E7</v>
      </c>
      <c r="T22" s="68">
        <v>5607280.0</v>
      </c>
      <c r="U22" s="60">
        <f t="shared" si="2"/>
        <v>75698280</v>
      </c>
      <c r="V22" s="70"/>
      <c r="W22" s="23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ht="25.5" customHeight="1">
      <c r="A23" s="55">
        <v>46036.0</v>
      </c>
      <c r="B23" s="56" t="s">
        <v>150</v>
      </c>
      <c r="C23" s="56" t="s">
        <v>77</v>
      </c>
      <c r="D23" s="58" t="s">
        <v>78</v>
      </c>
      <c r="E23" s="58" t="s">
        <v>70</v>
      </c>
      <c r="F23" s="56" t="s">
        <v>71</v>
      </c>
      <c r="G23" s="60">
        <v>1000.0</v>
      </c>
      <c r="H23" s="62">
        <v>21777.0</v>
      </c>
      <c r="I23" s="64">
        <v>2.1777E7</v>
      </c>
      <c r="J23" s="64">
        <v>1742160.0</v>
      </c>
      <c r="K23" s="64">
        <v>2.351916E7</v>
      </c>
      <c r="L23" s="65" t="s">
        <v>79</v>
      </c>
      <c r="M23" s="65" t="str">
        <f>VLOOKUP(L23,'Đơn đặt'!$C$3:$E$275,2,0)</f>
        <v>12-09-TS</v>
      </c>
      <c r="N23" s="65" t="str">
        <f>VLOOKUP(L23,'Đơn đặt'!$C$3:$E$275,3,0)</f>
        <v>149-2025/TS-AVP/ĐĐH</v>
      </c>
      <c r="O23" s="66">
        <v>46032.0</v>
      </c>
      <c r="P23" s="67" t="s">
        <v>151</v>
      </c>
      <c r="Q23" s="68">
        <v>1000.0</v>
      </c>
      <c r="R23" s="76">
        <v>19059.4</v>
      </c>
      <c r="S23" s="77">
        <v>1.90594E7</v>
      </c>
      <c r="T23" s="77">
        <v>1524752.0</v>
      </c>
      <c r="U23" s="60">
        <f t="shared" si="2"/>
        <v>20584152</v>
      </c>
      <c r="V23" s="70"/>
      <c r="W23" s="23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ht="25.5" customHeight="1">
      <c r="A24" s="55">
        <v>46036.0</v>
      </c>
      <c r="B24" s="56" t="s">
        <v>152</v>
      </c>
      <c r="C24" s="56" t="s">
        <v>59</v>
      </c>
      <c r="D24" s="58" t="s">
        <v>105</v>
      </c>
      <c r="E24" s="58" t="s">
        <v>70</v>
      </c>
      <c r="F24" s="56" t="s">
        <v>71</v>
      </c>
      <c r="G24" s="60">
        <v>2000.0</v>
      </c>
      <c r="H24" s="62">
        <v>18291.0</v>
      </c>
      <c r="I24" s="64">
        <v>3.6582E7</v>
      </c>
      <c r="J24" s="64">
        <v>2926560.0</v>
      </c>
      <c r="K24" s="64">
        <v>3.950856E7</v>
      </c>
      <c r="L24" s="65" t="s">
        <v>106</v>
      </c>
      <c r="M24" s="65" t="str">
        <f>VLOOKUP(L24,'Đơn đặt'!$C$3:$E$275,2,0)</f>
        <v>11-10-TS</v>
      </c>
      <c r="N24" s="65" t="str">
        <f>VLOOKUP(L24,'Đơn đặt'!$C$3:$E$275,3,0)</f>
        <v>02-2026/TS-AVP/ĐĐH</v>
      </c>
      <c r="O24" s="66">
        <v>46034.0</v>
      </c>
      <c r="P24" s="67" t="s">
        <v>153</v>
      </c>
      <c r="Q24" s="68">
        <v>2000.0</v>
      </c>
      <c r="R24" s="76">
        <v>16258.2</v>
      </c>
      <c r="S24" s="68">
        <v>3.25164E7</v>
      </c>
      <c r="T24" s="77">
        <v>2601312.0</v>
      </c>
      <c r="U24" s="60">
        <f t="shared" si="2"/>
        <v>35117712</v>
      </c>
      <c r="V24" s="70"/>
      <c r="W24" s="23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ht="25.5" customHeight="1">
      <c r="A25" s="55">
        <v>46036.0</v>
      </c>
      <c r="B25" s="56" t="s">
        <v>152</v>
      </c>
      <c r="C25" s="56" t="s">
        <v>119</v>
      </c>
      <c r="D25" s="58" t="s">
        <v>120</v>
      </c>
      <c r="E25" s="58" t="s">
        <v>70</v>
      </c>
      <c r="F25" s="56" t="s">
        <v>71</v>
      </c>
      <c r="G25" s="60">
        <v>2000.0</v>
      </c>
      <c r="H25" s="62">
        <v>19310.0</v>
      </c>
      <c r="I25" s="64">
        <v>3.862E7</v>
      </c>
      <c r="J25" s="64">
        <v>3089600.0</v>
      </c>
      <c r="K25" s="64">
        <v>4.17096E7</v>
      </c>
      <c r="L25" s="65" t="s">
        <v>121</v>
      </c>
      <c r="M25" s="65" t="str">
        <f>VLOOKUP(L25,'Đơn đặt'!$C$3:$E$275,2,0)</f>
        <v>11-04-TS</v>
      </c>
      <c r="N25" s="65" t="str">
        <f>VLOOKUP(L25,'Đơn đặt'!$C$3:$E$275,3,0)</f>
        <v>01-2026/TS-AVP/ĐĐH</v>
      </c>
      <c r="O25" s="66">
        <v>46034.0</v>
      </c>
      <c r="P25" s="67" t="s">
        <v>153</v>
      </c>
      <c r="Q25" s="68">
        <v>2000.0</v>
      </c>
      <c r="R25" s="76">
        <v>17438.0</v>
      </c>
      <c r="S25" s="77">
        <v>3.4876E7</v>
      </c>
      <c r="T25" s="77">
        <v>2790080.0</v>
      </c>
      <c r="U25" s="60">
        <f t="shared" si="2"/>
        <v>37666080</v>
      </c>
      <c r="V25" s="70"/>
      <c r="W25" s="23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ht="25.5" customHeight="1">
      <c r="A26" s="55">
        <v>46036.0</v>
      </c>
      <c r="B26" s="56" t="s">
        <v>154</v>
      </c>
      <c r="C26" s="56" t="s">
        <v>48</v>
      </c>
      <c r="D26" s="58" t="s">
        <v>47</v>
      </c>
      <c r="E26" s="58" t="s">
        <v>70</v>
      </c>
      <c r="F26" s="56" t="s">
        <v>71</v>
      </c>
      <c r="G26" s="60">
        <v>3000.0</v>
      </c>
      <c r="H26" s="62">
        <v>18291.0</v>
      </c>
      <c r="I26" s="64">
        <v>5.4873E7</v>
      </c>
      <c r="J26" s="64">
        <v>4389840.0</v>
      </c>
      <c r="K26" s="64">
        <v>5.926284E7</v>
      </c>
      <c r="L26" s="65" t="s">
        <v>74</v>
      </c>
      <c r="M26" s="65" t="str">
        <f>VLOOKUP(L26,'Đơn đặt'!$C$3:$E$275,2,0)</f>
        <v>11-10-TS</v>
      </c>
      <c r="N26" s="65" t="str">
        <f>VLOOKUP(L26,'Đơn đặt'!$C$3:$E$275,3,0)</f>
        <v>137-2025/TS-AVP/ĐĐH</v>
      </c>
      <c r="O26" s="66">
        <v>46034.0</v>
      </c>
      <c r="P26" s="67" t="s">
        <v>157</v>
      </c>
      <c r="Q26" s="68">
        <v>3000.0</v>
      </c>
      <c r="R26" s="68">
        <v>14018.2</v>
      </c>
      <c r="S26" s="68">
        <v>4.20546E7</v>
      </c>
      <c r="T26" s="68">
        <v>3364368.0</v>
      </c>
      <c r="U26" s="60">
        <f t="shared" si="2"/>
        <v>45418968</v>
      </c>
      <c r="V26" s="70"/>
      <c r="W26" s="23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ht="25.5" customHeight="1">
      <c r="A27" s="55">
        <v>46036.0</v>
      </c>
      <c r="B27" s="56" t="s">
        <v>158</v>
      </c>
      <c r="C27" s="56" t="s">
        <v>48</v>
      </c>
      <c r="D27" s="58" t="s">
        <v>47</v>
      </c>
      <c r="E27" s="58" t="s">
        <v>70</v>
      </c>
      <c r="F27" s="56" t="s">
        <v>71</v>
      </c>
      <c r="G27" s="60">
        <v>3000.0</v>
      </c>
      <c r="H27" s="62">
        <v>18291.0</v>
      </c>
      <c r="I27" s="64">
        <v>5.4873E7</v>
      </c>
      <c r="J27" s="64">
        <v>4389840.0</v>
      </c>
      <c r="K27" s="64">
        <v>5.926284E7</v>
      </c>
      <c r="L27" s="65" t="s">
        <v>74</v>
      </c>
      <c r="M27" s="65" t="str">
        <f>VLOOKUP(L27,'Đơn đặt'!$C$3:$E$275,2,0)</f>
        <v>11-10-TS</v>
      </c>
      <c r="N27" s="65" t="str">
        <f>VLOOKUP(L27,'Đơn đặt'!$C$3:$E$275,3,0)</f>
        <v>137-2025/TS-AVP/ĐĐH</v>
      </c>
      <c r="O27" s="66">
        <v>46035.0</v>
      </c>
      <c r="P27" s="67" t="s">
        <v>159</v>
      </c>
      <c r="Q27" s="68">
        <v>3000.0</v>
      </c>
      <c r="R27" s="68">
        <v>14018.2</v>
      </c>
      <c r="S27" s="68">
        <v>4.20546E7</v>
      </c>
      <c r="T27" s="68">
        <v>3364368.0</v>
      </c>
      <c r="U27" s="60">
        <f t="shared" si="2"/>
        <v>45418968</v>
      </c>
      <c r="V27" s="70"/>
      <c r="W27" s="23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ht="25.5" customHeight="1">
      <c r="A28" s="55">
        <v>46036.0</v>
      </c>
      <c r="B28" s="56" t="s">
        <v>158</v>
      </c>
      <c r="C28" s="56" t="s">
        <v>77</v>
      </c>
      <c r="D28" s="58" t="s">
        <v>78</v>
      </c>
      <c r="E28" s="58" t="s">
        <v>70</v>
      </c>
      <c r="F28" s="56" t="s">
        <v>71</v>
      </c>
      <c r="G28" s="60">
        <v>1000.0</v>
      </c>
      <c r="H28" s="62">
        <v>21777.0</v>
      </c>
      <c r="I28" s="64">
        <v>2.1777E7</v>
      </c>
      <c r="J28" s="64">
        <v>1742160.0</v>
      </c>
      <c r="K28" s="64">
        <v>2.351916E7</v>
      </c>
      <c r="L28" s="65" t="s">
        <v>79</v>
      </c>
      <c r="M28" s="65" t="str">
        <f>VLOOKUP(L28,'Đơn đặt'!$C$3:$E$275,2,0)</f>
        <v>12-09-TS</v>
      </c>
      <c r="N28" s="65" t="str">
        <f>VLOOKUP(L28,'Đơn đặt'!$C$3:$E$275,3,0)</f>
        <v>149-2025/TS-AVP/ĐĐH</v>
      </c>
      <c r="O28" s="66">
        <v>46035.0</v>
      </c>
      <c r="P28" s="67" t="s">
        <v>159</v>
      </c>
      <c r="Q28" s="68">
        <v>1000.0</v>
      </c>
      <c r="R28" s="76">
        <v>19059.4</v>
      </c>
      <c r="S28" s="77">
        <v>1.90594E7</v>
      </c>
      <c r="T28" s="77">
        <v>1524752.0</v>
      </c>
      <c r="U28" s="60">
        <f t="shared" si="2"/>
        <v>20584152</v>
      </c>
      <c r="V28" s="70"/>
      <c r="W28" s="23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ht="25.5" customHeight="1">
      <c r="A29" s="55">
        <v>46038.0</v>
      </c>
      <c r="B29" s="56" t="s">
        <v>160</v>
      </c>
      <c r="C29" s="56" t="s">
        <v>14</v>
      </c>
      <c r="D29" s="58" t="s">
        <v>13</v>
      </c>
      <c r="E29" s="58" t="s">
        <v>70</v>
      </c>
      <c r="F29" s="56" t="s">
        <v>71</v>
      </c>
      <c r="G29" s="60">
        <v>1400.0</v>
      </c>
      <c r="H29" s="62">
        <v>19404.0</v>
      </c>
      <c r="I29" s="64">
        <v>2.71656E7</v>
      </c>
      <c r="J29" s="64">
        <v>2173248.0</v>
      </c>
      <c r="K29" s="64">
        <v>2.9338848E7</v>
      </c>
      <c r="L29" s="65" t="s">
        <v>161</v>
      </c>
      <c r="M29" s="65" t="str">
        <f>VLOOKUP(L29,'Đơn đặt'!$C$3:$E$275,2,0)</f>
        <v>11-10-TS</v>
      </c>
      <c r="N29" s="65" t="str">
        <f>VLOOKUP(L29,'Đơn đặt'!$C$3:$E$275,3,0)</f>
        <v>02-2026/TS-AVP/ĐĐH</v>
      </c>
      <c r="O29" s="66">
        <v>46036.0</v>
      </c>
      <c r="P29" s="67" t="s">
        <v>162</v>
      </c>
      <c r="Q29" s="68">
        <v>1400.0</v>
      </c>
      <c r="R29" s="76">
        <v>17776.8</v>
      </c>
      <c r="S29" s="77">
        <v>2.488752E7</v>
      </c>
      <c r="T29" s="77">
        <v>1991002.0</v>
      </c>
      <c r="U29" s="60">
        <f t="shared" si="2"/>
        <v>26878522</v>
      </c>
      <c r="V29" s="70"/>
      <c r="W29" s="23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ht="25.5" customHeight="1">
      <c r="A30" s="55">
        <v>46038.0</v>
      </c>
      <c r="B30" s="56" t="s">
        <v>163</v>
      </c>
      <c r="C30" s="56" t="s">
        <v>3</v>
      </c>
      <c r="D30" s="58" t="s">
        <v>164</v>
      </c>
      <c r="E30" s="58" t="s">
        <v>70</v>
      </c>
      <c r="F30" s="56" t="s">
        <v>112</v>
      </c>
      <c r="G30" s="60">
        <v>5000.0</v>
      </c>
      <c r="H30" s="62">
        <v>38000.0</v>
      </c>
      <c r="I30" s="64">
        <v>1.9E8</v>
      </c>
      <c r="J30" s="64">
        <v>1.52E7</v>
      </c>
      <c r="K30" s="64">
        <v>2.052E8</v>
      </c>
      <c r="L30" s="65" t="s">
        <v>165</v>
      </c>
      <c r="M30" s="65" t="str">
        <f>VLOOKUP(L30,'Đơn đặt'!$C$3:$E$275,2,0)</f>
        <v>12-38/TS-LP</v>
      </c>
      <c r="N30" s="65" t="str">
        <f>VLOOKUP(L30,'Đơn đặt'!$C$3:$E$275,3,0)</f>
        <v>150-2025/TS-AVP/ĐĐH</v>
      </c>
      <c r="O30" s="66">
        <v>46036.0</v>
      </c>
      <c r="P30" s="67" t="s">
        <v>168</v>
      </c>
      <c r="Q30" s="68">
        <v>5000.0</v>
      </c>
      <c r="R30" s="76">
        <v>34800.0</v>
      </c>
      <c r="S30" s="77">
        <v>1.74E8</v>
      </c>
      <c r="T30" s="77">
        <v>1.392E7</v>
      </c>
      <c r="U30" s="60">
        <f t="shared" si="2"/>
        <v>187920000</v>
      </c>
      <c r="V30" s="70"/>
      <c r="W30" s="23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ht="25.5" customHeight="1">
      <c r="A31" s="55">
        <v>46038.0</v>
      </c>
      <c r="B31" s="56" t="s">
        <v>169</v>
      </c>
      <c r="C31" s="56" t="s">
        <v>48</v>
      </c>
      <c r="D31" s="58" t="s">
        <v>47</v>
      </c>
      <c r="E31" s="58" t="s">
        <v>70</v>
      </c>
      <c r="F31" s="56" t="s">
        <v>71</v>
      </c>
      <c r="G31" s="60">
        <v>2000.0</v>
      </c>
      <c r="H31" s="62">
        <v>18291.0</v>
      </c>
      <c r="I31" s="64">
        <v>3.6582E7</v>
      </c>
      <c r="J31" s="64">
        <v>2926560.0</v>
      </c>
      <c r="K31" s="64">
        <v>3.950856E7</v>
      </c>
      <c r="L31" s="65" t="s">
        <v>74</v>
      </c>
      <c r="M31" s="65" t="str">
        <f>VLOOKUP(L31,'Đơn đặt'!$C$3:$E$275,2,0)</f>
        <v>11-10-TS</v>
      </c>
      <c r="N31" s="65" t="str">
        <f>VLOOKUP(L31,'Đơn đặt'!$C$3:$E$275,3,0)</f>
        <v>137-2025/TS-AVP/ĐĐH</v>
      </c>
      <c r="O31" s="66">
        <v>46036.0</v>
      </c>
      <c r="P31" s="67" t="s">
        <v>170</v>
      </c>
      <c r="Q31" s="68">
        <v>2000.0</v>
      </c>
      <c r="R31" s="68">
        <v>14018.2</v>
      </c>
      <c r="S31" s="68">
        <v>2.80364E7</v>
      </c>
      <c r="T31" s="68">
        <v>2242912.0</v>
      </c>
      <c r="U31" s="60">
        <f t="shared" si="2"/>
        <v>30279312</v>
      </c>
      <c r="V31" s="70"/>
      <c r="W31" s="23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ht="25.5" customHeight="1">
      <c r="A32" s="55">
        <v>46038.0</v>
      </c>
      <c r="B32" s="56" t="s">
        <v>171</v>
      </c>
      <c r="C32" s="56" t="s">
        <v>14</v>
      </c>
      <c r="D32" s="58" t="s">
        <v>13</v>
      </c>
      <c r="E32" s="58" t="s">
        <v>70</v>
      </c>
      <c r="F32" s="56" t="s">
        <v>71</v>
      </c>
      <c r="G32" s="60">
        <v>1600.0</v>
      </c>
      <c r="H32" s="62">
        <v>19404.0</v>
      </c>
      <c r="I32" s="64">
        <v>3.10464E7</v>
      </c>
      <c r="J32" s="64">
        <v>2483712.0</v>
      </c>
      <c r="K32" s="64">
        <v>3.3530112E7</v>
      </c>
      <c r="L32" s="65" t="s">
        <v>161</v>
      </c>
      <c r="M32" s="65" t="str">
        <f>VLOOKUP(L32,'Đơn đặt'!$C$3:$E$275,2,0)</f>
        <v>11-10-TS</v>
      </c>
      <c r="N32" s="65" t="str">
        <f>VLOOKUP(L32,'Đơn đặt'!$C$3:$E$275,3,0)</f>
        <v>02-2026/TS-AVP/ĐĐH</v>
      </c>
      <c r="O32" s="66">
        <v>46037.0</v>
      </c>
      <c r="P32" s="67" t="s">
        <v>172</v>
      </c>
      <c r="Q32" s="68">
        <v>1600.0</v>
      </c>
      <c r="R32" s="76">
        <v>17776.8</v>
      </c>
      <c r="S32" s="77">
        <v>2.844288E7</v>
      </c>
      <c r="T32" s="77">
        <v>2275430.0</v>
      </c>
      <c r="U32" s="60">
        <f t="shared" si="2"/>
        <v>30718310</v>
      </c>
      <c r="V32" s="70"/>
      <c r="W32" s="23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ht="25.5" customHeight="1">
      <c r="A33" s="55">
        <v>46038.0</v>
      </c>
      <c r="B33" s="56" t="s">
        <v>171</v>
      </c>
      <c r="C33" s="56" t="s">
        <v>59</v>
      </c>
      <c r="D33" s="58" t="s">
        <v>105</v>
      </c>
      <c r="E33" s="58" t="s">
        <v>70</v>
      </c>
      <c r="F33" s="56" t="s">
        <v>71</v>
      </c>
      <c r="G33" s="60">
        <v>2000.0</v>
      </c>
      <c r="H33" s="62">
        <v>18291.0</v>
      </c>
      <c r="I33" s="64">
        <v>3.6582E7</v>
      </c>
      <c r="J33" s="64">
        <v>2926560.0</v>
      </c>
      <c r="K33" s="64">
        <v>3.950856E7</v>
      </c>
      <c r="L33" s="65" t="s">
        <v>106</v>
      </c>
      <c r="M33" s="65" t="str">
        <f>VLOOKUP(L33,'Đơn đặt'!$C$3:$E$275,2,0)</f>
        <v>11-10-TS</v>
      </c>
      <c r="N33" s="65" t="str">
        <f>VLOOKUP(L33,'Đơn đặt'!$C$3:$E$275,3,0)</f>
        <v>02-2026/TS-AVP/ĐĐH</v>
      </c>
      <c r="O33" s="66">
        <v>46037.0</v>
      </c>
      <c r="P33" s="67" t="s">
        <v>172</v>
      </c>
      <c r="Q33" s="68">
        <v>2000.0</v>
      </c>
      <c r="R33" s="76">
        <v>16258.2</v>
      </c>
      <c r="S33" s="68">
        <v>3.25164E7</v>
      </c>
      <c r="T33" s="77">
        <v>2601312.0</v>
      </c>
      <c r="U33" s="60">
        <f t="shared" si="2"/>
        <v>35117712</v>
      </c>
      <c r="V33" s="70"/>
      <c r="W33" s="23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ht="25.5" customHeight="1">
      <c r="A34" s="55">
        <v>46038.0</v>
      </c>
      <c r="B34" s="56" t="s">
        <v>175</v>
      </c>
      <c r="C34" s="56" t="s">
        <v>3</v>
      </c>
      <c r="D34" s="58" t="s">
        <v>164</v>
      </c>
      <c r="E34" s="58" t="s">
        <v>70</v>
      </c>
      <c r="F34" s="56" t="s">
        <v>112</v>
      </c>
      <c r="G34" s="60">
        <v>4000.0</v>
      </c>
      <c r="H34" s="62">
        <v>38000.0</v>
      </c>
      <c r="I34" s="64">
        <v>1.52E8</v>
      </c>
      <c r="J34" s="64">
        <v>1.216E7</v>
      </c>
      <c r="K34" s="64">
        <v>1.6416E8</v>
      </c>
      <c r="L34" s="65" t="s">
        <v>165</v>
      </c>
      <c r="M34" s="65" t="str">
        <f>VLOOKUP(L34,'Đơn đặt'!$C$3:$E$275,2,0)</f>
        <v>12-38/TS-LP</v>
      </c>
      <c r="N34" s="65" t="str">
        <f>VLOOKUP(L34,'Đơn đặt'!$C$3:$E$275,3,0)</f>
        <v>150-2025/TS-AVP/ĐĐH</v>
      </c>
      <c r="O34" s="66">
        <v>46037.0</v>
      </c>
      <c r="P34" s="67" t="s">
        <v>177</v>
      </c>
      <c r="Q34" s="68">
        <v>4000.0</v>
      </c>
      <c r="R34" s="76">
        <v>34800.0</v>
      </c>
      <c r="S34" s="77">
        <v>1.392E8</v>
      </c>
      <c r="T34" s="77">
        <v>1.1136E7</v>
      </c>
      <c r="U34" s="60">
        <f t="shared" si="2"/>
        <v>150336000</v>
      </c>
      <c r="V34" s="70"/>
      <c r="W34" s="23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ht="25.5" customHeight="1">
      <c r="A35" s="55">
        <v>46038.0</v>
      </c>
      <c r="B35" s="56" t="s">
        <v>180</v>
      </c>
      <c r="C35" s="56" t="s">
        <v>48</v>
      </c>
      <c r="D35" s="58" t="s">
        <v>47</v>
      </c>
      <c r="E35" s="58" t="s">
        <v>70</v>
      </c>
      <c r="F35" s="56" t="s">
        <v>71</v>
      </c>
      <c r="G35" s="60">
        <v>2000.0</v>
      </c>
      <c r="H35" s="62">
        <v>18291.0</v>
      </c>
      <c r="I35" s="64">
        <v>3.6582E7</v>
      </c>
      <c r="J35" s="64">
        <v>2926560.0</v>
      </c>
      <c r="K35" s="64">
        <v>3.950856E7</v>
      </c>
      <c r="L35" s="65" t="s">
        <v>74</v>
      </c>
      <c r="M35" s="65" t="str">
        <f>VLOOKUP(L35,'Đơn đặt'!$C$3:$E$275,2,0)</f>
        <v>11-10-TS</v>
      </c>
      <c r="N35" s="65" t="str">
        <f>VLOOKUP(L35,'Đơn đặt'!$C$3:$E$275,3,0)</f>
        <v>137-2025/TS-AVP/ĐĐH</v>
      </c>
      <c r="O35" s="66">
        <v>46037.0</v>
      </c>
      <c r="P35" s="67" t="s">
        <v>181</v>
      </c>
      <c r="Q35" s="68">
        <v>2000.0</v>
      </c>
      <c r="R35" s="68">
        <v>14018.2</v>
      </c>
      <c r="S35" s="68">
        <v>2.80364E7</v>
      </c>
      <c r="T35" s="68">
        <v>2242912.0</v>
      </c>
      <c r="U35" s="60">
        <f t="shared" si="2"/>
        <v>30279312</v>
      </c>
      <c r="V35" s="70"/>
      <c r="W35" s="23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ht="25.5" customHeight="1">
      <c r="A36" s="55">
        <v>46038.0</v>
      </c>
      <c r="B36" s="56" t="s">
        <v>180</v>
      </c>
      <c r="C36" s="56" t="s">
        <v>77</v>
      </c>
      <c r="D36" s="58" t="s">
        <v>78</v>
      </c>
      <c r="E36" s="58" t="s">
        <v>70</v>
      </c>
      <c r="F36" s="56" t="s">
        <v>71</v>
      </c>
      <c r="G36" s="60">
        <v>1000.0</v>
      </c>
      <c r="H36" s="62">
        <v>21777.0</v>
      </c>
      <c r="I36" s="64">
        <v>2.1777E7</v>
      </c>
      <c r="J36" s="64">
        <v>1742160.0</v>
      </c>
      <c r="K36" s="64">
        <v>2.351916E7</v>
      </c>
      <c r="L36" s="65" t="s">
        <v>79</v>
      </c>
      <c r="M36" s="65" t="str">
        <f>VLOOKUP(L36,'Đơn đặt'!$C$3:$E$275,2,0)</f>
        <v>12-09-TS</v>
      </c>
      <c r="N36" s="65" t="str">
        <f>VLOOKUP(L36,'Đơn đặt'!$C$3:$E$275,3,0)</f>
        <v>149-2025/TS-AVP/ĐĐH</v>
      </c>
      <c r="O36" s="66">
        <v>46037.0</v>
      </c>
      <c r="P36" s="67" t="s">
        <v>181</v>
      </c>
      <c r="Q36" s="68">
        <v>1000.0</v>
      </c>
      <c r="R36" s="76">
        <v>19059.4</v>
      </c>
      <c r="S36" s="77">
        <v>1.90594E7</v>
      </c>
      <c r="T36" s="77">
        <v>1524752.0</v>
      </c>
      <c r="U36" s="60">
        <f t="shared" si="2"/>
        <v>20584152</v>
      </c>
      <c r="V36" s="70"/>
      <c r="W36" s="23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ht="25.5" customHeight="1">
      <c r="A37" s="55">
        <v>46038.0</v>
      </c>
      <c r="B37" s="56" t="s">
        <v>183</v>
      </c>
      <c r="C37" s="56" t="s">
        <v>44</v>
      </c>
      <c r="D37" s="58" t="s">
        <v>45</v>
      </c>
      <c r="E37" s="58" t="s">
        <v>184</v>
      </c>
      <c r="F37" s="56" t="s">
        <v>71</v>
      </c>
      <c r="G37" s="60">
        <v>800.0</v>
      </c>
      <c r="H37" s="62">
        <v>4629.63</v>
      </c>
      <c r="I37" s="64">
        <v>3703704.0</v>
      </c>
      <c r="J37" s="64">
        <v>296296.0</v>
      </c>
      <c r="K37" s="64">
        <v>4000000.0</v>
      </c>
      <c r="L37" s="65" t="s">
        <v>42</v>
      </c>
      <c r="M37" s="65" t="s">
        <v>42</v>
      </c>
      <c r="N37" s="65" t="s">
        <v>42</v>
      </c>
      <c r="O37" s="89">
        <v>2025.0</v>
      </c>
      <c r="P37" s="35"/>
      <c r="Q37" s="90">
        <v>800.0</v>
      </c>
      <c r="R37" s="35"/>
      <c r="S37" s="64">
        <f>ROUND(Q37*R37,0)</f>
        <v>0</v>
      </c>
      <c r="T37" s="64">
        <f>ROUND(S37*0.08,0)</f>
        <v>0</v>
      </c>
      <c r="U37" s="60">
        <f t="shared" si="2"/>
        <v>0</v>
      </c>
      <c r="V37" s="70"/>
      <c r="W37" s="23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ht="25.5" customHeight="1">
      <c r="A38" s="55">
        <v>46038.0</v>
      </c>
      <c r="B38" s="56" t="s">
        <v>185</v>
      </c>
      <c r="C38" s="56" t="s">
        <v>3</v>
      </c>
      <c r="D38" s="58" t="s">
        <v>164</v>
      </c>
      <c r="E38" s="58" t="s">
        <v>70</v>
      </c>
      <c r="F38" s="56" t="s">
        <v>112</v>
      </c>
      <c r="G38" s="60">
        <v>5000.0</v>
      </c>
      <c r="H38" s="62">
        <v>38000.0</v>
      </c>
      <c r="I38" s="64">
        <v>1.9E8</v>
      </c>
      <c r="J38" s="64">
        <v>1.52E7</v>
      </c>
      <c r="K38" s="64">
        <v>2.052E8</v>
      </c>
      <c r="L38" s="65" t="s">
        <v>165</v>
      </c>
      <c r="M38" s="65" t="str">
        <f>VLOOKUP(L38,'Đơn đặt'!$C$3:$E$275,2,0)</f>
        <v>12-38/TS-LP</v>
      </c>
      <c r="N38" s="65" t="str">
        <f>VLOOKUP(L38,'Đơn đặt'!$C$3:$E$275,3,0)</f>
        <v>150-2025/TS-AVP/ĐĐH</v>
      </c>
      <c r="O38" s="66">
        <v>46038.0</v>
      </c>
      <c r="P38" s="67" t="s">
        <v>189</v>
      </c>
      <c r="Q38" s="68">
        <v>5000.0</v>
      </c>
      <c r="R38" s="76">
        <v>34800.0</v>
      </c>
      <c r="S38" s="77">
        <v>1.74E8</v>
      </c>
      <c r="T38" s="77">
        <v>1.392E7</v>
      </c>
      <c r="U38" s="60">
        <f t="shared" si="2"/>
        <v>187920000</v>
      </c>
      <c r="V38" s="70"/>
      <c r="W38" s="23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ht="25.5" customHeight="1">
      <c r="A39" s="55">
        <v>46038.0</v>
      </c>
      <c r="B39" s="56" t="s">
        <v>170</v>
      </c>
      <c r="C39" s="56" t="s">
        <v>48</v>
      </c>
      <c r="D39" s="58" t="s">
        <v>47</v>
      </c>
      <c r="E39" s="58" t="s">
        <v>70</v>
      </c>
      <c r="F39" s="56" t="s">
        <v>71</v>
      </c>
      <c r="G39" s="60">
        <v>2000.0</v>
      </c>
      <c r="H39" s="62">
        <v>18291.0</v>
      </c>
      <c r="I39" s="64">
        <v>3.6582E7</v>
      </c>
      <c r="J39" s="64">
        <v>2926560.0</v>
      </c>
      <c r="K39" s="64">
        <v>3.950856E7</v>
      </c>
      <c r="L39" s="65" t="s">
        <v>74</v>
      </c>
      <c r="M39" s="65" t="str">
        <f>VLOOKUP(L39,'Đơn đặt'!$C$3:$E$275,2,0)</f>
        <v>11-10-TS</v>
      </c>
      <c r="N39" s="65" t="str">
        <f>VLOOKUP(L39,'Đơn đặt'!$C$3:$E$275,3,0)</f>
        <v>137-2025/TS-AVP/ĐĐH</v>
      </c>
      <c r="O39" s="66">
        <v>46038.0</v>
      </c>
      <c r="P39" s="67" t="s">
        <v>190</v>
      </c>
      <c r="Q39" s="68">
        <v>2000.0</v>
      </c>
      <c r="R39" s="68">
        <v>14018.2</v>
      </c>
      <c r="S39" s="68">
        <v>2.80364E7</v>
      </c>
      <c r="T39" s="68">
        <v>2242912.0</v>
      </c>
      <c r="U39" s="60">
        <f t="shared" si="2"/>
        <v>30279312</v>
      </c>
      <c r="V39" s="70"/>
      <c r="W39" s="23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ht="25.5" customHeight="1">
      <c r="A40" s="55">
        <v>46038.0</v>
      </c>
      <c r="B40" s="56" t="s">
        <v>162</v>
      </c>
      <c r="C40" s="56" t="s">
        <v>119</v>
      </c>
      <c r="D40" s="58" t="s">
        <v>120</v>
      </c>
      <c r="E40" s="58" t="s">
        <v>70</v>
      </c>
      <c r="F40" s="56" t="s">
        <v>71</v>
      </c>
      <c r="G40" s="60">
        <v>995.0</v>
      </c>
      <c r="H40" s="62">
        <v>19310.0</v>
      </c>
      <c r="I40" s="64">
        <v>1.921345E7</v>
      </c>
      <c r="J40" s="64">
        <v>1537076.0</v>
      </c>
      <c r="K40" s="64">
        <v>2.0750526E7</v>
      </c>
      <c r="L40" s="65" t="s">
        <v>121</v>
      </c>
      <c r="M40" s="65" t="str">
        <f>VLOOKUP(L40,'Đơn đặt'!$C$3:$E$275,2,0)</f>
        <v>11-04-TS</v>
      </c>
      <c r="N40" s="65" t="str">
        <f>VLOOKUP(L40,'Đơn đặt'!$C$3:$E$275,3,0)</f>
        <v>01-2026/TS-AVP/ĐĐH</v>
      </c>
      <c r="O40" s="66">
        <v>46038.0</v>
      </c>
      <c r="P40" s="67" t="s">
        <v>193</v>
      </c>
      <c r="Q40" s="90">
        <v>995.0</v>
      </c>
      <c r="R40" s="76">
        <v>17438.0</v>
      </c>
      <c r="S40" s="64">
        <f>ROUND(Q40*R40,0)</f>
        <v>17350810</v>
      </c>
      <c r="T40" s="64">
        <f>ROUND(S40*0.08,0)</f>
        <v>1388065</v>
      </c>
      <c r="U40" s="60">
        <f t="shared" si="2"/>
        <v>18738875</v>
      </c>
      <c r="V40" s="70"/>
      <c r="W40" s="23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ht="25.5" customHeight="1">
      <c r="A41" s="55">
        <v>46038.0</v>
      </c>
      <c r="B41" s="56" t="s">
        <v>162</v>
      </c>
      <c r="C41" s="56" t="s">
        <v>35</v>
      </c>
      <c r="D41" s="58" t="s">
        <v>34</v>
      </c>
      <c r="E41" s="58" t="s">
        <v>70</v>
      </c>
      <c r="F41" s="56" t="s">
        <v>71</v>
      </c>
      <c r="G41" s="60">
        <v>1000.0</v>
      </c>
      <c r="H41" s="62">
        <v>14900.0</v>
      </c>
      <c r="I41" s="64">
        <v>1.49E7</v>
      </c>
      <c r="J41" s="64">
        <v>1192000.0</v>
      </c>
      <c r="K41" s="64">
        <v>1.6092E7</v>
      </c>
      <c r="L41" s="65" t="s">
        <v>195</v>
      </c>
      <c r="M41" s="65" t="str">
        <f>VLOOKUP(L41,'Đơn đặt'!$C$3:$E$275,2,0)</f>
        <v>12-01-TS</v>
      </c>
      <c r="N41" s="65" t="str">
        <f>VLOOKUP(L41,'Đơn đặt'!$C$3:$E$275,3,0)</f>
        <v>03-2026/TS-AVP/ĐĐH</v>
      </c>
      <c r="O41" s="66">
        <v>46038.0</v>
      </c>
      <c r="P41" s="67" t="s">
        <v>193</v>
      </c>
      <c r="Q41" s="68">
        <v>1000.0</v>
      </c>
      <c r="R41" s="76">
        <v>14140.0</v>
      </c>
      <c r="S41" s="77">
        <v>1.414E7</v>
      </c>
      <c r="T41" s="77">
        <v>1131200.0</v>
      </c>
      <c r="U41" s="60">
        <f t="shared" si="2"/>
        <v>15271200</v>
      </c>
      <c r="V41" s="70"/>
      <c r="W41" s="23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  <row r="42" ht="25.5" customHeight="1">
      <c r="A42" s="55">
        <v>46038.0</v>
      </c>
      <c r="B42" s="56" t="s">
        <v>162</v>
      </c>
      <c r="C42" s="56" t="s">
        <v>196</v>
      </c>
      <c r="D42" s="58" t="s">
        <v>197</v>
      </c>
      <c r="E42" s="58" t="s">
        <v>70</v>
      </c>
      <c r="F42" s="56" t="s">
        <v>71</v>
      </c>
      <c r="G42" s="60">
        <v>495.0</v>
      </c>
      <c r="H42" s="62">
        <v>19320.0</v>
      </c>
      <c r="I42" s="64">
        <v>9563400.0</v>
      </c>
      <c r="J42" s="64">
        <v>765072.0</v>
      </c>
      <c r="K42" s="64">
        <v>1.0328472E7</v>
      </c>
      <c r="L42" s="65" t="s">
        <v>198</v>
      </c>
      <c r="M42" s="65" t="str">
        <f>VLOOKUP(L42,'Đơn đặt'!$C$3:$E$275,2,0)</f>
        <v>01-03-TS</v>
      </c>
      <c r="N42" s="65" t="str">
        <f>VLOOKUP(L42,'Đơn đặt'!$C$3:$E$275,3,0)</f>
        <v>06-2026/TS-AVP/ĐĐH</v>
      </c>
      <c r="O42" s="66">
        <v>46038.0</v>
      </c>
      <c r="P42" s="67" t="s">
        <v>193</v>
      </c>
      <c r="Q42" s="68">
        <v>495.0</v>
      </c>
      <c r="R42" s="76">
        <v>17928.0</v>
      </c>
      <c r="S42" s="77">
        <v>8874360.0</v>
      </c>
      <c r="T42" s="77">
        <v>709949.0</v>
      </c>
      <c r="U42" s="60">
        <f t="shared" si="2"/>
        <v>9584309</v>
      </c>
      <c r="V42" s="70"/>
      <c r="W42" s="23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ht="25.5" customHeight="1">
      <c r="A43" s="55">
        <v>46038.0</v>
      </c>
      <c r="B43" s="56" t="s">
        <v>168</v>
      </c>
      <c r="C43" s="56" t="s">
        <v>14</v>
      </c>
      <c r="D43" s="58" t="s">
        <v>13</v>
      </c>
      <c r="E43" s="58" t="s">
        <v>70</v>
      </c>
      <c r="F43" s="56" t="s">
        <v>71</v>
      </c>
      <c r="G43" s="60">
        <v>1500.0</v>
      </c>
      <c r="H43" s="62">
        <v>19404.0</v>
      </c>
      <c r="I43" s="64">
        <v>2.9106E7</v>
      </c>
      <c r="J43" s="64">
        <v>2328480.0</v>
      </c>
      <c r="K43" s="64">
        <v>3.143448E7</v>
      </c>
      <c r="L43" s="65" t="s">
        <v>161</v>
      </c>
      <c r="M43" s="65" t="str">
        <f>VLOOKUP(L43,'Đơn đặt'!$C$3:$E$275,2,0)</f>
        <v>11-10-TS</v>
      </c>
      <c r="N43" s="65" t="str">
        <f>VLOOKUP(L43,'Đơn đặt'!$C$3:$E$275,3,0)</f>
        <v>02-2026/TS-AVP/ĐĐH</v>
      </c>
      <c r="O43" s="66">
        <v>46038.0</v>
      </c>
      <c r="P43" s="67" t="s">
        <v>199</v>
      </c>
      <c r="Q43" s="68">
        <v>1500.0</v>
      </c>
      <c r="R43" s="76">
        <v>17776.8</v>
      </c>
      <c r="S43" s="64">
        <f>ROUND(Q43*R43,0)</f>
        <v>26665200</v>
      </c>
      <c r="T43" s="64">
        <f>ROUND(S43*0.08,0)</f>
        <v>2133216</v>
      </c>
      <c r="U43" s="60">
        <f t="shared" si="2"/>
        <v>28798416</v>
      </c>
      <c r="V43" s="70"/>
      <c r="W43" s="23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ht="25.5" customHeight="1">
      <c r="A44" s="55">
        <v>46038.0</v>
      </c>
      <c r="B44" s="56" t="s">
        <v>168</v>
      </c>
      <c r="C44" s="56" t="s">
        <v>59</v>
      </c>
      <c r="D44" s="58" t="s">
        <v>105</v>
      </c>
      <c r="E44" s="58" t="s">
        <v>70</v>
      </c>
      <c r="F44" s="56" t="s">
        <v>71</v>
      </c>
      <c r="G44" s="60">
        <v>2000.0</v>
      </c>
      <c r="H44" s="62">
        <v>18291.0</v>
      </c>
      <c r="I44" s="64">
        <v>3.6582E7</v>
      </c>
      <c r="J44" s="64">
        <v>2926560.0</v>
      </c>
      <c r="K44" s="64">
        <v>3.950856E7</v>
      </c>
      <c r="L44" s="65" t="s">
        <v>106</v>
      </c>
      <c r="M44" s="65" t="str">
        <f>VLOOKUP(L44,'Đơn đặt'!$C$3:$E$275,2,0)</f>
        <v>11-10-TS</v>
      </c>
      <c r="N44" s="65" t="str">
        <f>VLOOKUP(L44,'Đơn đặt'!$C$3:$E$275,3,0)</f>
        <v>02-2026/TS-AVP/ĐĐH</v>
      </c>
      <c r="O44" s="66">
        <v>46038.0</v>
      </c>
      <c r="P44" s="67" t="s">
        <v>199</v>
      </c>
      <c r="Q44" s="68">
        <v>2000.0</v>
      </c>
      <c r="R44" s="76">
        <v>16258.2</v>
      </c>
      <c r="S44" s="68">
        <v>3.25164E7</v>
      </c>
      <c r="T44" s="77">
        <v>2601312.0</v>
      </c>
      <c r="U44" s="60">
        <f t="shared" si="2"/>
        <v>35117712</v>
      </c>
      <c r="V44" s="70"/>
      <c r="W44" s="23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ht="25.5" customHeight="1">
      <c r="A45" s="55">
        <v>46042.0</v>
      </c>
      <c r="B45" s="56" t="s">
        <v>202</v>
      </c>
      <c r="C45" s="56" t="s">
        <v>59</v>
      </c>
      <c r="D45" s="58" t="s">
        <v>105</v>
      </c>
      <c r="E45" s="58" t="s">
        <v>70</v>
      </c>
      <c r="F45" s="56" t="s">
        <v>71</v>
      </c>
      <c r="G45" s="60">
        <v>800.0</v>
      </c>
      <c r="H45" s="62">
        <v>18291.0</v>
      </c>
      <c r="I45" s="64">
        <v>1.46328E7</v>
      </c>
      <c r="J45" s="64">
        <v>1170624.0</v>
      </c>
      <c r="K45" s="64">
        <v>1.5803424E7</v>
      </c>
      <c r="L45" s="65" t="s">
        <v>106</v>
      </c>
      <c r="M45" s="65" t="str">
        <f>VLOOKUP(L45,'Đơn đặt'!$C$3:$E$275,2,0)</f>
        <v>11-10-TS</v>
      </c>
      <c r="N45" s="65" t="str">
        <f>VLOOKUP(L45,'Đơn đặt'!$C$3:$E$275,3,0)</f>
        <v>02-2026/TS-AVP/ĐĐH</v>
      </c>
      <c r="O45" s="66">
        <v>46041.0</v>
      </c>
      <c r="P45" s="67" t="s">
        <v>205</v>
      </c>
      <c r="Q45" s="68">
        <v>800.0</v>
      </c>
      <c r="R45" s="76">
        <v>16258.2</v>
      </c>
      <c r="S45" s="68">
        <v>1.300656E7</v>
      </c>
      <c r="T45" s="77">
        <v>1040525.0</v>
      </c>
      <c r="U45" s="60">
        <f t="shared" si="2"/>
        <v>14047085</v>
      </c>
      <c r="V45" s="70"/>
      <c r="W45" s="23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ht="25.5" customHeight="1">
      <c r="A46" s="55">
        <v>46042.0</v>
      </c>
      <c r="B46" s="56" t="s">
        <v>202</v>
      </c>
      <c r="C46" s="56" t="s">
        <v>206</v>
      </c>
      <c r="D46" s="58" t="s">
        <v>207</v>
      </c>
      <c r="E46" s="58" t="s">
        <v>70</v>
      </c>
      <c r="F46" s="56" t="s">
        <v>71</v>
      </c>
      <c r="G46" s="81">
        <v>1000.0</v>
      </c>
      <c r="H46" s="62">
        <v>18134.0</v>
      </c>
      <c r="I46" s="64">
        <v>1.8134E7</v>
      </c>
      <c r="J46" s="64">
        <v>1450720.0</v>
      </c>
      <c r="K46" s="64">
        <v>1.958472E7</v>
      </c>
      <c r="L46" s="65" t="s">
        <v>208</v>
      </c>
      <c r="M46" s="65" t="str">
        <f>VLOOKUP(L46,'Đơn đặt'!$C$3:$E$275,2,0)</f>
        <v>11-04-TS</v>
      </c>
      <c r="N46" s="65" t="str">
        <f>VLOOKUP(L46,'Đơn đặt'!$C$3:$E$275,3,0)</f>
        <v>01-2026/TS-AVP/ĐĐH</v>
      </c>
      <c r="O46" s="66">
        <v>46041.0</v>
      </c>
      <c r="P46" s="67" t="s">
        <v>205</v>
      </c>
      <c r="Q46" s="68">
        <v>1000.0</v>
      </c>
      <c r="R46" s="76">
        <v>17202.8</v>
      </c>
      <c r="S46" s="77">
        <v>1.72028E7</v>
      </c>
      <c r="T46" s="77">
        <v>1376224.0</v>
      </c>
      <c r="U46" s="60">
        <f t="shared" si="2"/>
        <v>18579024</v>
      </c>
      <c r="V46" s="70"/>
      <c r="W46" s="23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ht="25.5" customHeight="1">
      <c r="A47" s="55">
        <v>46042.0</v>
      </c>
      <c r="B47" s="56" t="s">
        <v>212</v>
      </c>
      <c r="C47" s="56" t="s">
        <v>59</v>
      </c>
      <c r="D47" s="58" t="s">
        <v>105</v>
      </c>
      <c r="E47" s="58" t="s">
        <v>70</v>
      </c>
      <c r="F47" s="56" t="s">
        <v>71</v>
      </c>
      <c r="G47" s="60">
        <v>1000.0</v>
      </c>
      <c r="H47" s="62">
        <v>18291.0</v>
      </c>
      <c r="I47" s="64">
        <v>1.8291E7</v>
      </c>
      <c r="J47" s="64">
        <v>1463280.0</v>
      </c>
      <c r="K47" s="64">
        <v>1.975428E7</v>
      </c>
      <c r="L47" s="65" t="s">
        <v>106</v>
      </c>
      <c r="M47" s="65" t="str">
        <f>VLOOKUP(L47,'Đơn đặt'!$C$3:$E$275,2,0)</f>
        <v>11-10-TS</v>
      </c>
      <c r="N47" s="65" t="str">
        <f>VLOOKUP(L47,'Đơn đặt'!$C$3:$E$275,3,0)</f>
        <v>02-2026/TS-AVP/ĐĐH</v>
      </c>
      <c r="O47" s="66">
        <v>46041.0</v>
      </c>
      <c r="P47" s="67" t="s">
        <v>213</v>
      </c>
      <c r="Q47" s="68">
        <v>1000.0</v>
      </c>
      <c r="R47" s="76">
        <v>16258.2</v>
      </c>
      <c r="S47" s="68">
        <v>1.62582E7</v>
      </c>
      <c r="T47" s="77">
        <v>1300656.0</v>
      </c>
      <c r="U47" s="60">
        <f t="shared" si="2"/>
        <v>17558856</v>
      </c>
      <c r="V47" s="70"/>
      <c r="W47" s="23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ht="25.5" customHeight="1">
      <c r="A48" s="55">
        <v>46042.0</v>
      </c>
      <c r="B48" s="56" t="s">
        <v>212</v>
      </c>
      <c r="C48" s="56" t="s">
        <v>14</v>
      </c>
      <c r="D48" s="58" t="s">
        <v>13</v>
      </c>
      <c r="E48" s="58" t="s">
        <v>70</v>
      </c>
      <c r="F48" s="56" t="s">
        <v>71</v>
      </c>
      <c r="G48" s="60">
        <v>1000.0</v>
      </c>
      <c r="H48" s="62">
        <v>19404.0</v>
      </c>
      <c r="I48" s="64">
        <v>1.9404E7</v>
      </c>
      <c r="J48" s="64">
        <v>1552320.0</v>
      </c>
      <c r="K48" s="64">
        <v>2.095632E7</v>
      </c>
      <c r="L48" s="65" t="s">
        <v>161</v>
      </c>
      <c r="M48" s="65" t="str">
        <f>VLOOKUP(L48,'Đơn đặt'!$C$3:$E$275,2,0)</f>
        <v>11-10-TS</v>
      </c>
      <c r="N48" s="65" t="str">
        <f>VLOOKUP(L48,'Đơn đặt'!$C$3:$E$275,3,0)</f>
        <v>02-2026/TS-AVP/ĐĐH</v>
      </c>
      <c r="O48" s="66">
        <v>46041.0</v>
      </c>
      <c r="P48" s="67" t="s">
        <v>213</v>
      </c>
      <c r="Q48" s="68">
        <v>1000.0</v>
      </c>
      <c r="R48" s="76">
        <v>17776.8</v>
      </c>
      <c r="S48" s="77">
        <v>1.77768E7</v>
      </c>
      <c r="T48" s="77">
        <v>1422144.0</v>
      </c>
      <c r="U48" s="60">
        <f t="shared" si="2"/>
        <v>19198944</v>
      </c>
      <c r="V48" s="70"/>
      <c r="W48" s="23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ht="25.5" customHeight="1">
      <c r="A49" s="55">
        <v>46042.0</v>
      </c>
      <c r="B49" s="56" t="s">
        <v>212</v>
      </c>
      <c r="C49" s="56" t="s">
        <v>119</v>
      </c>
      <c r="D49" s="58" t="s">
        <v>120</v>
      </c>
      <c r="E49" s="58" t="s">
        <v>70</v>
      </c>
      <c r="F49" s="56" t="s">
        <v>71</v>
      </c>
      <c r="G49" s="60">
        <v>1490.0</v>
      </c>
      <c r="H49" s="62">
        <v>19310.0</v>
      </c>
      <c r="I49" s="64">
        <v>2.87719E7</v>
      </c>
      <c r="J49" s="64">
        <v>2301752.0</v>
      </c>
      <c r="K49" s="64">
        <v>3.1073652E7</v>
      </c>
      <c r="L49" s="65" t="s">
        <v>121</v>
      </c>
      <c r="M49" s="65" t="str">
        <f>VLOOKUP(L49,'Đơn đặt'!$C$3:$E$275,2,0)</f>
        <v>11-04-TS</v>
      </c>
      <c r="N49" s="65" t="str">
        <f>VLOOKUP(L49,'Đơn đặt'!$C$3:$E$275,3,0)</f>
        <v>01-2026/TS-AVP/ĐĐH</v>
      </c>
      <c r="O49" s="66">
        <v>46041.0</v>
      </c>
      <c r="P49" s="67" t="s">
        <v>213</v>
      </c>
      <c r="Q49" s="68">
        <v>1490.0</v>
      </c>
      <c r="R49" s="76">
        <v>17438.0</v>
      </c>
      <c r="S49" s="77">
        <v>2.598262E7</v>
      </c>
      <c r="T49" s="77">
        <v>2078610.0</v>
      </c>
      <c r="U49" s="60">
        <f t="shared" si="2"/>
        <v>28061230</v>
      </c>
      <c r="V49" s="70"/>
      <c r="W49" s="23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ht="25.5" customHeight="1">
      <c r="A50" s="55">
        <v>46042.0</v>
      </c>
      <c r="B50" s="56" t="s">
        <v>212</v>
      </c>
      <c r="C50" s="56" t="s">
        <v>206</v>
      </c>
      <c r="D50" s="58" t="s">
        <v>207</v>
      </c>
      <c r="E50" s="58" t="s">
        <v>70</v>
      </c>
      <c r="F50" s="56" t="s">
        <v>71</v>
      </c>
      <c r="G50" s="81">
        <v>1000.0</v>
      </c>
      <c r="H50" s="62">
        <v>18134.0</v>
      </c>
      <c r="I50" s="64">
        <v>1.8134E7</v>
      </c>
      <c r="J50" s="64">
        <v>1450720.0</v>
      </c>
      <c r="K50" s="64">
        <v>1.958472E7</v>
      </c>
      <c r="L50" s="65" t="s">
        <v>208</v>
      </c>
      <c r="M50" s="65" t="str">
        <f>VLOOKUP(L50,'Đơn đặt'!$C$3:$E$275,2,0)</f>
        <v>11-04-TS</v>
      </c>
      <c r="N50" s="65" t="str">
        <f>VLOOKUP(L50,'Đơn đặt'!$C$3:$E$275,3,0)</f>
        <v>01-2026/TS-AVP/ĐĐH</v>
      </c>
      <c r="O50" s="66">
        <v>46041.0</v>
      </c>
      <c r="P50" s="67" t="s">
        <v>213</v>
      </c>
      <c r="Q50" s="68">
        <v>1000.0</v>
      </c>
      <c r="R50" s="76">
        <v>17202.8</v>
      </c>
      <c r="S50" s="77">
        <v>1.72028E7</v>
      </c>
      <c r="T50" s="77">
        <v>1376224.0</v>
      </c>
      <c r="U50" s="60">
        <f t="shared" si="2"/>
        <v>18579024</v>
      </c>
      <c r="V50" s="70"/>
      <c r="W50" s="23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ht="25.5" customHeight="1">
      <c r="A51" s="55">
        <v>46042.0</v>
      </c>
      <c r="B51" s="56" t="s">
        <v>216</v>
      </c>
      <c r="C51" s="56" t="s">
        <v>48</v>
      </c>
      <c r="D51" s="58" t="s">
        <v>47</v>
      </c>
      <c r="E51" s="58" t="s">
        <v>70</v>
      </c>
      <c r="F51" s="56" t="s">
        <v>71</v>
      </c>
      <c r="G51" s="60">
        <v>5000.0</v>
      </c>
      <c r="H51" s="62">
        <v>18291.0</v>
      </c>
      <c r="I51" s="64">
        <v>9.1455E7</v>
      </c>
      <c r="J51" s="64">
        <v>7316400.0</v>
      </c>
      <c r="K51" s="64">
        <v>9.87714E7</v>
      </c>
      <c r="L51" s="65" t="s">
        <v>74</v>
      </c>
      <c r="M51" s="65" t="str">
        <f>VLOOKUP(L51,'Đơn đặt'!$C$3:$E$275,2,0)</f>
        <v>11-10-TS</v>
      </c>
      <c r="N51" s="65" t="str">
        <f>VLOOKUP(L51,'Đơn đặt'!$C$3:$E$275,3,0)</f>
        <v>137-2025/TS-AVP/ĐĐH</v>
      </c>
      <c r="O51" s="66">
        <v>46041.0</v>
      </c>
      <c r="P51" s="67" t="s">
        <v>219</v>
      </c>
      <c r="Q51" s="68">
        <v>5000.0</v>
      </c>
      <c r="R51" s="68">
        <v>14018.2</v>
      </c>
      <c r="S51" s="68">
        <v>7.0091E7</v>
      </c>
      <c r="T51" s="68">
        <v>5607280.0</v>
      </c>
      <c r="U51" s="60">
        <f t="shared" si="2"/>
        <v>75698280</v>
      </c>
      <c r="V51" s="70"/>
      <c r="W51" s="23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ht="25.5" customHeight="1">
      <c r="A52" s="55">
        <v>46042.0</v>
      </c>
      <c r="B52" s="56" t="s">
        <v>216</v>
      </c>
      <c r="C52" s="56" t="s">
        <v>50</v>
      </c>
      <c r="D52" s="58" t="s">
        <v>49</v>
      </c>
      <c r="E52" s="58" t="s">
        <v>70</v>
      </c>
      <c r="F52" s="56" t="s">
        <v>71</v>
      </c>
      <c r="G52" s="81">
        <v>1000.0</v>
      </c>
      <c r="H52" s="62">
        <v>18291.0</v>
      </c>
      <c r="I52" s="64">
        <v>1.8291E7</v>
      </c>
      <c r="J52" s="64">
        <v>1463280.0</v>
      </c>
      <c r="K52" s="64">
        <v>1.975428E7</v>
      </c>
      <c r="L52" s="65" t="s">
        <v>220</v>
      </c>
      <c r="M52" s="65" t="str">
        <f>VLOOKUP(L52,'Đơn đặt'!$C$3:$E$275,2,0)</f>
        <v>11-10-TS</v>
      </c>
      <c r="N52" s="65" t="str">
        <f>VLOOKUP(L52,'Đơn đặt'!$C$3:$E$275,3,0)</f>
        <v>137-2025/TS-AVP/ĐĐH</v>
      </c>
      <c r="O52" s="66">
        <v>46041.0</v>
      </c>
      <c r="P52" s="67" t="s">
        <v>219</v>
      </c>
      <c r="Q52" s="68">
        <v>1000.0</v>
      </c>
      <c r="R52" s="76">
        <v>14018.2</v>
      </c>
      <c r="S52" s="77">
        <v>1.40182E7</v>
      </c>
      <c r="T52" s="77">
        <v>1121456.0</v>
      </c>
      <c r="U52" s="60">
        <f t="shared" si="2"/>
        <v>15139656</v>
      </c>
      <c r="V52" s="70"/>
      <c r="W52" s="23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ht="25.5" customHeight="1">
      <c r="A53" s="55">
        <v>46042.0</v>
      </c>
      <c r="B53" s="56" t="s">
        <v>216</v>
      </c>
      <c r="C53" s="56" t="s">
        <v>77</v>
      </c>
      <c r="D53" s="58" t="s">
        <v>78</v>
      </c>
      <c r="E53" s="58" t="s">
        <v>70</v>
      </c>
      <c r="F53" s="56" t="s">
        <v>71</v>
      </c>
      <c r="G53" s="60">
        <v>1000.0</v>
      </c>
      <c r="H53" s="62">
        <v>21777.0</v>
      </c>
      <c r="I53" s="64">
        <v>2.1777E7</v>
      </c>
      <c r="J53" s="64">
        <v>1742160.0</v>
      </c>
      <c r="K53" s="64">
        <v>2.351916E7</v>
      </c>
      <c r="L53" s="65" t="s">
        <v>79</v>
      </c>
      <c r="M53" s="65" t="str">
        <f>VLOOKUP(L53,'Đơn đặt'!$C$3:$E$275,2,0)</f>
        <v>12-09-TS</v>
      </c>
      <c r="N53" s="65" t="str">
        <f>VLOOKUP(L53,'Đơn đặt'!$C$3:$E$275,3,0)</f>
        <v>149-2025/TS-AVP/ĐĐH</v>
      </c>
      <c r="O53" s="66">
        <v>46041.0</v>
      </c>
      <c r="P53" s="67" t="s">
        <v>219</v>
      </c>
      <c r="Q53" s="68">
        <v>1000.0</v>
      </c>
      <c r="R53" s="76">
        <v>19059.4</v>
      </c>
      <c r="S53" s="77">
        <v>1.90594E7</v>
      </c>
      <c r="T53" s="77">
        <v>1524752.0</v>
      </c>
      <c r="U53" s="60">
        <f t="shared" si="2"/>
        <v>20584152</v>
      </c>
      <c r="V53" s="70"/>
      <c r="W53" s="23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ht="25.5" customHeight="1">
      <c r="A54" s="55">
        <v>46042.0</v>
      </c>
      <c r="B54" s="56" t="s">
        <v>221</v>
      </c>
      <c r="C54" s="56" t="s">
        <v>48</v>
      </c>
      <c r="D54" s="58" t="s">
        <v>47</v>
      </c>
      <c r="E54" s="58" t="s">
        <v>70</v>
      </c>
      <c r="F54" s="56" t="s">
        <v>71</v>
      </c>
      <c r="G54" s="60">
        <v>5000.0</v>
      </c>
      <c r="H54" s="62">
        <v>18291.0</v>
      </c>
      <c r="I54" s="64">
        <v>9.1455E7</v>
      </c>
      <c r="J54" s="64">
        <v>7316400.0</v>
      </c>
      <c r="K54" s="64">
        <v>9.87714E7</v>
      </c>
      <c r="L54" s="65" t="s">
        <v>74</v>
      </c>
      <c r="M54" s="65" t="str">
        <f>VLOOKUP(L54,'Đơn đặt'!$C$3:$E$275,2,0)</f>
        <v>11-10-TS</v>
      </c>
      <c r="N54" s="65" t="str">
        <f>VLOOKUP(L54,'Đơn đặt'!$C$3:$E$275,3,0)</f>
        <v>137-2025/TS-AVP/ĐĐH</v>
      </c>
      <c r="O54" s="66">
        <v>46041.0</v>
      </c>
      <c r="P54" s="67" t="s">
        <v>224</v>
      </c>
      <c r="Q54" s="68">
        <v>5000.0</v>
      </c>
      <c r="R54" s="68">
        <v>14018.2</v>
      </c>
      <c r="S54" s="68">
        <v>7.0091E7</v>
      </c>
      <c r="T54" s="68">
        <v>5607280.0</v>
      </c>
      <c r="U54" s="60">
        <f t="shared" si="2"/>
        <v>75698280</v>
      </c>
      <c r="V54" s="70"/>
      <c r="W54" s="23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ht="25.5" customHeight="1">
      <c r="A55" s="55">
        <v>46042.0</v>
      </c>
      <c r="B55" s="56" t="s">
        <v>221</v>
      </c>
      <c r="C55" s="56" t="s">
        <v>50</v>
      </c>
      <c r="D55" s="58" t="s">
        <v>49</v>
      </c>
      <c r="E55" s="58" t="s">
        <v>70</v>
      </c>
      <c r="F55" s="56" t="s">
        <v>71</v>
      </c>
      <c r="G55" s="81">
        <v>1000.0</v>
      </c>
      <c r="H55" s="62">
        <v>18291.0</v>
      </c>
      <c r="I55" s="64">
        <v>1.8291E7</v>
      </c>
      <c r="J55" s="64">
        <v>1463280.0</v>
      </c>
      <c r="K55" s="64">
        <v>1.975428E7</v>
      </c>
      <c r="L55" s="65" t="s">
        <v>220</v>
      </c>
      <c r="M55" s="65" t="str">
        <f>VLOOKUP(L55,'Đơn đặt'!$C$3:$E$275,2,0)</f>
        <v>11-10-TS</v>
      </c>
      <c r="N55" s="65" t="str">
        <f>VLOOKUP(L55,'Đơn đặt'!$C$3:$E$275,3,0)</f>
        <v>137-2025/TS-AVP/ĐĐH</v>
      </c>
      <c r="O55" s="66">
        <v>46041.0</v>
      </c>
      <c r="P55" s="67" t="s">
        <v>224</v>
      </c>
      <c r="Q55" s="68">
        <v>1000.0</v>
      </c>
      <c r="R55" s="76">
        <v>14018.2</v>
      </c>
      <c r="S55" s="77">
        <v>1.40182E7</v>
      </c>
      <c r="T55" s="77">
        <v>1121456.0</v>
      </c>
      <c r="U55" s="60">
        <f t="shared" si="2"/>
        <v>15139656</v>
      </c>
      <c r="V55" s="70"/>
      <c r="W55" s="23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ht="25.5" customHeight="1">
      <c r="A56" s="55">
        <v>46042.0</v>
      </c>
      <c r="B56" s="56" t="s">
        <v>221</v>
      </c>
      <c r="C56" s="56" t="s">
        <v>77</v>
      </c>
      <c r="D56" s="58" t="s">
        <v>78</v>
      </c>
      <c r="E56" s="58" t="s">
        <v>70</v>
      </c>
      <c r="F56" s="56" t="s">
        <v>71</v>
      </c>
      <c r="G56" s="60">
        <v>1000.0</v>
      </c>
      <c r="H56" s="62">
        <v>21777.0</v>
      </c>
      <c r="I56" s="64">
        <v>2.1777E7</v>
      </c>
      <c r="J56" s="64">
        <v>1742160.0</v>
      </c>
      <c r="K56" s="64">
        <v>2.351916E7</v>
      </c>
      <c r="L56" s="65" t="s">
        <v>79</v>
      </c>
      <c r="M56" s="65" t="str">
        <f>VLOOKUP(L56,'Đơn đặt'!$C$3:$E$275,2,0)</f>
        <v>12-09-TS</v>
      </c>
      <c r="N56" s="65" t="str">
        <f>VLOOKUP(L56,'Đơn đặt'!$C$3:$E$275,3,0)</f>
        <v>149-2025/TS-AVP/ĐĐH</v>
      </c>
      <c r="O56" s="66">
        <v>46041.0</v>
      </c>
      <c r="P56" s="67" t="s">
        <v>224</v>
      </c>
      <c r="Q56" s="68">
        <v>1000.0</v>
      </c>
      <c r="R56" s="76">
        <v>19059.4</v>
      </c>
      <c r="S56" s="77">
        <v>1.90594E7</v>
      </c>
      <c r="T56" s="77">
        <v>1524752.0</v>
      </c>
      <c r="U56" s="60">
        <f t="shared" si="2"/>
        <v>20584152</v>
      </c>
      <c r="V56" s="70"/>
      <c r="W56" s="23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ht="25.5" customHeight="1">
      <c r="A57" s="55">
        <v>46042.0</v>
      </c>
      <c r="B57" s="56" t="s">
        <v>226</v>
      </c>
      <c r="C57" s="56" t="s">
        <v>14</v>
      </c>
      <c r="D57" s="58" t="s">
        <v>13</v>
      </c>
      <c r="E57" s="58" t="s">
        <v>70</v>
      </c>
      <c r="F57" s="56" t="s">
        <v>71</v>
      </c>
      <c r="G57" s="60">
        <v>1500.0</v>
      </c>
      <c r="H57" s="62">
        <v>19404.0</v>
      </c>
      <c r="I57" s="64">
        <v>2.9106E7</v>
      </c>
      <c r="J57" s="64">
        <v>2328480.0</v>
      </c>
      <c r="K57" s="64">
        <v>3.143448E7</v>
      </c>
      <c r="L57" s="65" t="s">
        <v>161</v>
      </c>
      <c r="M57" s="65" t="str">
        <f>VLOOKUP(L57,'Đơn đặt'!$C$3:$E$275,2,0)</f>
        <v>11-10-TS</v>
      </c>
      <c r="N57" s="65" t="str">
        <f>VLOOKUP(L57,'Đơn đặt'!$C$3:$E$275,3,0)</f>
        <v>02-2026/TS-AVP/ĐĐH</v>
      </c>
      <c r="O57" s="66">
        <v>46041.0</v>
      </c>
      <c r="P57" s="67" t="s">
        <v>227</v>
      </c>
      <c r="Q57" s="68">
        <v>1500.0</v>
      </c>
      <c r="R57" s="76">
        <v>17776.8</v>
      </c>
      <c r="S57" s="77">
        <v>2.66652E7</v>
      </c>
      <c r="T57" s="77">
        <v>2133216.0</v>
      </c>
      <c r="U57" s="60">
        <f t="shared" si="2"/>
        <v>28798416</v>
      </c>
      <c r="V57" s="70"/>
      <c r="W57" s="23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ht="25.5" customHeight="1">
      <c r="A58" s="55">
        <v>46042.0</v>
      </c>
      <c r="B58" s="56" t="s">
        <v>226</v>
      </c>
      <c r="C58" s="56" t="s">
        <v>119</v>
      </c>
      <c r="D58" s="58" t="s">
        <v>120</v>
      </c>
      <c r="E58" s="58" t="s">
        <v>70</v>
      </c>
      <c r="F58" s="56" t="s">
        <v>71</v>
      </c>
      <c r="G58" s="60">
        <v>2000.0</v>
      </c>
      <c r="H58" s="62">
        <v>19310.0</v>
      </c>
      <c r="I58" s="64">
        <v>3.862E7</v>
      </c>
      <c r="J58" s="64">
        <v>3089600.0</v>
      </c>
      <c r="K58" s="64">
        <v>4.17096E7</v>
      </c>
      <c r="L58" s="65" t="s">
        <v>228</v>
      </c>
      <c r="M58" s="65" t="str">
        <f>VLOOKUP(L58,'Đơn đặt'!$C$3:$E$275,2,0)</f>
        <v>01-02-TS</v>
      </c>
      <c r="N58" s="65" t="str">
        <f>VLOOKUP(L58,'Đơn đặt'!$C$3:$E$275,3,0)</f>
        <v>04-2026/TS-AVP/ĐĐH</v>
      </c>
      <c r="O58" s="66">
        <v>46041.0</v>
      </c>
      <c r="P58" s="67" t="s">
        <v>227</v>
      </c>
      <c r="Q58" s="68">
        <v>2000.0</v>
      </c>
      <c r="R58" s="76">
        <v>17438.0</v>
      </c>
      <c r="S58" s="77">
        <v>3.4876E7</v>
      </c>
      <c r="T58" s="77">
        <v>2790080.0</v>
      </c>
      <c r="U58" s="60">
        <f t="shared" si="2"/>
        <v>37666080</v>
      </c>
      <c r="V58" s="70"/>
      <c r="W58" s="23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ht="25.5" customHeight="1">
      <c r="A59" s="55">
        <v>46042.0</v>
      </c>
      <c r="B59" s="56" t="s">
        <v>229</v>
      </c>
      <c r="C59" s="56" t="s">
        <v>55</v>
      </c>
      <c r="D59" s="58" t="s">
        <v>53</v>
      </c>
      <c r="E59" s="58" t="s">
        <v>70</v>
      </c>
      <c r="F59" s="56" t="s">
        <v>71</v>
      </c>
      <c r="G59" s="60">
        <v>500.0</v>
      </c>
      <c r="H59" s="62">
        <v>20024.0</v>
      </c>
      <c r="I59" s="64">
        <f t="shared" ref="I59:I60" si="8">ROUND(G59*H59,0)</f>
        <v>10012000</v>
      </c>
      <c r="J59" s="64">
        <f t="shared" ref="J59:J60" si="9">ROUND(I59*0.08,0)</f>
        <v>800960</v>
      </c>
      <c r="K59" s="64">
        <f t="shared" ref="K59:K60" si="10">I59+J59</f>
        <v>10812960</v>
      </c>
      <c r="L59" s="65" t="s">
        <v>230</v>
      </c>
      <c r="M59" s="65" t="str">
        <f>VLOOKUP(L59,'Đơn đặt'!$C$3:$E$275,2,0)</f>
        <v>11-10-TS</v>
      </c>
      <c r="N59" s="65" t="str">
        <f>VLOOKUP(L59,'Đơn đặt'!$C$3:$E$275,3,0)</f>
        <v>136-2025/TS-AVP/ĐĐH</v>
      </c>
      <c r="O59" s="66">
        <v>46041.0</v>
      </c>
      <c r="P59" s="67" t="s">
        <v>232</v>
      </c>
      <c r="Q59" s="68">
        <v>500.0</v>
      </c>
      <c r="R59" s="76">
        <v>16180.8</v>
      </c>
      <c r="S59" s="64">
        <f t="shared" ref="S59:S61" si="11">ROUND(Q59*R59,0)</f>
        <v>8090400</v>
      </c>
      <c r="T59" s="64">
        <f t="shared" ref="T59:T61" si="12">ROUND(S59*0.08,0)</f>
        <v>647232</v>
      </c>
      <c r="U59" s="60">
        <f t="shared" si="2"/>
        <v>8737632</v>
      </c>
      <c r="V59" s="70"/>
      <c r="W59" s="23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ht="25.5" customHeight="1">
      <c r="A60" s="55">
        <v>46042.0</v>
      </c>
      <c r="B60" s="56" t="s">
        <v>229</v>
      </c>
      <c r="C60" s="56" t="s">
        <v>55</v>
      </c>
      <c r="D60" s="58" t="s">
        <v>53</v>
      </c>
      <c r="E60" s="58" t="s">
        <v>70</v>
      </c>
      <c r="F60" s="56" t="s">
        <v>71</v>
      </c>
      <c r="G60" s="60">
        <v>2000.0</v>
      </c>
      <c r="H60" s="62">
        <v>20024.0</v>
      </c>
      <c r="I60" s="64">
        <f t="shared" si="8"/>
        <v>40048000</v>
      </c>
      <c r="J60" s="64">
        <f t="shared" si="9"/>
        <v>3203840</v>
      </c>
      <c r="K60" s="64">
        <f t="shared" si="10"/>
        <v>43251840</v>
      </c>
      <c r="L60" s="65" t="s">
        <v>233</v>
      </c>
      <c r="M60" s="65" t="str">
        <f>VLOOKUP(L60,'Đơn đặt'!$C$3:$E$275,2,0)</f>
        <v>12-01-TS</v>
      </c>
      <c r="N60" s="65" t="str">
        <f>VLOOKUP(L60,'Đơn đặt'!$C$3:$E$275,3,0)</f>
        <v>146-2025/TS-AVP/ĐĐH</v>
      </c>
      <c r="O60" s="66">
        <v>46041.0</v>
      </c>
      <c r="P60" s="67" t="s">
        <v>232</v>
      </c>
      <c r="Q60" s="68">
        <v>2000.0</v>
      </c>
      <c r="R60" s="76">
        <v>16180.8</v>
      </c>
      <c r="S60" s="64">
        <f t="shared" si="11"/>
        <v>32361600</v>
      </c>
      <c r="T60" s="64">
        <f t="shared" si="12"/>
        <v>2588928</v>
      </c>
      <c r="U60" s="60">
        <f t="shared" si="2"/>
        <v>34950528</v>
      </c>
      <c r="V60" s="70"/>
      <c r="W60" s="23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 ht="25.5" customHeight="1">
      <c r="A61" s="55">
        <v>46043.0</v>
      </c>
      <c r="B61" s="56" t="s">
        <v>234</v>
      </c>
      <c r="C61" s="56" t="s">
        <v>44</v>
      </c>
      <c r="D61" s="58" t="s">
        <v>45</v>
      </c>
      <c r="E61" s="58" t="s">
        <v>184</v>
      </c>
      <c r="F61" s="56" t="s">
        <v>71</v>
      </c>
      <c r="G61" s="60">
        <v>900.0</v>
      </c>
      <c r="H61" s="62">
        <v>4629.63</v>
      </c>
      <c r="I61" s="64">
        <v>4166667.0</v>
      </c>
      <c r="J61" s="64">
        <v>333333.0</v>
      </c>
      <c r="K61" s="64">
        <v>4500000.0</v>
      </c>
      <c r="L61" s="65" t="s">
        <v>42</v>
      </c>
      <c r="M61" s="65" t="s">
        <v>42</v>
      </c>
      <c r="N61" s="65" t="s">
        <v>42</v>
      </c>
      <c r="O61" s="89">
        <v>2025.0</v>
      </c>
      <c r="P61" s="35"/>
      <c r="Q61" s="90">
        <v>900.0</v>
      </c>
      <c r="R61" s="35"/>
      <c r="S61" s="64">
        <f t="shared" si="11"/>
        <v>0</v>
      </c>
      <c r="T61" s="64">
        <f t="shared" si="12"/>
        <v>0</v>
      </c>
      <c r="U61" s="60">
        <f t="shared" si="2"/>
        <v>0</v>
      </c>
      <c r="V61" s="70"/>
      <c r="W61" s="23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ht="25.5" customHeight="1">
      <c r="A62" s="55">
        <v>46043.0</v>
      </c>
      <c r="B62" s="56" t="s">
        <v>235</v>
      </c>
      <c r="C62" s="56" t="s">
        <v>48</v>
      </c>
      <c r="D62" s="58" t="s">
        <v>47</v>
      </c>
      <c r="E62" s="58" t="s">
        <v>70</v>
      </c>
      <c r="F62" s="56" t="s">
        <v>71</v>
      </c>
      <c r="G62" s="60">
        <v>2000.0</v>
      </c>
      <c r="H62" s="62">
        <v>18291.0</v>
      </c>
      <c r="I62" s="64">
        <v>3.6582E7</v>
      </c>
      <c r="J62" s="64">
        <v>2926560.0</v>
      </c>
      <c r="K62" s="64">
        <v>3.950856E7</v>
      </c>
      <c r="L62" s="65" t="s">
        <v>74</v>
      </c>
      <c r="M62" s="65" t="str">
        <f>VLOOKUP(L62,'Đơn đặt'!$C$3:$E$275,2,0)</f>
        <v>11-10-TS</v>
      </c>
      <c r="N62" s="65" t="str">
        <f>VLOOKUP(L62,'Đơn đặt'!$C$3:$E$275,3,0)</f>
        <v>137-2025/TS-AVP/ĐĐH</v>
      </c>
      <c r="O62" s="66">
        <v>46042.0</v>
      </c>
      <c r="P62" s="67" t="s">
        <v>236</v>
      </c>
      <c r="Q62" s="68">
        <v>2000.0</v>
      </c>
      <c r="R62" s="68">
        <v>14018.2</v>
      </c>
      <c r="S62" s="68">
        <v>2.80364E7</v>
      </c>
      <c r="T62" s="68">
        <v>2242912.0</v>
      </c>
      <c r="U62" s="60">
        <f t="shared" si="2"/>
        <v>30279312</v>
      </c>
      <c r="V62" s="70"/>
      <c r="W62" s="23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ht="25.5" customHeight="1">
      <c r="A63" s="55">
        <v>46043.0</v>
      </c>
      <c r="B63" s="56" t="s">
        <v>237</v>
      </c>
      <c r="C63" s="56" t="s">
        <v>59</v>
      </c>
      <c r="D63" s="58" t="s">
        <v>105</v>
      </c>
      <c r="E63" s="58" t="s">
        <v>70</v>
      </c>
      <c r="F63" s="56" t="s">
        <v>71</v>
      </c>
      <c r="G63" s="60">
        <v>1000.0</v>
      </c>
      <c r="H63" s="62">
        <v>18291.0</v>
      </c>
      <c r="I63" s="64">
        <v>1.8291E7</v>
      </c>
      <c r="J63" s="64">
        <v>1463280.0</v>
      </c>
      <c r="K63" s="64">
        <v>1.975428E7</v>
      </c>
      <c r="L63" s="65" t="s">
        <v>106</v>
      </c>
      <c r="M63" s="65" t="str">
        <f>VLOOKUP(L63,'Đơn đặt'!$C$3:$E$275,2,0)</f>
        <v>11-10-TS</v>
      </c>
      <c r="N63" s="65" t="str">
        <f>VLOOKUP(L63,'Đơn đặt'!$C$3:$E$275,3,0)</f>
        <v>02-2026/TS-AVP/ĐĐH</v>
      </c>
      <c r="O63" s="66">
        <v>46042.0</v>
      </c>
      <c r="P63" s="67" t="s">
        <v>238</v>
      </c>
      <c r="Q63" s="68">
        <v>1000.0</v>
      </c>
      <c r="R63" s="76">
        <v>16258.2</v>
      </c>
      <c r="S63" s="68">
        <v>1.62582E7</v>
      </c>
      <c r="T63" s="77">
        <v>1300656.0</v>
      </c>
      <c r="U63" s="60">
        <f t="shared" si="2"/>
        <v>17558856</v>
      </c>
      <c r="V63" s="70"/>
      <c r="W63" s="23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ht="25.5" customHeight="1">
      <c r="A64" s="55">
        <v>46043.0</v>
      </c>
      <c r="B64" s="56" t="s">
        <v>237</v>
      </c>
      <c r="C64" s="56" t="s">
        <v>38</v>
      </c>
      <c r="D64" s="58" t="s">
        <v>36</v>
      </c>
      <c r="E64" s="58" t="s">
        <v>70</v>
      </c>
      <c r="F64" s="56" t="s">
        <v>71</v>
      </c>
      <c r="G64" s="60">
        <v>1990.0</v>
      </c>
      <c r="H64" s="62">
        <v>18953.0</v>
      </c>
      <c r="I64" s="64">
        <v>3.771647E7</v>
      </c>
      <c r="J64" s="64">
        <v>3017318.0</v>
      </c>
      <c r="K64" s="64">
        <v>4.0733788E7</v>
      </c>
      <c r="L64" s="65" t="s">
        <v>239</v>
      </c>
      <c r="M64" s="65" t="str">
        <f>VLOOKUP(L64,'Đơn đặt'!$C$3:$E$275,2,0)</f>
        <v>11-10-TS</v>
      </c>
      <c r="N64" s="65" t="str">
        <f>VLOOKUP(L64,'Đơn đặt'!$C$3:$E$275,3,0)</f>
        <v>02-2026/TS-AVP/ĐĐH</v>
      </c>
      <c r="O64" s="66">
        <v>46042.0</v>
      </c>
      <c r="P64" s="67" t="s">
        <v>238</v>
      </c>
      <c r="Q64" s="68">
        <v>1990.0</v>
      </c>
      <c r="R64" s="76">
        <v>18246.6</v>
      </c>
      <c r="S64" s="77">
        <v>3.6310734E7</v>
      </c>
      <c r="T64" s="77">
        <v>2904859.0</v>
      </c>
      <c r="U64" s="60">
        <f t="shared" si="2"/>
        <v>39215593</v>
      </c>
      <c r="V64" s="70"/>
      <c r="W64" s="23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ht="25.5" customHeight="1">
      <c r="A65" s="55">
        <v>46043.0</v>
      </c>
      <c r="B65" s="56" t="s">
        <v>237</v>
      </c>
      <c r="C65" s="56" t="s">
        <v>196</v>
      </c>
      <c r="D65" s="58" t="s">
        <v>197</v>
      </c>
      <c r="E65" s="58" t="s">
        <v>70</v>
      </c>
      <c r="F65" s="56" t="s">
        <v>71</v>
      </c>
      <c r="G65" s="60">
        <v>1160.0</v>
      </c>
      <c r="H65" s="62">
        <v>19320.0</v>
      </c>
      <c r="I65" s="64">
        <v>2.24112E7</v>
      </c>
      <c r="J65" s="64">
        <v>1792896.0</v>
      </c>
      <c r="K65" s="64">
        <v>2.4204096E7</v>
      </c>
      <c r="L65" s="65" t="s">
        <v>240</v>
      </c>
      <c r="M65" s="65" t="str">
        <f>VLOOKUP(L65,'Đơn đặt'!$C$3:$E$275,2,0)</f>
        <v>01-06-TS</v>
      </c>
      <c r="N65" s="65" t="str">
        <f>VLOOKUP(L65,'Đơn đặt'!$C$3:$E$275,3,0)</f>
        <v>08-2026/TS-AVP/ĐĐH</v>
      </c>
      <c r="O65" s="66">
        <v>46042.0</v>
      </c>
      <c r="P65" s="67" t="s">
        <v>238</v>
      </c>
      <c r="Q65" s="68">
        <v>1160.0</v>
      </c>
      <c r="R65" s="76">
        <v>17928.0</v>
      </c>
      <c r="S65" s="77">
        <v>2.079648E7</v>
      </c>
      <c r="T65" s="77">
        <v>1663718.0</v>
      </c>
      <c r="U65" s="60">
        <f t="shared" si="2"/>
        <v>22460198</v>
      </c>
      <c r="V65" s="70"/>
      <c r="W65" s="23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ht="25.5" customHeight="1">
      <c r="A66" s="78">
        <v>46043.0</v>
      </c>
      <c r="B66" s="79" t="s">
        <v>241</v>
      </c>
      <c r="C66" s="56" t="s">
        <v>125</v>
      </c>
      <c r="D66" s="80" t="s">
        <v>126</v>
      </c>
      <c r="E66" s="58" t="s">
        <v>242</v>
      </c>
      <c r="F66" s="56" t="s">
        <v>112</v>
      </c>
      <c r="G66" s="81">
        <v>5244.0</v>
      </c>
      <c r="H66" s="62">
        <v>30400.0</v>
      </c>
      <c r="I66" s="64">
        <v>1.594176E8</v>
      </c>
      <c r="J66" s="64">
        <v>1.2753408E7</v>
      </c>
      <c r="K66" s="64">
        <v>1.72171008E8</v>
      </c>
      <c r="L66" s="91" t="s">
        <v>243</v>
      </c>
      <c r="M66" s="65" t="str">
        <f>VLOOKUP(L66,'Đơn đặt'!$C$3:$E$275,2,0)</f>
        <v>01/TS/26</v>
      </c>
      <c r="N66" s="65" t="str">
        <f>VLOOKUP(L66,'Đơn đặt'!$C$3:$E$275,3,0)</f>
        <v>Hàng SX</v>
      </c>
      <c r="O66" s="78" t="s">
        <v>98</v>
      </c>
      <c r="P66" s="92"/>
      <c r="Q66" s="81">
        <f t="shared" ref="Q66:Q68" si="13">G66</f>
        <v>5244</v>
      </c>
      <c r="R66" s="92"/>
      <c r="S66" s="83">
        <f t="shared" ref="S66:S68" si="14">ROUND(Q66*R66,0)</f>
        <v>0</v>
      </c>
      <c r="T66" s="83">
        <f t="shared" ref="T66:T68" si="15">ROUND(S66*0.08,0)</f>
        <v>0</v>
      </c>
      <c r="U66" s="81">
        <f t="shared" si="2"/>
        <v>0</v>
      </c>
      <c r="V66" s="70"/>
      <c r="W66" s="23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</row>
    <row r="67" ht="25.5" customHeight="1">
      <c r="A67" s="78">
        <v>46043.0</v>
      </c>
      <c r="B67" s="79" t="s">
        <v>246</v>
      </c>
      <c r="C67" s="56" t="s">
        <v>145</v>
      </c>
      <c r="D67" s="80" t="s">
        <v>146</v>
      </c>
      <c r="E67" s="58" t="s">
        <v>248</v>
      </c>
      <c r="F67" s="56" t="s">
        <v>95</v>
      </c>
      <c r="G67" s="81">
        <v>120.0</v>
      </c>
      <c r="H67" s="62">
        <v>493671.0</v>
      </c>
      <c r="I67" s="64">
        <v>5.924052E7</v>
      </c>
      <c r="J67" s="64">
        <v>4739242.0</v>
      </c>
      <c r="K67" s="64">
        <v>6.3979762E7</v>
      </c>
      <c r="L67" s="91" t="s">
        <v>250</v>
      </c>
      <c r="M67" s="65">
        <f>VLOOKUP(L67,'Đơn đặt'!$C$3:$E$275,2,0)</f>
        <v>82</v>
      </c>
      <c r="N67" s="65" t="str">
        <f>VLOOKUP(L67,'Đơn đặt'!$C$3:$E$275,3,0)</f>
        <v>Hàng SX</v>
      </c>
      <c r="O67" s="78" t="s">
        <v>98</v>
      </c>
      <c r="P67" s="92"/>
      <c r="Q67" s="81">
        <f t="shared" si="13"/>
        <v>120</v>
      </c>
      <c r="R67" s="92"/>
      <c r="S67" s="83">
        <f t="shared" si="14"/>
        <v>0</v>
      </c>
      <c r="T67" s="83">
        <f t="shared" si="15"/>
        <v>0</v>
      </c>
      <c r="U67" s="81">
        <f t="shared" si="2"/>
        <v>0</v>
      </c>
      <c r="V67" s="70"/>
      <c r="W67" s="23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</row>
    <row r="68" ht="25.5" customHeight="1">
      <c r="A68" s="78">
        <v>46043.0</v>
      </c>
      <c r="B68" s="79" t="s">
        <v>246</v>
      </c>
      <c r="C68" s="56" t="s">
        <v>148</v>
      </c>
      <c r="D68" s="80" t="s">
        <v>149</v>
      </c>
      <c r="E68" s="58" t="s">
        <v>248</v>
      </c>
      <c r="F68" s="56" t="s">
        <v>95</v>
      </c>
      <c r="G68" s="81">
        <v>240.0</v>
      </c>
      <c r="H68" s="62">
        <v>366012.0</v>
      </c>
      <c r="I68" s="64">
        <v>8.784288E7</v>
      </c>
      <c r="J68" s="64">
        <v>7027430.0</v>
      </c>
      <c r="K68" s="64">
        <v>9.487031E7</v>
      </c>
      <c r="L68" s="91" t="s">
        <v>251</v>
      </c>
      <c r="M68" s="65">
        <f>VLOOKUP(L68,'Đơn đặt'!$C$3:$E$275,2,0)</f>
        <v>82</v>
      </c>
      <c r="N68" s="65" t="str">
        <f>VLOOKUP(L68,'Đơn đặt'!$C$3:$E$275,3,0)</f>
        <v>Hàng SX</v>
      </c>
      <c r="O68" s="78" t="s">
        <v>98</v>
      </c>
      <c r="P68" s="92"/>
      <c r="Q68" s="81">
        <f t="shared" si="13"/>
        <v>240</v>
      </c>
      <c r="R68" s="92"/>
      <c r="S68" s="83">
        <f t="shared" si="14"/>
        <v>0</v>
      </c>
      <c r="T68" s="83">
        <f t="shared" si="15"/>
        <v>0</v>
      </c>
      <c r="U68" s="81">
        <f t="shared" si="2"/>
        <v>0</v>
      </c>
      <c r="V68" s="70"/>
      <c r="W68" s="23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</row>
    <row r="69" ht="25.5" customHeight="1">
      <c r="A69" s="55">
        <v>46043.0</v>
      </c>
      <c r="B69" s="56" t="s">
        <v>190</v>
      </c>
      <c r="C69" s="56" t="s">
        <v>59</v>
      </c>
      <c r="D69" s="58" t="s">
        <v>105</v>
      </c>
      <c r="E69" s="58" t="s">
        <v>70</v>
      </c>
      <c r="F69" s="56" t="s">
        <v>71</v>
      </c>
      <c r="G69" s="60">
        <v>3000.0</v>
      </c>
      <c r="H69" s="62">
        <v>18291.0</v>
      </c>
      <c r="I69" s="64">
        <v>5.4873E7</v>
      </c>
      <c r="J69" s="64">
        <v>4389840.0</v>
      </c>
      <c r="K69" s="64">
        <v>5.926284E7</v>
      </c>
      <c r="L69" s="65" t="s">
        <v>106</v>
      </c>
      <c r="M69" s="65" t="str">
        <f>VLOOKUP(L69,'Đơn đặt'!$C$3:$E$275,2,0)</f>
        <v>11-10-TS</v>
      </c>
      <c r="N69" s="65" t="str">
        <f>VLOOKUP(L69,'Đơn đặt'!$C$3:$E$275,3,0)</f>
        <v>02-2026/TS-AVP/ĐĐH</v>
      </c>
      <c r="O69" s="66">
        <v>46043.0</v>
      </c>
      <c r="P69" s="67" t="s">
        <v>254</v>
      </c>
      <c r="Q69" s="68">
        <v>3000.0</v>
      </c>
      <c r="R69" s="76">
        <v>16258.2</v>
      </c>
      <c r="S69" s="68">
        <v>4.87746E7</v>
      </c>
      <c r="T69" s="77">
        <v>3901968.0</v>
      </c>
      <c r="U69" s="60">
        <f t="shared" si="2"/>
        <v>52676568</v>
      </c>
      <c r="V69" s="70"/>
      <c r="W69" s="23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</row>
    <row r="70" ht="25.5" customHeight="1">
      <c r="A70" s="55">
        <v>46043.0</v>
      </c>
      <c r="B70" s="56" t="s">
        <v>190</v>
      </c>
      <c r="C70" s="56" t="s">
        <v>119</v>
      </c>
      <c r="D70" s="58" t="s">
        <v>120</v>
      </c>
      <c r="E70" s="58" t="s">
        <v>70</v>
      </c>
      <c r="F70" s="56" t="s">
        <v>71</v>
      </c>
      <c r="G70" s="60">
        <v>1000.0</v>
      </c>
      <c r="H70" s="62">
        <v>19310.0</v>
      </c>
      <c r="I70" s="64">
        <v>1.931E7</v>
      </c>
      <c r="J70" s="64">
        <v>1544800.0</v>
      </c>
      <c r="K70" s="64">
        <v>2.08548E7</v>
      </c>
      <c r="L70" s="65" t="s">
        <v>121</v>
      </c>
      <c r="M70" s="65" t="str">
        <f>VLOOKUP(L70,'Đơn đặt'!$C$3:$E$275,2,0)</f>
        <v>11-04-TS</v>
      </c>
      <c r="N70" s="65" t="str">
        <f>VLOOKUP(L70,'Đơn đặt'!$C$3:$E$275,3,0)</f>
        <v>01-2026/TS-AVP/ĐĐH</v>
      </c>
      <c r="O70" s="66">
        <v>46043.0</v>
      </c>
      <c r="P70" s="67" t="s">
        <v>254</v>
      </c>
      <c r="Q70" s="68">
        <v>1000.0</v>
      </c>
      <c r="R70" s="76">
        <v>17438.0</v>
      </c>
      <c r="S70" s="77">
        <v>1.7438E7</v>
      </c>
      <c r="T70" s="77">
        <v>1395040.0</v>
      </c>
      <c r="U70" s="60">
        <f t="shared" si="2"/>
        <v>18833040</v>
      </c>
      <c r="V70" s="70"/>
      <c r="W70" s="23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</row>
    <row r="71" ht="25.5" customHeight="1">
      <c r="A71" s="55">
        <v>46043.0</v>
      </c>
      <c r="B71" s="56" t="s">
        <v>189</v>
      </c>
      <c r="C71" s="56" t="s">
        <v>48</v>
      </c>
      <c r="D71" s="58" t="s">
        <v>47</v>
      </c>
      <c r="E71" s="58" t="s">
        <v>70</v>
      </c>
      <c r="F71" s="56" t="s">
        <v>71</v>
      </c>
      <c r="G71" s="60">
        <v>2800.0</v>
      </c>
      <c r="H71" s="62">
        <v>18291.0</v>
      </c>
      <c r="I71" s="64">
        <v>5.12148E7</v>
      </c>
      <c r="J71" s="64">
        <v>4097184.0</v>
      </c>
      <c r="K71" s="64">
        <v>5.5311984E7</v>
      </c>
      <c r="L71" s="65" t="s">
        <v>74</v>
      </c>
      <c r="M71" s="65" t="str">
        <f>VLOOKUP(L71,'Đơn đặt'!$C$3:$E$275,2,0)</f>
        <v>11-10-TS</v>
      </c>
      <c r="N71" s="65" t="str">
        <f>VLOOKUP(L71,'Đơn đặt'!$C$3:$E$275,3,0)</f>
        <v>137-2025/TS-AVP/ĐĐH</v>
      </c>
      <c r="O71" s="66">
        <v>46043.0</v>
      </c>
      <c r="P71" s="67" t="s">
        <v>257</v>
      </c>
      <c r="Q71" s="68">
        <v>2800.0</v>
      </c>
      <c r="R71" s="68">
        <v>14018.2</v>
      </c>
      <c r="S71" s="68">
        <v>3.925096E7</v>
      </c>
      <c r="T71" s="68">
        <v>3140077.0</v>
      </c>
      <c r="U71" s="60">
        <f t="shared" si="2"/>
        <v>42391037</v>
      </c>
      <c r="V71" s="70"/>
      <c r="W71" s="23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</row>
    <row r="72" ht="25.5" customHeight="1">
      <c r="A72" s="55">
        <v>46043.0</v>
      </c>
      <c r="B72" s="56" t="s">
        <v>189</v>
      </c>
      <c r="C72" s="56" t="s">
        <v>50</v>
      </c>
      <c r="D72" s="58" t="s">
        <v>49</v>
      </c>
      <c r="E72" s="58" t="s">
        <v>70</v>
      </c>
      <c r="F72" s="56" t="s">
        <v>71</v>
      </c>
      <c r="G72" s="81">
        <v>1000.0</v>
      </c>
      <c r="H72" s="62">
        <v>18291.0</v>
      </c>
      <c r="I72" s="64">
        <v>1.8291E7</v>
      </c>
      <c r="J72" s="64">
        <v>1463280.0</v>
      </c>
      <c r="K72" s="64">
        <v>1.975428E7</v>
      </c>
      <c r="L72" s="65" t="s">
        <v>220</v>
      </c>
      <c r="M72" s="65" t="str">
        <f>VLOOKUP(L72,'Đơn đặt'!$C$3:$E$275,2,0)</f>
        <v>11-10-TS</v>
      </c>
      <c r="N72" s="65" t="str">
        <f>VLOOKUP(L72,'Đơn đặt'!$C$3:$E$275,3,0)</f>
        <v>137-2025/TS-AVP/ĐĐH</v>
      </c>
      <c r="O72" s="66">
        <v>46043.0</v>
      </c>
      <c r="P72" s="67" t="s">
        <v>257</v>
      </c>
      <c r="Q72" s="68">
        <v>1000.0</v>
      </c>
      <c r="R72" s="76">
        <v>14018.2</v>
      </c>
      <c r="S72" s="77">
        <v>1.40182E7</v>
      </c>
      <c r="T72" s="77">
        <v>1121456.0</v>
      </c>
      <c r="U72" s="60">
        <f t="shared" si="2"/>
        <v>15139656</v>
      </c>
      <c r="V72" s="70"/>
      <c r="W72" s="23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</row>
    <row r="73" ht="25.5" customHeight="1">
      <c r="A73" s="55">
        <v>46043.0</v>
      </c>
      <c r="B73" s="56" t="s">
        <v>189</v>
      </c>
      <c r="C73" s="56" t="s">
        <v>77</v>
      </c>
      <c r="D73" s="58" t="s">
        <v>78</v>
      </c>
      <c r="E73" s="58" t="s">
        <v>70</v>
      </c>
      <c r="F73" s="56" t="s">
        <v>71</v>
      </c>
      <c r="G73" s="60">
        <v>1000.0</v>
      </c>
      <c r="H73" s="62">
        <v>21777.0</v>
      </c>
      <c r="I73" s="64">
        <v>2.1777E7</v>
      </c>
      <c r="J73" s="64">
        <v>1742160.0</v>
      </c>
      <c r="K73" s="64">
        <v>2.351916E7</v>
      </c>
      <c r="L73" s="65" t="s">
        <v>79</v>
      </c>
      <c r="M73" s="65" t="str">
        <f>VLOOKUP(L73,'Đơn đặt'!$C$3:$E$275,2,0)</f>
        <v>12-09-TS</v>
      </c>
      <c r="N73" s="65" t="str">
        <f>VLOOKUP(L73,'Đơn đặt'!$C$3:$E$275,3,0)</f>
        <v>149-2025/TS-AVP/ĐĐH</v>
      </c>
      <c r="O73" s="66">
        <v>46043.0</v>
      </c>
      <c r="P73" s="67" t="s">
        <v>257</v>
      </c>
      <c r="Q73" s="68">
        <v>1000.0</v>
      </c>
      <c r="R73" s="76">
        <v>19059.4</v>
      </c>
      <c r="S73" s="77">
        <v>1.90594E7</v>
      </c>
      <c r="T73" s="77">
        <v>1524752.0</v>
      </c>
      <c r="U73" s="60">
        <f t="shared" si="2"/>
        <v>20584152</v>
      </c>
      <c r="V73" s="70"/>
      <c r="W73" s="23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</row>
    <row r="74" ht="25.5" customHeight="1">
      <c r="A74" s="78">
        <v>46044.0</v>
      </c>
      <c r="B74" s="79" t="s">
        <v>261</v>
      </c>
      <c r="C74" s="56" t="s">
        <v>148</v>
      </c>
      <c r="D74" s="80" t="s">
        <v>149</v>
      </c>
      <c r="E74" s="58" t="s">
        <v>248</v>
      </c>
      <c r="F74" s="56" t="s">
        <v>95</v>
      </c>
      <c r="G74" s="81">
        <v>660.0</v>
      </c>
      <c r="H74" s="62">
        <v>366012.0</v>
      </c>
      <c r="I74" s="64">
        <v>2.4156792E8</v>
      </c>
      <c r="J74" s="64">
        <v>1.9325434E7</v>
      </c>
      <c r="K74" s="64">
        <v>2.60893354E8</v>
      </c>
      <c r="L74" s="91" t="s">
        <v>251</v>
      </c>
      <c r="M74" s="65">
        <f>VLOOKUP(L74,'Đơn đặt'!$C$3:$E$275,2,0)</f>
        <v>82</v>
      </c>
      <c r="N74" s="65" t="str">
        <f>VLOOKUP(L74,'Đơn đặt'!$C$3:$E$275,3,0)</f>
        <v>Hàng SX</v>
      </c>
      <c r="O74" s="78" t="s">
        <v>98</v>
      </c>
      <c r="P74" s="92"/>
      <c r="Q74" s="81">
        <f>G74</f>
        <v>660</v>
      </c>
      <c r="R74" s="92"/>
      <c r="S74" s="83">
        <f>ROUND(Q74*R74,0)</f>
        <v>0</v>
      </c>
      <c r="T74" s="83">
        <f>ROUND(S74*0.08,0)</f>
        <v>0</v>
      </c>
      <c r="U74" s="81">
        <f t="shared" si="2"/>
        <v>0</v>
      </c>
      <c r="V74" s="70"/>
      <c r="W74" s="23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69"/>
      <c r="AJ74" s="69"/>
      <c r="AK74" s="69"/>
      <c r="AL74" s="69"/>
      <c r="AM74" s="69"/>
      <c r="AN74" s="69"/>
      <c r="AO74" s="69"/>
    </row>
    <row r="75" ht="25.5" customHeight="1">
      <c r="A75" s="55">
        <v>46044.0</v>
      </c>
      <c r="B75" s="56" t="s">
        <v>264</v>
      </c>
      <c r="C75" s="56" t="s">
        <v>119</v>
      </c>
      <c r="D75" s="58" t="s">
        <v>120</v>
      </c>
      <c r="E75" s="58" t="s">
        <v>70</v>
      </c>
      <c r="F75" s="56" t="s">
        <v>71</v>
      </c>
      <c r="G75" s="60">
        <v>2005.0</v>
      </c>
      <c r="H75" s="62">
        <v>19310.0</v>
      </c>
      <c r="I75" s="64">
        <v>3.871655E7</v>
      </c>
      <c r="J75" s="64">
        <v>3097324.0</v>
      </c>
      <c r="K75" s="64">
        <v>4.1813874E7</v>
      </c>
      <c r="L75" s="65" t="s">
        <v>121</v>
      </c>
      <c r="M75" s="65" t="str">
        <f>VLOOKUP(L75,'Đơn đặt'!$C$3:$E$275,2,0)</f>
        <v>11-04-TS</v>
      </c>
      <c r="N75" s="65" t="str">
        <f>VLOOKUP(L75,'Đơn đặt'!$C$3:$E$275,3,0)</f>
        <v>01-2026/TS-AVP/ĐĐH</v>
      </c>
      <c r="O75" s="66">
        <v>46044.0</v>
      </c>
      <c r="P75" s="67" t="s">
        <v>265</v>
      </c>
      <c r="Q75" s="68">
        <v>2005.0</v>
      </c>
      <c r="R75" s="76">
        <v>17438.0</v>
      </c>
      <c r="S75" s="77">
        <v>3.496319E7</v>
      </c>
      <c r="T75" s="77">
        <v>2797055.0</v>
      </c>
      <c r="U75" s="60">
        <f t="shared" si="2"/>
        <v>37760245</v>
      </c>
      <c r="V75" s="70"/>
      <c r="W75" s="23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</row>
    <row r="76" ht="25.5" customHeight="1">
      <c r="A76" s="55">
        <v>46044.0</v>
      </c>
      <c r="B76" s="56" t="s">
        <v>264</v>
      </c>
      <c r="C76" s="56" t="s">
        <v>38</v>
      </c>
      <c r="D76" s="58" t="s">
        <v>36</v>
      </c>
      <c r="E76" s="58" t="s">
        <v>70</v>
      </c>
      <c r="F76" s="56" t="s">
        <v>71</v>
      </c>
      <c r="G76" s="60">
        <v>400.0</v>
      </c>
      <c r="H76" s="62">
        <v>18953.0</v>
      </c>
      <c r="I76" s="64">
        <v>7581200.0</v>
      </c>
      <c r="J76" s="64">
        <v>606496.0</v>
      </c>
      <c r="K76" s="64">
        <v>8187696.0</v>
      </c>
      <c r="L76" s="65" t="s">
        <v>239</v>
      </c>
      <c r="M76" s="65" t="str">
        <f>VLOOKUP(L76,'Đơn đặt'!$C$3:$E$275,2,0)</f>
        <v>11-10-TS</v>
      </c>
      <c r="N76" s="65" t="str">
        <f>VLOOKUP(L76,'Đơn đặt'!$C$3:$E$275,3,0)</f>
        <v>02-2026/TS-AVP/ĐĐH</v>
      </c>
      <c r="O76" s="66">
        <v>46044.0</v>
      </c>
      <c r="P76" s="67" t="s">
        <v>265</v>
      </c>
      <c r="Q76" s="68">
        <v>400.0</v>
      </c>
      <c r="R76" s="76">
        <v>18246.6</v>
      </c>
      <c r="S76" s="77">
        <v>7298640.0</v>
      </c>
      <c r="T76" s="77">
        <v>583891.0</v>
      </c>
      <c r="U76" s="60">
        <f t="shared" si="2"/>
        <v>7882531</v>
      </c>
      <c r="V76" s="70"/>
      <c r="W76" s="23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</row>
    <row r="77" ht="25.5" customHeight="1">
      <c r="A77" s="55">
        <v>46044.0</v>
      </c>
      <c r="B77" s="56" t="s">
        <v>268</v>
      </c>
      <c r="C77" s="56" t="s">
        <v>48</v>
      </c>
      <c r="D77" s="58" t="s">
        <v>47</v>
      </c>
      <c r="E77" s="58" t="s">
        <v>70</v>
      </c>
      <c r="F77" s="56" t="s">
        <v>71</v>
      </c>
      <c r="G77" s="60">
        <v>3750.0</v>
      </c>
      <c r="H77" s="62">
        <v>18291.0</v>
      </c>
      <c r="I77" s="64">
        <v>6.859125E7</v>
      </c>
      <c r="J77" s="64">
        <v>5487300.0</v>
      </c>
      <c r="K77" s="64">
        <v>7.407855E7</v>
      </c>
      <c r="L77" s="65" t="s">
        <v>269</v>
      </c>
      <c r="M77" s="65" t="str">
        <f>VLOOKUP(L77,'Đơn đặt'!$C$3:$E$275,2,0)</f>
        <v>12-01-TS</v>
      </c>
      <c r="N77" s="65" t="str">
        <f>VLOOKUP(L77,'Đơn đặt'!$C$3:$E$275,3,0)</f>
        <v>09-2026/TS-AVP/ĐĐH</v>
      </c>
      <c r="O77" s="66">
        <v>46044.0</v>
      </c>
      <c r="P77" s="67" t="s">
        <v>270</v>
      </c>
      <c r="Q77" s="68">
        <v>1750.0</v>
      </c>
      <c r="R77" s="68">
        <v>14482.2</v>
      </c>
      <c r="S77" s="68">
        <v>2.534385E7</v>
      </c>
      <c r="T77" s="68">
        <v>2027508.0</v>
      </c>
      <c r="U77" s="60">
        <f t="shared" si="2"/>
        <v>27371358</v>
      </c>
      <c r="V77" s="70"/>
      <c r="W77" s="23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ht="25.5" customHeight="1">
      <c r="A78" s="55">
        <v>46044.0</v>
      </c>
      <c r="B78" s="56" t="s">
        <v>268</v>
      </c>
      <c r="C78" s="56" t="s">
        <v>48</v>
      </c>
      <c r="D78" s="58" t="s">
        <v>47</v>
      </c>
      <c r="E78" s="58" t="s">
        <v>70</v>
      </c>
      <c r="F78" s="56"/>
      <c r="G78" s="60"/>
      <c r="H78" s="62"/>
      <c r="I78" s="64"/>
      <c r="J78" s="64"/>
      <c r="K78" s="64"/>
      <c r="L78" s="65" t="s">
        <v>269</v>
      </c>
      <c r="M78" s="65" t="str">
        <f>VLOOKUP(L78,'Đơn đặt'!$C$3:$E$275,2,0)</f>
        <v>12-01-TS</v>
      </c>
      <c r="N78" s="65" t="str">
        <f>VLOOKUP(L78,'Đơn đặt'!$C$3:$E$275,3,0)</f>
        <v>09-2026/TS-AVP/ĐĐH</v>
      </c>
      <c r="O78" s="66">
        <v>46044.0</v>
      </c>
      <c r="P78" s="67" t="s">
        <v>271</v>
      </c>
      <c r="Q78" s="68">
        <v>2000.0</v>
      </c>
      <c r="R78" s="68">
        <v>14018.2</v>
      </c>
      <c r="S78" s="68">
        <v>2.80364E7</v>
      </c>
      <c r="T78" s="68">
        <v>2242912.0</v>
      </c>
      <c r="U78" s="60">
        <f t="shared" si="2"/>
        <v>30279312</v>
      </c>
      <c r="V78" s="70"/>
      <c r="W78" s="23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</row>
    <row r="79" ht="25.5" customHeight="1">
      <c r="A79" s="55">
        <v>46044.0</v>
      </c>
      <c r="B79" s="56" t="s">
        <v>268</v>
      </c>
      <c r="C79" s="56" t="s">
        <v>50</v>
      </c>
      <c r="D79" s="58" t="s">
        <v>49</v>
      </c>
      <c r="E79" s="58" t="s">
        <v>70</v>
      </c>
      <c r="F79" s="56" t="s">
        <v>71</v>
      </c>
      <c r="G79" s="81">
        <v>1000.0</v>
      </c>
      <c r="H79" s="62">
        <v>18291.0</v>
      </c>
      <c r="I79" s="64">
        <v>1.8291E7</v>
      </c>
      <c r="J79" s="64">
        <v>1463280.0</v>
      </c>
      <c r="K79" s="64">
        <v>1.975428E7</v>
      </c>
      <c r="L79" s="65" t="s">
        <v>220</v>
      </c>
      <c r="M79" s="65" t="str">
        <f>VLOOKUP(L79,'Đơn đặt'!$C$3:$E$275,2,0)</f>
        <v>11-10-TS</v>
      </c>
      <c r="N79" s="65" t="str">
        <f>VLOOKUP(L79,'Đơn đặt'!$C$3:$E$275,3,0)</f>
        <v>137-2025/TS-AVP/ĐĐH</v>
      </c>
      <c r="O79" s="66">
        <v>46044.0</v>
      </c>
      <c r="P79" s="67" t="s">
        <v>271</v>
      </c>
      <c r="Q79" s="68">
        <v>1000.0</v>
      </c>
      <c r="R79" s="76">
        <v>14018.2</v>
      </c>
      <c r="S79" s="77">
        <v>1.40182E7</v>
      </c>
      <c r="T79" s="77">
        <v>1121456.0</v>
      </c>
      <c r="U79" s="60">
        <f t="shared" si="2"/>
        <v>15139656</v>
      </c>
      <c r="V79" s="70"/>
      <c r="W79" s="23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</row>
    <row r="80" ht="25.5" customHeight="1">
      <c r="A80" s="55">
        <v>46045.0</v>
      </c>
      <c r="B80" s="56" t="s">
        <v>274</v>
      </c>
      <c r="C80" s="56" t="s">
        <v>44</v>
      </c>
      <c r="D80" s="58" t="s">
        <v>45</v>
      </c>
      <c r="E80" s="58" t="s">
        <v>184</v>
      </c>
      <c r="F80" s="56" t="s">
        <v>71</v>
      </c>
      <c r="G80" s="60">
        <v>710.0</v>
      </c>
      <c r="H80" s="62">
        <v>4629.63</v>
      </c>
      <c r="I80" s="64">
        <v>3287037.0</v>
      </c>
      <c r="J80" s="64">
        <v>262963.0</v>
      </c>
      <c r="K80" s="64">
        <v>3550000.0</v>
      </c>
      <c r="L80" s="65" t="s">
        <v>42</v>
      </c>
      <c r="M80" s="65" t="s">
        <v>42</v>
      </c>
      <c r="N80" s="65" t="s">
        <v>42</v>
      </c>
      <c r="O80" s="89">
        <v>2025.0</v>
      </c>
      <c r="P80" s="35"/>
      <c r="Q80" s="90">
        <v>710.0</v>
      </c>
      <c r="R80" s="35"/>
      <c r="S80" s="64">
        <f>ROUND(Q80*R80,0)</f>
        <v>0</v>
      </c>
      <c r="T80" s="64">
        <f>ROUND(S80*0.08,0)</f>
        <v>0</v>
      </c>
      <c r="U80" s="60">
        <f t="shared" si="2"/>
        <v>0</v>
      </c>
      <c r="V80" s="70"/>
      <c r="W80" s="23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</row>
    <row r="81" ht="25.5" customHeight="1">
      <c r="A81" s="55">
        <v>46045.0</v>
      </c>
      <c r="B81" s="56" t="s">
        <v>277</v>
      </c>
      <c r="C81" s="56" t="s">
        <v>48</v>
      </c>
      <c r="D81" s="58" t="s">
        <v>47</v>
      </c>
      <c r="E81" s="58" t="s">
        <v>70</v>
      </c>
      <c r="F81" s="56" t="s">
        <v>71</v>
      </c>
      <c r="G81" s="60">
        <v>4250.0</v>
      </c>
      <c r="H81" s="62">
        <v>18291.0</v>
      </c>
      <c r="I81" s="64">
        <v>7.773675E7</v>
      </c>
      <c r="J81" s="64">
        <v>6218940.0</v>
      </c>
      <c r="K81" s="64">
        <v>8.395569E7</v>
      </c>
      <c r="L81" s="65" t="s">
        <v>269</v>
      </c>
      <c r="M81" s="65" t="str">
        <f>VLOOKUP(L81,'Đơn đặt'!$C$3:$E$275,2,0)</f>
        <v>12-01-TS</v>
      </c>
      <c r="N81" s="65" t="str">
        <f>VLOOKUP(L81,'Đơn đặt'!$C$3:$E$275,3,0)</f>
        <v>09-2026/TS-AVP/ĐĐH</v>
      </c>
      <c r="O81" s="66">
        <v>46045.0</v>
      </c>
      <c r="P81" s="67" t="s">
        <v>278</v>
      </c>
      <c r="Q81" s="68">
        <v>4250.0</v>
      </c>
      <c r="R81" s="68">
        <v>14482.2</v>
      </c>
      <c r="S81" s="68">
        <v>6.154935E7</v>
      </c>
      <c r="T81" s="68">
        <v>4923948.0</v>
      </c>
      <c r="U81" s="60">
        <f t="shared" si="2"/>
        <v>66473298</v>
      </c>
      <c r="V81" s="70"/>
      <c r="W81" s="23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</row>
    <row r="82" ht="25.5" customHeight="1">
      <c r="A82" s="55">
        <v>46045.0</v>
      </c>
      <c r="B82" s="56" t="s">
        <v>277</v>
      </c>
      <c r="C82" s="56" t="s">
        <v>50</v>
      </c>
      <c r="D82" s="58" t="s">
        <v>49</v>
      </c>
      <c r="E82" s="58" t="s">
        <v>70</v>
      </c>
      <c r="F82" s="56" t="s">
        <v>71</v>
      </c>
      <c r="G82" s="81">
        <v>1000.0</v>
      </c>
      <c r="H82" s="62">
        <v>18291.0</v>
      </c>
      <c r="I82" s="64">
        <v>1.8291E7</v>
      </c>
      <c r="J82" s="64">
        <v>1463280.0</v>
      </c>
      <c r="K82" s="64">
        <v>1.975428E7</v>
      </c>
      <c r="L82" s="65" t="s">
        <v>220</v>
      </c>
      <c r="M82" s="65" t="str">
        <f>VLOOKUP(L82,'Đơn đặt'!$C$3:$E$275,2,0)</f>
        <v>11-10-TS</v>
      </c>
      <c r="N82" s="65" t="str">
        <f>VLOOKUP(L82,'Đơn đặt'!$C$3:$E$275,3,0)</f>
        <v>137-2025/TS-AVP/ĐĐH</v>
      </c>
      <c r="O82" s="66">
        <v>46045.0</v>
      </c>
      <c r="P82" s="67" t="s">
        <v>281</v>
      </c>
      <c r="Q82" s="68">
        <v>1000.0</v>
      </c>
      <c r="R82" s="76">
        <v>14018.2</v>
      </c>
      <c r="S82" s="77">
        <v>1.40182E7</v>
      </c>
      <c r="T82" s="77">
        <v>1121456.0</v>
      </c>
      <c r="U82" s="60">
        <f t="shared" si="2"/>
        <v>15139656</v>
      </c>
      <c r="V82" s="70"/>
      <c r="W82" s="23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</row>
    <row r="83" ht="25.5" customHeight="1">
      <c r="A83" s="55">
        <v>46045.0</v>
      </c>
      <c r="B83" s="56" t="s">
        <v>219</v>
      </c>
      <c r="C83" s="56" t="s">
        <v>55</v>
      </c>
      <c r="D83" s="58" t="s">
        <v>53</v>
      </c>
      <c r="E83" s="58" t="s">
        <v>70</v>
      </c>
      <c r="F83" s="56" t="s">
        <v>71</v>
      </c>
      <c r="G83" s="60">
        <v>2500.0</v>
      </c>
      <c r="H83" s="62">
        <v>20024.0</v>
      </c>
      <c r="I83" s="64">
        <v>5.006E7</v>
      </c>
      <c r="J83" s="64">
        <v>4004800.0</v>
      </c>
      <c r="K83" s="64">
        <v>5.40648E7</v>
      </c>
      <c r="L83" s="65" t="s">
        <v>233</v>
      </c>
      <c r="M83" s="65" t="str">
        <f>VLOOKUP(L83,'Đơn đặt'!$C$3:$E$275,2,0)</f>
        <v>12-01-TS</v>
      </c>
      <c r="N83" s="65" t="str">
        <f>VLOOKUP(L83,'Đơn đặt'!$C$3:$E$275,3,0)</f>
        <v>146-2025/TS-AVP/ĐĐH</v>
      </c>
      <c r="O83" s="66">
        <v>46045.0</v>
      </c>
      <c r="P83" s="67" t="s">
        <v>282</v>
      </c>
      <c r="Q83" s="68">
        <v>2500.0</v>
      </c>
      <c r="R83" s="76">
        <v>16180.8</v>
      </c>
      <c r="S83" s="77">
        <v>4.0452E7</v>
      </c>
      <c r="T83" s="77">
        <v>3236160.0</v>
      </c>
      <c r="U83" s="60">
        <f t="shared" si="2"/>
        <v>43688160</v>
      </c>
      <c r="V83" s="70"/>
      <c r="W83" s="23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</row>
    <row r="84" ht="25.5" customHeight="1">
      <c r="A84" s="55">
        <v>46045.0</v>
      </c>
      <c r="B84" s="56" t="s">
        <v>205</v>
      </c>
      <c r="C84" s="56" t="s">
        <v>59</v>
      </c>
      <c r="D84" s="58" t="s">
        <v>105</v>
      </c>
      <c r="E84" s="58" t="s">
        <v>70</v>
      </c>
      <c r="F84" s="56" t="s">
        <v>71</v>
      </c>
      <c r="G84" s="60">
        <v>700.0</v>
      </c>
      <c r="H84" s="62">
        <v>18291.0</v>
      </c>
      <c r="I84" s="64">
        <v>1.28037E7</v>
      </c>
      <c r="J84" s="64">
        <v>1024296.0</v>
      </c>
      <c r="K84" s="64">
        <v>1.3827996E7</v>
      </c>
      <c r="L84" s="65" t="s">
        <v>106</v>
      </c>
      <c r="M84" s="65" t="str">
        <f>VLOOKUP(L84,'Đơn đặt'!$C$3:$E$275,2,0)</f>
        <v>11-10-TS</v>
      </c>
      <c r="N84" s="65" t="str">
        <f>VLOOKUP(L84,'Đơn đặt'!$C$3:$E$275,3,0)</f>
        <v>02-2026/TS-AVP/ĐĐH</v>
      </c>
      <c r="O84" s="66">
        <v>46045.0</v>
      </c>
      <c r="P84" s="67" t="s">
        <v>284</v>
      </c>
      <c r="Q84" s="68">
        <v>700.0</v>
      </c>
      <c r="R84" s="76">
        <v>16258.2</v>
      </c>
      <c r="S84" s="68">
        <v>1.138074E7</v>
      </c>
      <c r="T84" s="77">
        <v>910459.0</v>
      </c>
      <c r="U84" s="60">
        <f t="shared" si="2"/>
        <v>12291199</v>
      </c>
      <c r="V84" s="70"/>
      <c r="W84" s="23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</row>
    <row r="85" ht="25.5" customHeight="1">
      <c r="A85" s="55">
        <v>46045.0</v>
      </c>
      <c r="B85" s="56" t="s">
        <v>205</v>
      </c>
      <c r="C85" s="56" t="s">
        <v>14</v>
      </c>
      <c r="D85" s="58" t="s">
        <v>13</v>
      </c>
      <c r="E85" s="58" t="s">
        <v>70</v>
      </c>
      <c r="F85" s="56" t="s">
        <v>71</v>
      </c>
      <c r="G85" s="60">
        <v>2000.0</v>
      </c>
      <c r="H85" s="62">
        <v>19404.0</v>
      </c>
      <c r="I85" s="64">
        <v>3.8808E7</v>
      </c>
      <c r="J85" s="64">
        <v>3104640.0</v>
      </c>
      <c r="K85" s="64">
        <v>4.191264E7</v>
      </c>
      <c r="L85" s="65" t="s">
        <v>161</v>
      </c>
      <c r="M85" s="65" t="str">
        <f>VLOOKUP(L85,'Đơn đặt'!$C$3:$E$275,2,0)</f>
        <v>11-10-TS</v>
      </c>
      <c r="N85" s="65" t="str">
        <f>VLOOKUP(L85,'Đơn đặt'!$C$3:$E$275,3,0)</f>
        <v>02-2026/TS-AVP/ĐĐH</v>
      </c>
      <c r="O85" s="66">
        <v>46045.0</v>
      </c>
      <c r="P85" s="67" t="s">
        <v>284</v>
      </c>
      <c r="Q85" s="68">
        <v>2000.0</v>
      </c>
      <c r="R85" s="76">
        <v>17776.8</v>
      </c>
      <c r="S85" s="77">
        <v>3.55536E7</v>
      </c>
      <c r="T85" s="77">
        <v>2844288.0</v>
      </c>
      <c r="U85" s="60">
        <f t="shared" si="2"/>
        <v>38397888</v>
      </c>
      <c r="V85" s="70"/>
      <c r="W85" s="23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</row>
    <row r="86" ht="25.5" customHeight="1">
      <c r="A86" s="55">
        <v>46045.0</v>
      </c>
      <c r="B86" s="56" t="s">
        <v>205</v>
      </c>
      <c r="C86" s="56" t="s">
        <v>38</v>
      </c>
      <c r="D86" s="58" t="s">
        <v>36</v>
      </c>
      <c r="E86" s="58" t="s">
        <v>70</v>
      </c>
      <c r="F86" s="56" t="s">
        <v>71</v>
      </c>
      <c r="G86" s="60">
        <v>610.0</v>
      </c>
      <c r="H86" s="62">
        <v>18953.0</v>
      </c>
      <c r="I86" s="64">
        <v>1.156133E7</v>
      </c>
      <c r="J86" s="64">
        <v>924906.0</v>
      </c>
      <c r="K86" s="64">
        <v>1.2486236E7</v>
      </c>
      <c r="L86" s="65" t="s">
        <v>239</v>
      </c>
      <c r="M86" s="65" t="str">
        <f>VLOOKUP(L86,'Đơn đặt'!$C$3:$E$275,2,0)</f>
        <v>11-10-TS</v>
      </c>
      <c r="N86" s="65" t="str">
        <f>VLOOKUP(L86,'Đơn đặt'!$C$3:$E$275,3,0)</f>
        <v>02-2026/TS-AVP/ĐĐH</v>
      </c>
      <c r="O86" s="66">
        <v>46045.0</v>
      </c>
      <c r="P86" s="67" t="s">
        <v>284</v>
      </c>
      <c r="Q86" s="68">
        <v>610.0</v>
      </c>
      <c r="R86" s="76">
        <v>18246.6</v>
      </c>
      <c r="S86" s="77">
        <v>1.1130426E7</v>
      </c>
      <c r="T86" s="77">
        <v>890434.0</v>
      </c>
      <c r="U86" s="60">
        <f t="shared" si="2"/>
        <v>12020860</v>
      </c>
      <c r="V86" s="70"/>
      <c r="W86" s="23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</row>
    <row r="87" ht="25.5" customHeight="1">
      <c r="A87" s="55">
        <v>46045.0</v>
      </c>
      <c r="B87" s="56" t="s">
        <v>213</v>
      </c>
      <c r="C87" s="56" t="s">
        <v>59</v>
      </c>
      <c r="D87" s="58" t="s">
        <v>105</v>
      </c>
      <c r="E87" s="58" t="s">
        <v>70</v>
      </c>
      <c r="F87" s="56" t="s">
        <v>71</v>
      </c>
      <c r="G87" s="60">
        <v>1300.0</v>
      </c>
      <c r="H87" s="62">
        <v>18291.0</v>
      </c>
      <c r="I87" s="64">
        <v>2.37783E7</v>
      </c>
      <c r="J87" s="64">
        <v>1902264.0</v>
      </c>
      <c r="K87" s="64">
        <v>2.5680564E7</v>
      </c>
      <c r="L87" s="65" t="s">
        <v>106</v>
      </c>
      <c r="M87" s="65" t="str">
        <f>VLOOKUP(L87,'Đơn đặt'!$C$3:$E$275,2,0)</f>
        <v>11-10-TS</v>
      </c>
      <c r="N87" s="65" t="str">
        <f>VLOOKUP(L87,'Đơn đặt'!$C$3:$E$275,3,0)</f>
        <v>02-2026/TS-AVP/ĐĐH</v>
      </c>
      <c r="O87" s="66">
        <v>46045.0</v>
      </c>
      <c r="P87" s="67" t="s">
        <v>288</v>
      </c>
      <c r="Q87" s="68">
        <v>1300.0</v>
      </c>
      <c r="R87" s="76">
        <v>16258.2</v>
      </c>
      <c r="S87" s="68">
        <v>2.113566E7</v>
      </c>
      <c r="T87" s="77">
        <v>1690853.0</v>
      </c>
      <c r="U87" s="60">
        <f t="shared" si="2"/>
        <v>22826513</v>
      </c>
      <c r="V87" s="70"/>
      <c r="W87" s="23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</row>
    <row r="88" ht="25.5" customHeight="1">
      <c r="A88" s="55">
        <v>46048.0</v>
      </c>
      <c r="B88" s="56" t="s">
        <v>289</v>
      </c>
      <c r="C88" s="56" t="s">
        <v>59</v>
      </c>
      <c r="D88" s="58" t="s">
        <v>105</v>
      </c>
      <c r="E88" s="58" t="s">
        <v>70</v>
      </c>
      <c r="F88" s="56" t="s">
        <v>71</v>
      </c>
      <c r="G88" s="60">
        <v>2100.0</v>
      </c>
      <c r="H88" s="62">
        <v>18291.0</v>
      </c>
      <c r="I88" s="64">
        <v>3.84111E7</v>
      </c>
      <c r="J88" s="64">
        <v>3072888.0</v>
      </c>
      <c r="K88" s="64">
        <v>4.1483988E7</v>
      </c>
      <c r="L88" s="65" t="s">
        <v>106</v>
      </c>
      <c r="M88" s="65" t="str">
        <f>VLOOKUP(L88,'Đơn đặt'!$C$3:$E$275,2,0)</f>
        <v>11-10-TS</v>
      </c>
      <c r="N88" s="65" t="str">
        <f>VLOOKUP(L88,'Đơn đặt'!$C$3:$E$275,3,0)</f>
        <v>02-2026/TS-AVP/ĐĐH</v>
      </c>
      <c r="O88" s="66">
        <v>46048.0</v>
      </c>
      <c r="P88" s="67" t="s">
        <v>290</v>
      </c>
      <c r="Q88" s="68">
        <v>2100.0</v>
      </c>
      <c r="R88" s="76">
        <v>16258.2</v>
      </c>
      <c r="S88" s="68">
        <v>3.414222E7</v>
      </c>
      <c r="T88" s="77">
        <v>2731378.0</v>
      </c>
      <c r="U88" s="60">
        <f t="shared" si="2"/>
        <v>36873598</v>
      </c>
      <c r="V88" s="70"/>
      <c r="W88" s="23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</row>
    <row r="89" ht="25.5" customHeight="1">
      <c r="A89" s="55">
        <v>46048.0</v>
      </c>
      <c r="B89" s="56" t="s">
        <v>289</v>
      </c>
      <c r="C89" s="56" t="s">
        <v>14</v>
      </c>
      <c r="D89" s="58" t="s">
        <v>13</v>
      </c>
      <c r="E89" s="58" t="s">
        <v>70</v>
      </c>
      <c r="F89" s="56" t="s">
        <v>71</v>
      </c>
      <c r="G89" s="60">
        <v>1000.0</v>
      </c>
      <c r="H89" s="62">
        <v>19404.0</v>
      </c>
      <c r="I89" s="64">
        <v>1.9404E7</v>
      </c>
      <c r="J89" s="64">
        <v>1552320.0</v>
      </c>
      <c r="K89" s="64">
        <v>2.095632E7</v>
      </c>
      <c r="L89" s="65" t="s">
        <v>291</v>
      </c>
      <c r="M89" s="65" t="str">
        <f>VLOOKUP(L89,'Đơn đặt'!$C$3:$E$275,2,0)</f>
        <v>12-01-TS</v>
      </c>
      <c r="N89" s="65" t="str">
        <f>VLOOKUP(L89,'Đơn đặt'!$C$3:$E$275,3,0)</f>
        <v>03-2026/TS-AVP/ĐĐH</v>
      </c>
      <c r="O89" s="66">
        <v>46048.0</v>
      </c>
      <c r="P89" s="67" t="s">
        <v>290</v>
      </c>
      <c r="Q89" s="68">
        <v>1000.0</v>
      </c>
      <c r="R89" s="76">
        <v>17776.8</v>
      </c>
      <c r="S89" s="77">
        <v>1.77768E7</v>
      </c>
      <c r="T89" s="77">
        <v>1422144.0</v>
      </c>
      <c r="U89" s="60">
        <f t="shared" si="2"/>
        <v>19198944</v>
      </c>
      <c r="V89" s="70"/>
      <c r="W89" s="23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</row>
    <row r="90" ht="25.5" customHeight="1">
      <c r="A90" s="55">
        <v>46048.0</v>
      </c>
      <c r="B90" s="56" t="s">
        <v>289</v>
      </c>
      <c r="C90" s="56" t="s">
        <v>279</v>
      </c>
      <c r="D90" s="58" t="s">
        <v>280</v>
      </c>
      <c r="E90" s="58" t="s">
        <v>70</v>
      </c>
      <c r="F90" s="56" t="s">
        <v>71</v>
      </c>
      <c r="G90" s="60">
        <v>300.0</v>
      </c>
      <c r="H90" s="62">
        <v>17325.0</v>
      </c>
      <c r="I90" s="64">
        <v>5197500.0</v>
      </c>
      <c r="J90" s="64">
        <v>415800.0</v>
      </c>
      <c r="K90" s="64">
        <v>5613300.0</v>
      </c>
      <c r="L90" s="65" t="s">
        <v>292</v>
      </c>
      <c r="M90" s="65" t="str">
        <f>VLOOKUP(L90,'Đơn đặt'!$C$3:$E$275,2,0)</f>
        <v>01-04-TS</v>
      </c>
      <c r="N90" s="65" t="str">
        <f>VLOOKUP(L90,'Đơn đặt'!$C$3:$E$275,3,0)</f>
        <v>07-2026/TS-AVP/ĐĐH</v>
      </c>
      <c r="O90" s="66">
        <v>46048.0</v>
      </c>
      <c r="P90" s="67" t="s">
        <v>290</v>
      </c>
      <c r="Q90" s="68">
        <v>300.0</v>
      </c>
      <c r="R90" s="76">
        <v>17241.0</v>
      </c>
      <c r="S90" s="77">
        <v>5172300.0</v>
      </c>
      <c r="T90" s="77">
        <v>413784.0</v>
      </c>
      <c r="U90" s="60">
        <f t="shared" si="2"/>
        <v>5586084</v>
      </c>
      <c r="V90" s="70"/>
      <c r="W90" s="23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</row>
    <row r="91" ht="25.5" customHeight="1">
      <c r="A91" s="55">
        <v>46048.0</v>
      </c>
      <c r="B91" s="56" t="s">
        <v>297</v>
      </c>
      <c r="C91" s="56" t="s">
        <v>59</v>
      </c>
      <c r="D91" s="58" t="s">
        <v>105</v>
      </c>
      <c r="E91" s="58" t="s">
        <v>70</v>
      </c>
      <c r="F91" s="56" t="s">
        <v>71</v>
      </c>
      <c r="G91" s="60">
        <v>1200.0</v>
      </c>
      <c r="H91" s="62">
        <v>18291.0</v>
      </c>
      <c r="I91" s="64">
        <v>2.19492E7</v>
      </c>
      <c r="J91" s="64">
        <v>1755936.0</v>
      </c>
      <c r="K91" s="64">
        <v>2.3705136E7</v>
      </c>
      <c r="L91" s="65" t="s">
        <v>106</v>
      </c>
      <c r="M91" s="65" t="str">
        <f>VLOOKUP(L91,'Đơn đặt'!$C$3:$E$275,2,0)</f>
        <v>11-10-TS</v>
      </c>
      <c r="N91" s="65" t="str">
        <f>VLOOKUP(L91,'Đơn đặt'!$C$3:$E$275,3,0)</f>
        <v>02-2026/TS-AVP/ĐĐH</v>
      </c>
      <c r="O91" s="66">
        <v>46048.0</v>
      </c>
      <c r="P91" s="67" t="s">
        <v>298</v>
      </c>
      <c r="Q91" s="68">
        <v>1200.0</v>
      </c>
      <c r="R91" s="76">
        <v>16258.2</v>
      </c>
      <c r="S91" s="68">
        <v>1.950984E7</v>
      </c>
      <c r="T91" s="77">
        <v>1560787.0</v>
      </c>
      <c r="U91" s="60">
        <f t="shared" si="2"/>
        <v>21070627</v>
      </c>
      <c r="V91" s="70"/>
      <c r="W91" s="23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</row>
    <row r="92" ht="25.5" customHeight="1">
      <c r="A92" s="55">
        <v>46048.0</v>
      </c>
      <c r="B92" s="56" t="s">
        <v>297</v>
      </c>
      <c r="C92" s="56" t="s">
        <v>119</v>
      </c>
      <c r="D92" s="58" t="s">
        <v>120</v>
      </c>
      <c r="E92" s="58" t="s">
        <v>70</v>
      </c>
      <c r="F92" s="56" t="s">
        <v>71</v>
      </c>
      <c r="G92" s="60">
        <v>2000.0</v>
      </c>
      <c r="H92" s="62">
        <v>19310.0</v>
      </c>
      <c r="I92" s="64">
        <v>3.862E7</v>
      </c>
      <c r="J92" s="64">
        <v>3089600.0</v>
      </c>
      <c r="K92" s="64">
        <v>4.17096E7</v>
      </c>
      <c r="L92" s="65" t="s">
        <v>228</v>
      </c>
      <c r="M92" s="65" t="str">
        <f>VLOOKUP(L92,'Đơn đặt'!$C$3:$E$275,2,0)</f>
        <v>01-02-TS</v>
      </c>
      <c r="N92" s="65" t="str">
        <f>VLOOKUP(L92,'Đơn đặt'!$C$3:$E$275,3,0)</f>
        <v>04-2026/TS-AVP/ĐĐH</v>
      </c>
      <c r="O92" s="66">
        <v>46048.0</v>
      </c>
      <c r="P92" s="67" t="s">
        <v>298</v>
      </c>
      <c r="Q92" s="68">
        <v>2000.0</v>
      </c>
      <c r="R92" s="76">
        <v>17438.0</v>
      </c>
      <c r="S92" s="77">
        <v>3.4876E7</v>
      </c>
      <c r="T92" s="77">
        <v>2790080.0</v>
      </c>
      <c r="U92" s="60">
        <f t="shared" si="2"/>
        <v>37666080</v>
      </c>
      <c r="V92" s="70"/>
      <c r="W92" s="23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</row>
    <row r="93" ht="25.5" customHeight="1">
      <c r="A93" s="55">
        <v>46048.0</v>
      </c>
      <c r="B93" s="56" t="s">
        <v>297</v>
      </c>
      <c r="C93" s="56" t="s">
        <v>38</v>
      </c>
      <c r="D93" s="58" t="s">
        <v>36</v>
      </c>
      <c r="E93" s="58" t="s">
        <v>70</v>
      </c>
      <c r="F93" s="56" t="s">
        <v>71</v>
      </c>
      <c r="G93" s="60">
        <v>1000.0</v>
      </c>
      <c r="H93" s="62">
        <v>18953.0</v>
      </c>
      <c r="I93" s="64">
        <v>1.8953E7</v>
      </c>
      <c r="J93" s="64">
        <v>1516240.0</v>
      </c>
      <c r="K93" s="64">
        <v>2.046924E7</v>
      </c>
      <c r="L93" s="65" t="s">
        <v>239</v>
      </c>
      <c r="M93" s="65" t="str">
        <f>VLOOKUP(L93,'Đơn đặt'!$C$3:$E$275,2,0)</f>
        <v>11-10-TS</v>
      </c>
      <c r="N93" s="65" t="str">
        <f>VLOOKUP(L93,'Đơn đặt'!$C$3:$E$275,3,0)</f>
        <v>02-2026/TS-AVP/ĐĐH</v>
      </c>
      <c r="O93" s="66">
        <v>46048.0</v>
      </c>
      <c r="P93" s="67" t="s">
        <v>298</v>
      </c>
      <c r="Q93" s="68">
        <v>1000.0</v>
      </c>
      <c r="R93" s="76">
        <v>18246.6</v>
      </c>
      <c r="S93" s="77">
        <v>1.82466E7</v>
      </c>
      <c r="T93" s="77">
        <v>1459728.0</v>
      </c>
      <c r="U93" s="60">
        <f t="shared" si="2"/>
        <v>19706328</v>
      </c>
      <c r="V93" s="70"/>
      <c r="W93" s="23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r="94" ht="25.5" customHeight="1">
      <c r="A94" s="55">
        <v>46048.0</v>
      </c>
      <c r="B94" s="56" t="s">
        <v>297</v>
      </c>
      <c r="C94" s="56" t="s">
        <v>275</v>
      </c>
      <c r="D94" s="58" t="s">
        <v>276</v>
      </c>
      <c r="E94" s="58" t="s">
        <v>70</v>
      </c>
      <c r="F94" s="56" t="s">
        <v>71</v>
      </c>
      <c r="G94" s="60">
        <v>620.0</v>
      </c>
      <c r="H94" s="62">
        <v>17325.0</v>
      </c>
      <c r="I94" s="64">
        <v>1.07415E7</v>
      </c>
      <c r="J94" s="64">
        <v>859320.0</v>
      </c>
      <c r="K94" s="64">
        <v>1.160082E7</v>
      </c>
      <c r="L94" s="65" t="s">
        <v>303</v>
      </c>
      <c r="M94" s="65" t="str">
        <f>VLOOKUP(L94,'Đơn đặt'!$C$3:$E$275,2,0)</f>
        <v>01-04-TS</v>
      </c>
      <c r="N94" s="65" t="str">
        <f>VLOOKUP(L94,'Đơn đặt'!$C$3:$E$275,3,0)</f>
        <v>07-2026/TS-AVP/ĐĐH</v>
      </c>
      <c r="O94" s="66">
        <v>46048.0</v>
      </c>
      <c r="P94" s="67" t="s">
        <v>298</v>
      </c>
      <c r="Q94" s="68">
        <v>620.0</v>
      </c>
      <c r="R94" s="76">
        <v>17241.0</v>
      </c>
      <c r="S94" s="77">
        <v>1.068942E7</v>
      </c>
      <c r="T94" s="77">
        <v>855154.0</v>
      </c>
      <c r="U94" s="60">
        <f t="shared" si="2"/>
        <v>11544574</v>
      </c>
      <c r="V94" s="70"/>
      <c r="W94" s="23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</row>
    <row r="95" ht="25.5" customHeight="1">
      <c r="A95" s="55">
        <v>46048.0</v>
      </c>
      <c r="B95" s="56" t="s">
        <v>304</v>
      </c>
      <c r="C95" s="56" t="s">
        <v>48</v>
      </c>
      <c r="D95" s="58" t="s">
        <v>47</v>
      </c>
      <c r="E95" s="58" t="s">
        <v>70</v>
      </c>
      <c r="F95" s="56" t="s">
        <v>71</v>
      </c>
      <c r="G95" s="60">
        <v>5000.0</v>
      </c>
      <c r="H95" s="62">
        <v>18291.0</v>
      </c>
      <c r="I95" s="64">
        <v>9.1455E7</v>
      </c>
      <c r="J95" s="64">
        <v>7316400.0</v>
      </c>
      <c r="K95" s="64">
        <v>9.87714E7</v>
      </c>
      <c r="L95" s="65" t="s">
        <v>305</v>
      </c>
      <c r="M95" s="65" t="str">
        <f>VLOOKUP(L95,'Đơn đặt'!$C$3:$E$275,2,0)</f>
        <v>12-01-TS</v>
      </c>
      <c r="N95" s="65" t="str">
        <f>VLOOKUP(L95,'Đơn đặt'!$C$3:$E$275,3,0)</f>
        <v>05-2026/TS-AVP/ĐĐH</v>
      </c>
      <c r="O95" s="66">
        <v>46048.0</v>
      </c>
      <c r="P95" s="67" t="s">
        <v>306</v>
      </c>
      <c r="Q95" s="68">
        <v>5000.0</v>
      </c>
      <c r="R95" s="68">
        <v>12071.0</v>
      </c>
      <c r="S95" s="68">
        <v>6.0355E7</v>
      </c>
      <c r="T95" s="68">
        <v>4828400.0</v>
      </c>
      <c r="U95" s="60">
        <f t="shared" si="2"/>
        <v>65183400</v>
      </c>
      <c r="V95" s="70"/>
      <c r="W95" s="23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</row>
    <row r="96" ht="25.5" customHeight="1">
      <c r="A96" s="55">
        <v>46048.0</v>
      </c>
      <c r="B96" s="56" t="s">
        <v>304</v>
      </c>
      <c r="C96" s="56" t="s">
        <v>50</v>
      </c>
      <c r="D96" s="58" t="s">
        <v>49</v>
      </c>
      <c r="E96" s="58" t="s">
        <v>70</v>
      </c>
      <c r="F96" s="56" t="s">
        <v>71</v>
      </c>
      <c r="G96" s="81">
        <v>1000.0</v>
      </c>
      <c r="H96" s="62">
        <v>18291.0</v>
      </c>
      <c r="I96" s="64">
        <v>1.8291E7</v>
      </c>
      <c r="J96" s="64">
        <v>1463280.0</v>
      </c>
      <c r="K96" s="64">
        <v>1.975428E7</v>
      </c>
      <c r="L96" s="65" t="s">
        <v>220</v>
      </c>
      <c r="M96" s="65" t="str">
        <f>VLOOKUP(L96,'Đơn đặt'!$C$3:$E$275,2,0)</f>
        <v>11-10-TS</v>
      </c>
      <c r="N96" s="65" t="str">
        <f>VLOOKUP(L96,'Đơn đặt'!$C$3:$E$275,3,0)</f>
        <v>137-2025/TS-AVP/ĐĐH</v>
      </c>
      <c r="O96" s="66">
        <v>46048.0</v>
      </c>
      <c r="P96" s="67" t="s">
        <v>307</v>
      </c>
      <c r="Q96" s="68">
        <v>1000.0</v>
      </c>
      <c r="R96" s="76">
        <v>14018.2</v>
      </c>
      <c r="S96" s="77">
        <v>1.40182E7</v>
      </c>
      <c r="T96" s="77">
        <v>1121456.0</v>
      </c>
      <c r="U96" s="60">
        <f t="shared" si="2"/>
        <v>15139656</v>
      </c>
      <c r="V96" s="70"/>
      <c r="W96" s="23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</row>
    <row r="97" ht="25.5" customHeight="1">
      <c r="A97" s="55">
        <v>46048.0</v>
      </c>
      <c r="B97" s="56" t="s">
        <v>308</v>
      </c>
      <c r="C97" s="56" t="s">
        <v>59</v>
      </c>
      <c r="D97" s="58" t="s">
        <v>105</v>
      </c>
      <c r="E97" s="58" t="s">
        <v>70</v>
      </c>
      <c r="F97" s="56" t="s">
        <v>71</v>
      </c>
      <c r="G97" s="60">
        <v>510.0</v>
      </c>
      <c r="H97" s="62">
        <v>18291.0</v>
      </c>
      <c r="I97" s="64">
        <f t="shared" ref="I97:I98" si="16">ROUND(G97*H97,0)</f>
        <v>9328410</v>
      </c>
      <c r="J97" s="64">
        <f t="shared" ref="J97:J98" si="17">ROUND(I97*0.08,0)</f>
        <v>746273</v>
      </c>
      <c r="K97" s="64">
        <f t="shared" ref="K97:K98" si="18">I97+J97</f>
        <v>10074683</v>
      </c>
      <c r="L97" s="65" t="s">
        <v>106</v>
      </c>
      <c r="M97" s="65" t="str">
        <f>VLOOKUP(L97,'Đơn đặt'!$C$3:$E$275,2,0)</f>
        <v>11-10-TS</v>
      </c>
      <c r="N97" s="65" t="str">
        <f>VLOOKUP(L97,'Đơn đặt'!$C$3:$E$275,3,0)</f>
        <v>02-2026/TS-AVP/ĐĐH</v>
      </c>
      <c r="O97" s="66">
        <v>46048.0</v>
      </c>
      <c r="P97" s="67" t="s">
        <v>311</v>
      </c>
      <c r="Q97" s="68">
        <v>510.0</v>
      </c>
      <c r="R97" s="76">
        <v>16258.2</v>
      </c>
      <c r="S97" s="60">
        <f t="shared" ref="S97:S98" si="19">ROUND(Q97*R97,0)</f>
        <v>8291682</v>
      </c>
      <c r="T97" s="64">
        <f t="shared" ref="T97:T98" si="20">ROUND(S97*0.08,0)</f>
        <v>663335</v>
      </c>
      <c r="U97" s="60">
        <f t="shared" si="2"/>
        <v>8955017</v>
      </c>
      <c r="V97" s="70"/>
      <c r="W97" s="23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</row>
    <row r="98" ht="25.5" customHeight="1">
      <c r="A98" s="55">
        <v>46048.0</v>
      </c>
      <c r="B98" s="56" t="s">
        <v>308</v>
      </c>
      <c r="C98" s="56" t="s">
        <v>59</v>
      </c>
      <c r="D98" s="58" t="s">
        <v>105</v>
      </c>
      <c r="E98" s="58" t="s">
        <v>70</v>
      </c>
      <c r="F98" s="56" t="s">
        <v>71</v>
      </c>
      <c r="G98" s="60">
        <v>2000.0</v>
      </c>
      <c r="H98" s="62">
        <v>18291.0</v>
      </c>
      <c r="I98" s="64">
        <f t="shared" si="16"/>
        <v>36582000</v>
      </c>
      <c r="J98" s="64">
        <f t="shared" si="17"/>
        <v>2926560</v>
      </c>
      <c r="K98" s="64">
        <f t="shared" si="18"/>
        <v>39508560</v>
      </c>
      <c r="L98" s="65" t="s">
        <v>313</v>
      </c>
      <c r="M98" s="65" t="str">
        <f>VLOOKUP(L98,'Đơn đặt'!$C$3:$E$275,2,0)</f>
        <v>12-01-TS</v>
      </c>
      <c r="N98" s="65" t="str">
        <f>VLOOKUP(L98,'Đơn đặt'!$C$3:$E$275,3,0)</f>
        <v>03-2026/TS-AVP/ĐĐH</v>
      </c>
      <c r="O98" s="66">
        <v>46048.0</v>
      </c>
      <c r="P98" s="67" t="s">
        <v>311</v>
      </c>
      <c r="Q98" s="68">
        <v>2000.0</v>
      </c>
      <c r="R98" s="76">
        <v>16258.2</v>
      </c>
      <c r="S98" s="60">
        <f t="shared" si="19"/>
        <v>32516400</v>
      </c>
      <c r="T98" s="64">
        <f t="shared" si="20"/>
        <v>2601312</v>
      </c>
      <c r="U98" s="60">
        <f t="shared" si="2"/>
        <v>35117712</v>
      </c>
      <c r="V98" s="70"/>
      <c r="W98" s="23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</row>
    <row r="99" ht="25.5" customHeight="1">
      <c r="A99" s="55">
        <v>46048.0</v>
      </c>
      <c r="B99" s="56" t="s">
        <v>308</v>
      </c>
      <c r="C99" s="56" t="s">
        <v>14</v>
      </c>
      <c r="D99" s="58" t="s">
        <v>13</v>
      </c>
      <c r="E99" s="58" t="s">
        <v>70</v>
      </c>
      <c r="F99" s="56" t="s">
        <v>71</v>
      </c>
      <c r="G99" s="60">
        <v>1000.0</v>
      </c>
      <c r="H99" s="62">
        <v>19404.0</v>
      </c>
      <c r="I99" s="64">
        <v>1.9404E7</v>
      </c>
      <c r="J99" s="64">
        <v>1552320.0</v>
      </c>
      <c r="K99" s="64">
        <v>2.095632E7</v>
      </c>
      <c r="L99" s="65" t="s">
        <v>291</v>
      </c>
      <c r="M99" s="65" t="str">
        <f>VLOOKUP(L99,'Đơn đặt'!$C$3:$E$275,2,0)</f>
        <v>12-01-TS</v>
      </c>
      <c r="N99" s="65" t="str">
        <f>VLOOKUP(L99,'Đơn đặt'!$C$3:$E$275,3,0)</f>
        <v>03-2026/TS-AVP/ĐĐH</v>
      </c>
      <c r="O99" s="66">
        <v>46048.0</v>
      </c>
      <c r="P99" s="67" t="s">
        <v>311</v>
      </c>
      <c r="Q99" s="68">
        <v>1000.0</v>
      </c>
      <c r="R99" s="76">
        <v>17776.8</v>
      </c>
      <c r="S99" s="77">
        <v>1.77768E7</v>
      </c>
      <c r="T99" s="77">
        <v>1422144.0</v>
      </c>
      <c r="U99" s="60">
        <f t="shared" si="2"/>
        <v>19198944</v>
      </c>
      <c r="V99" s="70"/>
      <c r="W99" s="23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</row>
    <row r="100" ht="25.5" customHeight="1">
      <c r="A100" s="55">
        <v>46048.0</v>
      </c>
      <c r="B100" s="56" t="s">
        <v>314</v>
      </c>
      <c r="C100" s="56" t="s">
        <v>119</v>
      </c>
      <c r="D100" s="58" t="s">
        <v>120</v>
      </c>
      <c r="E100" s="58" t="s">
        <v>70</v>
      </c>
      <c r="F100" s="56" t="s">
        <v>71</v>
      </c>
      <c r="G100" s="60">
        <v>2000.0</v>
      </c>
      <c r="H100" s="62">
        <v>19310.0</v>
      </c>
      <c r="I100" s="64">
        <v>3.862E7</v>
      </c>
      <c r="J100" s="64">
        <v>3089600.0</v>
      </c>
      <c r="K100" s="64">
        <v>4.17096E7</v>
      </c>
      <c r="L100" s="65" t="s">
        <v>228</v>
      </c>
      <c r="M100" s="65" t="str">
        <f>VLOOKUP(L100,'Đơn đặt'!$C$3:$E$275,2,0)</f>
        <v>01-02-TS</v>
      </c>
      <c r="N100" s="65" t="str">
        <f>VLOOKUP(L100,'Đơn đặt'!$C$3:$E$275,3,0)</f>
        <v>04-2026/TS-AVP/ĐĐH</v>
      </c>
      <c r="O100" s="66">
        <v>46048.0</v>
      </c>
      <c r="P100" s="67" t="s">
        <v>315</v>
      </c>
      <c r="Q100" s="68">
        <v>2000.0</v>
      </c>
      <c r="R100" s="76">
        <v>17438.0</v>
      </c>
      <c r="S100" s="77">
        <v>3.4876E7</v>
      </c>
      <c r="T100" s="77">
        <v>2790080.0</v>
      </c>
      <c r="U100" s="60">
        <f t="shared" si="2"/>
        <v>37666080</v>
      </c>
      <c r="V100" s="70"/>
      <c r="W100" s="23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</row>
    <row r="101" ht="25.5" customHeight="1">
      <c r="A101" s="55">
        <v>46048.0</v>
      </c>
      <c r="B101" s="56" t="s">
        <v>314</v>
      </c>
      <c r="C101" s="56" t="s">
        <v>38</v>
      </c>
      <c r="D101" s="58" t="s">
        <v>36</v>
      </c>
      <c r="E101" s="58" t="s">
        <v>70</v>
      </c>
      <c r="F101" s="56" t="s">
        <v>71</v>
      </c>
      <c r="G101" s="60">
        <v>2000.0</v>
      </c>
      <c r="H101" s="62">
        <v>18953.0</v>
      </c>
      <c r="I101" s="64">
        <v>3.7906E7</v>
      </c>
      <c r="J101" s="64">
        <v>3032480.0</v>
      </c>
      <c r="K101" s="64">
        <v>4.093848E7</v>
      </c>
      <c r="L101" s="65" t="s">
        <v>318</v>
      </c>
      <c r="M101" s="65" t="str">
        <f>VLOOKUP(L101,'Đơn đặt'!$C$3:$E$275,2,0)</f>
        <v>12-01-TS</v>
      </c>
      <c r="N101" s="65" t="str">
        <f>VLOOKUP(L101,'Đơn đặt'!$C$3:$E$275,3,0)</f>
        <v>03-2026/TS-AVP/ĐĐH</v>
      </c>
      <c r="O101" s="66">
        <v>46048.0</v>
      </c>
      <c r="P101" s="67" t="s">
        <v>315</v>
      </c>
      <c r="Q101" s="68">
        <v>2000.0</v>
      </c>
      <c r="R101" s="76">
        <v>18246.6</v>
      </c>
      <c r="S101" s="77">
        <v>3.64932E7</v>
      </c>
      <c r="T101" s="77">
        <v>2919456.0</v>
      </c>
      <c r="U101" s="60">
        <f t="shared" si="2"/>
        <v>39412656</v>
      </c>
      <c r="V101" s="70"/>
      <c r="W101" s="23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</row>
    <row r="102" ht="25.5" customHeight="1">
      <c r="A102" s="55">
        <v>46048.0</v>
      </c>
      <c r="B102" s="56" t="s">
        <v>319</v>
      </c>
      <c r="C102" s="56" t="s">
        <v>48</v>
      </c>
      <c r="D102" s="58" t="s">
        <v>47</v>
      </c>
      <c r="E102" s="58" t="s">
        <v>70</v>
      </c>
      <c r="F102" s="56" t="s">
        <v>71</v>
      </c>
      <c r="G102" s="60">
        <v>4000.0</v>
      </c>
      <c r="H102" s="62">
        <v>18291.0</v>
      </c>
      <c r="I102" s="64">
        <v>7.3164E7</v>
      </c>
      <c r="J102" s="64">
        <v>5853120.0</v>
      </c>
      <c r="K102" s="64">
        <v>7.901712E7</v>
      </c>
      <c r="L102" s="65" t="s">
        <v>269</v>
      </c>
      <c r="M102" s="65" t="str">
        <f>VLOOKUP(L102,'Đơn đặt'!$C$3:$E$275,2,0)</f>
        <v>12-01-TS</v>
      </c>
      <c r="N102" s="65" t="str">
        <f>VLOOKUP(L102,'Đơn đặt'!$C$3:$E$275,3,0)</f>
        <v>09-2026/TS-AVP/ĐĐH</v>
      </c>
      <c r="O102" s="66">
        <v>46048.0</v>
      </c>
      <c r="P102" s="67" t="s">
        <v>320</v>
      </c>
      <c r="Q102" s="68">
        <v>4000.0</v>
      </c>
      <c r="R102" s="68">
        <v>14482.2</v>
      </c>
      <c r="S102" s="68">
        <v>5.79288E7</v>
      </c>
      <c r="T102" s="68">
        <v>4634304.0</v>
      </c>
      <c r="U102" s="60">
        <f t="shared" si="2"/>
        <v>62563104</v>
      </c>
      <c r="V102" s="70"/>
      <c r="W102" s="23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ht="25.5" customHeight="1">
      <c r="A103" s="55">
        <v>46048.0</v>
      </c>
      <c r="B103" s="56" t="s">
        <v>319</v>
      </c>
      <c r="C103" s="56" t="s">
        <v>50</v>
      </c>
      <c r="D103" s="58" t="s">
        <v>49</v>
      </c>
      <c r="E103" s="58" t="s">
        <v>70</v>
      </c>
      <c r="F103" s="56" t="s">
        <v>71</v>
      </c>
      <c r="G103" s="81">
        <v>1000.0</v>
      </c>
      <c r="H103" s="62">
        <v>18291.0</v>
      </c>
      <c r="I103" s="64">
        <v>1.8291E7</v>
      </c>
      <c r="J103" s="64">
        <v>1463280.0</v>
      </c>
      <c r="K103" s="64">
        <v>1.975428E7</v>
      </c>
      <c r="L103" s="65" t="s">
        <v>220</v>
      </c>
      <c r="M103" s="65" t="str">
        <f>VLOOKUP(L103,'Đơn đặt'!$C$3:$E$275,2,0)</f>
        <v>11-10-TS</v>
      </c>
      <c r="N103" s="65" t="str">
        <f>VLOOKUP(L103,'Đơn đặt'!$C$3:$E$275,3,0)</f>
        <v>137-2025/TS-AVP/ĐĐH</v>
      </c>
      <c r="O103" s="66">
        <v>46048.0</v>
      </c>
      <c r="P103" s="67" t="s">
        <v>321</v>
      </c>
      <c r="Q103" s="68">
        <v>1000.0</v>
      </c>
      <c r="R103" s="76">
        <v>14018.2</v>
      </c>
      <c r="S103" s="77">
        <v>1.40182E7</v>
      </c>
      <c r="T103" s="77">
        <v>1121456.0</v>
      </c>
      <c r="U103" s="60">
        <f t="shared" si="2"/>
        <v>15139656</v>
      </c>
      <c r="V103" s="70"/>
      <c r="W103" s="23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</row>
    <row r="104" ht="25.5" customHeight="1">
      <c r="A104" s="55">
        <v>46048.0</v>
      </c>
      <c r="B104" s="56" t="s">
        <v>319</v>
      </c>
      <c r="C104" s="56" t="s">
        <v>77</v>
      </c>
      <c r="D104" s="58" t="s">
        <v>78</v>
      </c>
      <c r="E104" s="58" t="s">
        <v>70</v>
      </c>
      <c r="F104" s="56" t="s">
        <v>71</v>
      </c>
      <c r="G104" s="60">
        <v>1000.0</v>
      </c>
      <c r="H104" s="62">
        <v>21777.0</v>
      </c>
      <c r="I104" s="64">
        <v>2.1777E7</v>
      </c>
      <c r="J104" s="64">
        <v>1742160.0</v>
      </c>
      <c r="K104" s="64">
        <v>2.351916E7</v>
      </c>
      <c r="L104" s="65" t="s">
        <v>322</v>
      </c>
      <c r="M104" s="65" t="str">
        <f>VLOOKUP(L104,'Đơn đặt'!$C$3:$E$275,2,0)</f>
        <v>01-13-TS</v>
      </c>
      <c r="N104" s="65" t="str">
        <f>VLOOKUP(L104,'Đơn đặt'!$C$3:$E$275,3,0)</f>
        <v>16-2026/TS-AVP/ĐĐH</v>
      </c>
      <c r="O104" s="66">
        <v>46048.0</v>
      </c>
      <c r="P104" s="67" t="s">
        <v>321</v>
      </c>
      <c r="Q104" s="68">
        <v>1000.0</v>
      </c>
      <c r="R104" s="76">
        <v>19723.4</v>
      </c>
      <c r="S104" s="77">
        <v>1.97234E7</v>
      </c>
      <c r="T104" s="77">
        <v>1577872.0</v>
      </c>
      <c r="U104" s="60">
        <f t="shared" si="2"/>
        <v>21301272</v>
      </c>
      <c r="V104" s="70"/>
      <c r="W104" s="23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</row>
    <row r="105" ht="25.5" customHeight="1">
      <c r="A105" s="55">
        <v>46049.0</v>
      </c>
      <c r="B105" s="56" t="s">
        <v>323</v>
      </c>
      <c r="C105" s="56" t="s">
        <v>48</v>
      </c>
      <c r="D105" s="58" t="s">
        <v>47</v>
      </c>
      <c r="E105" s="58" t="s">
        <v>70</v>
      </c>
      <c r="F105" s="56" t="s">
        <v>71</v>
      </c>
      <c r="G105" s="60">
        <v>4000.0</v>
      </c>
      <c r="H105" s="62">
        <v>18291.0</v>
      </c>
      <c r="I105" s="64">
        <v>7.3164E7</v>
      </c>
      <c r="J105" s="64">
        <v>5853120.0</v>
      </c>
      <c r="K105" s="64">
        <v>7.901712E7</v>
      </c>
      <c r="L105" s="65" t="s">
        <v>269</v>
      </c>
      <c r="M105" s="65" t="str">
        <f>VLOOKUP(L105,'Đơn đặt'!$C$3:$E$275,2,0)</f>
        <v>12-01-TS</v>
      </c>
      <c r="N105" s="65" t="str">
        <f>VLOOKUP(L105,'Đơn đặt'!$C$3:$E$275,3,0)</f>
        <v>09-2026/TS-AVP/ĐĐH</v>
      </c>
      <c r="O105" s="66">
        <v>46049.0</v>
      </c>
      <c r="P105" s="67" t="s">
        <v>324</v>
      </c>
      <c r="Q105" s="68">
        <v>4000.0</v>
      </c>
      <c r="R105" s="68">
        <v>14482.2</v>
      </c>
      <c r="S105" s="68">
        <v>5.79288E7</v>
      </c>
      <c r="T105" s="68">
        <v>4634304.0</v>
      </c>
      <c r="U105" s="60">
        <f t="shared" si="2"/>
        <v>62563104</v>
      </c>
      <c r="V105" s="70"/>
      <c r="W105" s="23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r="106" ht="25.5" customHeight="1">
      <c r="A106" s="55">
        <v>46049.0</v>
      </c>
      <c r="B106" s="56" t="s">
        <v>323</v>
      </c>
      <c r="C106" s="56" t="s">
        <v>50</v>
      </c>
      <c r="D106" s="58" t="s">
        <v>49</v>
      </c>
      <c r="E106" s="58" t="s">
        <v>70</v>
      </c>
      <c r="F106" s="56" t="s">
        <v>71</v>
      </c>
      <c r="G106" s="81">
        <v>1000.0</v>
      </c>
      <c r="H106" s="62">
        <v>18291.0</v>
      </c>
      <c r="I106" s="64">
        <v>1.8291E7</v>
      </c>
      <c r="J106" s="64">
        <v>1463280.0</v>
      </c>
      <c r="K106" s="64">
        <v>1.975428E7</v>
      </c>
      <c r="L106" s="65" t="s">
        <v>220</v>
      </c>
      <c r="M106" s="65" t="str">
        <f>VLOOKUP(L106,'Đơn đặt'!$C$3:$E$275,2,0)</f>
        <v>11-10-TS</v>
      </c>
      <c r="N106" s="65" t="str">
        <f>VLOOKUP(L106,'Đơn đặt'!$C$3:$E$275,3,0)</f>
        <v>137-2025/TS-AVP/ĐĐH</v>
      </c>
      <c r="O106" s="66">
        <v>46049.0</v>
      </c>
      <c r="P106" s="67" t="s">
        <v>325</v>
      </c>
      <c r="Q106" s="68">
        <v>1000.0</v>
      </c>
      <c r="R106" s="76">
        <v>14018.2</v>
      </c>
      <c r="S106" s="77">
        <v>1.40182E7</v>
      </c>
      <c r="T106" s="77">
        <v>1121456.0</v>
      </c>
      <c r="U106" s="60">
        <f t="shared" si="2"/>
        <v>15139656</v>
      </c>
      <c r="V106" s="70"/>
      <c r="W106" s="23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</row>
    <row r="107" ht="25.5" customHeight="1">
      <c r="A107" s="55">
        <v>46049.0</v>
      </c>
      <c r="B107" s="56" t="s">
        <v>326</v>
      </c>
      <c r="C107" s="56" t="s">
        <v>59</v>
      </c>
      <c r="D107" s="58" t="s">
        <v>105</v>
      </c>
      <c r="E107" s="58" t="s">
        <v>70</v>
      </c>
      <c r="F107" s="56" t="s">
        <v>71</v>
      </c>
      <c r="G107" s="60">
        <v>3000.0</v>
      </c>
      <c r="H107" s="62">
        <v>18291.0</v>
      </c>
      <c r="I107" s="64">
        <v>5.4873E7</v>
      </c>
      <c r="J107" s="64">
        <v>4389840.0</v>
      </c>
      <c r="K107" s="64">
        <v>5.926284E7</v>
      </c>
      <c r="L107" s="65" t="s">
        <v>313</v>
      </c>
      <c r="M107" s="65" t="str">
        <f>VLOOKUP(L107,'Đơn đặt'!$C$3:$E$275,2,0)</f>
        <v>12-01-TS</v>
      </c>
      <c r="N107" s="65" t="str">
        <f>VLOOKUP(L107,'Đơn đặt'!$C$3:$E$275,3,0)</f>
        <v>03-2026/TS-AVP/ĐĐH</v>
      </c>
      <c r="O107" s="66">
        <v>46049.0</v>
      </c>
      <c r="P107" s="67" t="s">
        <v>327</v>
      </c>
      <c r="Q107" s="68">
        <v>3000.0</v>
      </c>
      <c r="R107" s="76">
        <v>16258.2</v>
      </c>
      <c r="S107" s="68">
        <v>4.87746E7</v>
      </c>
      <c r="T107" s="77">
        <v>3901968.0</v>
      </c>
      <c r="U107" s="60">
        <f t="shared" si="2"/>
        <v>52676568</v>
      </c>
      <c r="V107" s="70"/>
      <c r="W107" s="23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</row>
    <row r="108" ht="25.5" customHeight="1">
      <c r="A108" s="55">
        <v>46049.0</v>
      </c>
      <c r="B108" s="56" t="s">
        <v>326</v>
      </c>
      <c r="C108" s="56" t="s">
        <v>14</v>
      </c>
      <c r="D108" s="58" t="s">
        <v>13</v>
      </c>
      <c r="E108" s="58" t="s">
        <v>70</v>
      </c>
      <c r="F108" s="56" t="s">
        <v>71</v>
      </c>
      <c r="G108" s="60">
        <v>560.0</v>
      </c>
      <c r="H108" s="62">
        <v>19404.0</v>
      </c>
      <c r="I108" s="64">
        <v>1.086624E7</v>
      </c>
      <c r="J108" s="64">
        <v>869299.0</v>
      </c>
      <c r="K108" s="64">
        <v>1.1735539E7</v>
      </c>
      <c r="L108" s="65" t="s">
        <v>161</v>
      </c>
      <c r="M108" s="65" t="str">
        <f>VLOOKUP(L108,'Đơn đặt'!$C$3:$E$275,2,0)</f>
        <v>11-10-TS</v>
      </c>
      <c r="N108" s="65" t="str">
        <f>VLOOKUP(L108,'Đơn đặt'!$C$3:$E$275,3,0)</f>
        <v>02-2026/TS-AVP/ĐĐH</v>
      </c>
      <c r="O108" s="66">
        <v>46049.0</v>
      </c>
      <c r="P108" s="67" t="s">
        <v>327</v>
      </c>
      <c r="Q108" s="68">
        <v>560.0</v>
      </c>
      <c r="R108" s="76">
        <v>17776.8</v>
      </c>
      <c r="S108" s="77">
        <v>9955008.0</v>
      </c>
      <c r="T108" s="77">
        <v>796401.0</v>
      </c>
      <c r="U108" s="60">
        <f t="shared" si="2"/>
        <v>10751409</v>
      </c>
      <c r="V108" s="70"/>
      <c r="W108" s="23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</row>
    <row r="109" ht="25.5" customHeight="1">
      <c r="A109" s="55">
        <v>46049.0</v>
      </c>
      <c r="B109" s="56" t="s">
        <v>328</v>
      </c>
      <c r="C109" s="56" t="s">
        <v>55</v>
      </c>
      <c r="D109" s="58" t="s">
        <v>53</v>
      </c>
      <c r="E109" s="58" t="s">
        <v>70</v>
      </c>
      <c r="F109" s="56" t="s">
        <v>71</v>
      </c>
      <c r="G109" s="60">
        <v>2000.0</v>
      </c>
      <c r="H109" s="62">
        <v>20024.0</v>
      </c>
      <c r="I109" s="64">
        <v>4.0048E7</v>
      </c>
      <c r="J109" s="64">
        <v>3203840.0</v>
      </c>
      <c r="K109" s="64">
        <v>4.325184E7</v>
      </c>
      <c r="L109" s="65" t="s">
        <v>331</v>
      </c>
      <c r="M109" s="65" t="str">
        <f>VLOOKUP(L109,'Đơn đặt'!$C$3:$E$275,2,0)</f>
        <v>01-14-TS</v>
      </c>
      <c r="N109" s="65" t="str">
        <f>VLOOKUP(L109,'Đơn đặt'!$C$3:$E$275,3,0)</f>
        <v>13-2026/TS-AVP/ĐĐH</v>
      </c>
      <c r="O109" s="66">
        <v>46049.0</v>
      </c>
      <c r="P109" s="67" t="s">
        <v>332</v>
      </c>
      <c r="Q109" s="68">
        <v>2000.0</v>
      </c>
      <c r="R109" s="76">
        <v>16180.8</v>
      </c>
      <c r="S109" s="77">
        <v>3.23616E7</v>
      </c>
      <c r="T109" s="77">
        <v>2588928.0</v>
      </c>
      <c r="U109" s="60">
        <f t="shared" si="2"/>
        <v>34950528</v>
      </c>
      <c r="V109" s="70"/>
      <c r="W109" s="23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</row>
    <row r="110" ht="25.5" customHeight="1">
      <c r="A110" s="55">
        <v>46050.0</v>
      </c>
      <c r="B110" s="56" t="s">
        <v>333</v>
      </c>
      <c r="C110" s="56" t="s">
        <v>48</v>
      </c>
      <c r="D110" s="58" t="s">
        <v>47</v>
      </c>
      <c r="E110" s="58" t="s">
        <v>70</v>
      </c>
      <c r="F110" s="56" t="s">
        <v>71</v>
      </c>
      <c r="G110" s="60">
        <v>4000.0</v>
      </c>
      <c r="H110" s="62">
        <v>18291.0</v>
      </c>
      <c r="I110" s="64">
        <v>7.3164E7</v>
      </c>
      <c r="J110" s="64">
        <v>5853120.0</v>
      </c>
      <c r="K110" s="64">
        <v>7.901712E7</v>
      </c>
      <c r="L110" s="65" t="s">
        <v>269</v>
      </c>
      <c r="M110" s="65" t="str">
        <f>VLOOKUP(L110,'Đơn đặt'!$C$3:$E$275,2,0)</f>
        <v>12-01-TS</v>
      </c>
      <c r="N110" s="65" t="str">
        <f>VLOOKUP(L110,'Đơn đặt'!$C$3:$E$275,3,0)</f>
        <v>09-2026/TS-AVP/ĐĐH</v>
      </c>
      <c r="O110" s="66">
        <v>46050.0</v>
      </c>
      <c r="P110" s="67" t="s">
        <v>334</v>
      </c>
      <c r="Q110" s="68">
        <v>4000.0</v>
      </c>
      <c r="R110" s="68">
        <v>14482.2</v>
      </c>
      <c r="S110" s="68">
        <v>5.79288E7</v>
      </c>
      <c r="T110" s="68">
        <v>4634304.0</v>
      </c>
      <c r="U110" s="60">
        <f t="shared" si="2"/>
        <v>62563104</v>
      </c>
      <c r="V110" s="70"/>
      <c r="W110" s="23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</row>
    <row r="111" ht="25.5" customHeight="1">
      <c r="A111" s="55">
        <v>46050.0</v>
      </c>
      <c r="B111" s="56" t="s">
        <v>335</v>
      </c>
      <c r="C111" s="56" t="s">
        <v>59</v>
      </c>
      <c r="D111" s="58" t="s">
        <v>105</v>
      </c>
      <c r="E111" s="58" t="s">
        <v>70</v>
      </c>
      <c r="F111" s="56" t="s">
        <v>71</v>
      </c>
      <c r="G111" s="60">
        <v>1670.0</v>
      </c>
      <c r="H111" s="62">
        <v>18291.0</v>
      </c>
      <c r="I111" s="64">
        <v>3.054597E7</v>
      </c>
      <c r="J111" s="64">
        <v>2443678.0</v>
      </c>
      <c r="K111" s="64">
        <v>3.2989648E7</v>
      </c>
      <c r="L111" s="65" t="s">
        <v>313</v>
      </c>
      <c r="M111" s="65" t="str">
        <f>VLOOKUP(L111,'Đơn đặt'!$C$3:$E$275,2,0)</f>
        <v>12-01-TS</v>
      </c>
      <c r="N111" s="65" t="str">
        <f>VLOOKUP(L111,'Đơn đặt'!$C$3:$E$275,3,0)</f>
        <v>03-2026/TS-AVP/ĐĐH</v>
      </c>
      <c r="O111" s="66">
        <v>46050.0</v>
      </c>
      <c r="P111" s="67" t="s">
        <v>336</v>
      </c>
      <c r="Q111" s="68">
        <v>1670.0</v>
      </c>
      <c r="R111" s="76">
        <v>16258.2</v>
      </c>
      <c r="S111" s="60">
        <f t="shared" ref="S111:S112" si="21">ROUND(Q111*R111,0)</f>
        <v>27151194</v>
      </c>
      <c r="T111" s="64">
        <f t="shared" ref="T111:T112" si="22">ROUND(S111*0.08,0)</f>
        <v>2172096</v>
      </c>
      <c r="U111" s="60">
        <f t="shared" si="2"/>
        <v>29323290</v>
      </c>
      <c r="V111" s="70"/>
      <c r="W111" s="23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</row>
    <row r="112" ht="25.5" customHeight="1">
      <c r="A112" s="55">
        <v>46050.0</v>
      </c>
      <c r="B112" s="56" t="s">
        <v>337</v>
      </c>
      <c r="C112" s="56" t="s">
        <v>59</v>
      </c>
      <c r="D112" s="58" t="s">
        <v>105</v>
      </c>
      <c r="E112" s="58" t="s">
        <v>70</v>
      </c>
      <c r="F112" s="56" t="s">
        <v>71</v>
      </c>
      <c r="G112" s="60">
        <v>1080.0</v>
      </c>
      <c r="H112" s="62">
        <v>18291.0</v>
      </c>
      <c r="I112" s="64">
        <v>1.975428E7</v>
      </c>
      <c r="J112" s="64">
        <v>1580342.0</v>
      </c>
      <c r="K112" s="64">
        <v>2.1334622E7</v>
      </c>
      <c r="L112" s="65" t="s">
        <v>313</v>
      </c>
      <c r="M112" s="65" t="str">
        <f>VLOOKUP(L112,'Đơn đặt'!$C$3:$E$275,2,0)</f>
        <v>12-01-TS</v>
      </c>
      <c r="N112" s="65" t="str">
        <f>VLOOKUP(L112,'Đơn đặt'!$C$3:$E$275,3,0)</f>
        <v>03-2026/TS-AVP/ĐĐH</v>
      </c>
      <c r="O112" s="66">
        <v>46050.0</v>
      </c>
      <c r="P112" s="67" t="s">
        <v>336</v>
      </c>
      <c r="Q112" s="68">
        <v>1080.0</v>
      </c>
      <c r="R112" s="76">
        <v>16258.2</v>
      </c>
      <c r="S112" s="60">
        <f t="shared" si="21"/>
        <v>17558856</v>
      </c>
      <c r="T112" s="64">
        <f t="shared" si="22"/>
        <v>1404708</v>
      </c>
      <c r="U112" s="60">
        <f t="shared" si="2"/>
        <v>18963564</v>
      </c>
      <c r="V112" s="70"/>
      <c r="W112" s="23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</row>
    <row r="113" ht="25.5" customHeight="1">
      <c r="A113" s="55">
        <v>46050.0</v>
      </c>
      <c r="B113" s="56" t="s">
        <v>337</v>
      </c>
      <c r="C113" s="56" t="s">
        <v>14</v>
      </c>
      <c r="D113" s="58" t="s">
        <v>13</v>
      </c>
      <c r="E113" s="58" t="s">
        <v>70</v>
      </c>
      <c r="F113" s="56" t="s">
        <v>71</v>
      </c>
      <c r="G113" s="60">
        <v>2270.0</v>
      </c>
      <c r="H113" s="62">
        <v>19404.0</v>
      </c>
      <c r="I113" s="64">
        <v>4.404708E7</v>
      </c>
      <c r="J113" s="64">
        <v>3523766.0</v>
      </c>
      <c r="K113" s="64">
        <v>4.7570846E7</v>
      </c>
      <c r="L113" s="65" t="s">
        <v>161</v>
      </c>
      <c r="M113" s="65" t="str">
        <f>VLOOKUP(L113,'Đơn đặt'!$C$3:$E$275,2,0)</f>
        <v>11-10-TS</v>
      </c>
      <c r="N113" s="65" t="str">
        <f>VLOOKUP(L113,'Đơn đặt'!$C$3:$E$275,3,0)</f>
        <v>02-2026/TS-AVP/ĐĐH</v>
      </c>
      <c r="O113" s="66">
        <v>46050.0</v>
      </c>
      <c r="P113" s="67" t="s">
        <v>336</v>
      </c>
      <c r="Q113" s="68">
        <v>2270.0</v>
      </c>
      <c r="R113" s="76">
        <v>17776.8</v>
      </c>
      <c r="S113" s="77">
        <v>4.0353336E7</v>
      </c>
      <c r="T113" s="77">
        <v>3228267.0</v>
      </c>
      <c r="U113" s="60">
        <f t="shared" si="2"/>
        <v>43581603</v>
      </c>
      <c r="V113" s="70"/>
      <c r="W113" s="23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</row>
    <row r="114" ht="25.5" customHeight="1">
      <c r="A114" s="55">
        <v>46050.0</v>
      </c>
      <c r="B114" s="56" t="s">
        <v>265</v>
      </c>
      <c r="C114" s="56" t="s">
        <v>295</v>
      </c>
      <c r="D114" s="58" t="s">
        <v>341</v>
      </c>
      <c r="E114" s="58" t="s">
        <v>70</v>
      </c>
      <c r="F114" s="56" t="s">
        <v>112</v>
      </c>
      <c r="G114" s="60">
        <v>1000.0</v>
      </c>
      <c r="H114" s="62">
        <v>38000.0</v>
      </c>
      <c r="I114" s="64">
        <v>3.8E7</v>
      </c>
      <c r="J114" s="64">
        <v>3040000.0</v>
      </c>
      <c r="K114" s="64">
        <v>4.104E7</v>
      </c>
      <c r="L114" s="65" t="s">
        <v>342</v>
      </c>
      <c r="M114" s="65" t="str">
        <f>VLOOKUP(L114,'Đơn đặt'!$C$3:$E$275,2,0)</f>
        <v>01-18/TS-LP</v>
      </c>
      <c r="N114" s="65" t="str">
        <f>VLOOKUP(L114,'Đơn đặt'!$C$3:$E$275,3,0)</f>
        <v>10-2026/TS-AVP/ĐĐH</v>
      </c>
      <c r="O114" s="66">
        <v>46050.0</v>
      </c>
      <c r="P114" s="67" t="s">
        <v>343</v>
      </c>
      <c r="Q114" s="68">
        <v>1000.0</v>
      </c>
      <c r="R114" s="76">
        <v>34800.0</v>
      </c>
      <c r="S114" s="77">
        <f t="shared" ref="S114:S115" si="23">ROUND(Q114*R114,0)</f>
        <v>34800000</v>
      </c>
      <c r="T114" s="87">
        <f t="shared" ref="T114:T115" si="24">S114*0.08</f>
        <v>2784000</v>
      </c>
      <c r="U114" s="60">
        <f t="shared" si="2"/>
        <v>37584000</v>
      </c>
      <c r="V114" s="70"/>
      <c r="W114" s="23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</row>
    <row r="115" ht="25.5" customHeight="1">
      <c r="A115" s="55">
        <v>46050.0</v>
      </c>
      <c r="B115" s="56" t="s">
        <v>265</v>
      </c>
      <c r="C115" s="56" t="s">
        <v>299</v>
      </c>
      <c r="D115" s="58" t="s">
        <v>346</v>
      </c>
      <c r="E115" s="58" t="s">
        <v>70</v>
      </c>
      <c r="F115" s="56" t="s">
        <v>112</v>
      </c>
      <c r="G115" s="60">
        <v>1000.0</v>
      </c>
      <c r="H115" s="62">
        <v>38000.0</v>
      </c>
      <c r="I115" s="64">
        <v>3.8E7</v>
      </c>
      <c r="J115" s="64">
        <v>3040000.0</v>
      </c>
      <c r="K115" s="64">
        <v>4.104E7</v>
      </c>
      <c r="L115" s="65" t="s">
        <v>347</v>
      </c>
      <c r="M115" s="65" t="str">
        <f>VLOOKUP(L115,'Đơn đặt'!$C$3:$E$275,2,0)</f>
        <v>01-18/TS-LP</v>
      </c>
      <c r="N115" s="65" t="str">
        <f>VLOOKUP(L115,'Đơn đặt'!$C$3:$E$275,3,0)</f>
        <v>10-2026/TS-AVP/ĐĐH</v>
      </c>
      <c r="O115" s="66">
        <v>46050.0</v>
      </c>
      <c r="P115" s="67" t="s">
        <v>343</v>
      </c>
      <c r="Q115" s="68">
        <v>1000.0</v>
      </c>
      <c r="R115" s="76">
        <v>34800.0</v>
      </c>
      <c r="S115" s="77">
        <f t="shared" si="23"/>
        <v>34800000</v>
      </c>
      <c r="T115" s="87">
        <f t="shared" si="24"/>
        <v>2784000</v>
      </c>
      <c r="U115" s="60">
        <f t="shared" si="2"/>
        <v>37584000</v>
      </c>
      <c r="V115" s="70"/>
      <c r="W115" s="23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</row>
    <row r="116" ht="25.5" customHeight="1">
      <c r="A116" s="55">
        <v>46051.0</v>
      </c>
      <c r="B116" s="56" t="s">
        <v>350</v>
      </c>
      <c r="C116" s="56" t="s">
        <v>48</v>
      </c>
      <c r="D116" s="58" t="s">
        <v>47</v>
      </c>
      <c r="E116" s="58" t="s">
        <v>70</v>
      </c>
      <c r="F116" s="56" t="s">
        <v>71</v>
      </c>
      <c r="G116" s="60">
        <v>1500.0</v>
      </c>
      <c r="H116" s="62">
        <v>18291.0</v>
      </c>
      <c r="I116" s="64">
        <v>2.74365E7</v>
      </c>
      <c r="J116" s="64">
        <v>2194920.0</v>
      </c>
      <c r="K116" s="64">
        <v>2.963142E7</v>
      </c>
      <c r="L116" s="65" t="s">
        <v>269</v>
      </c>
      <c r="M116" s="65" t="str">
        <f>VLOOKUP(L116,'Đơn đặt'!$C$3:$E$275,2,0)</f>
        <v>12-01-TS</v>
      </c>
      <c r="N116" s="65" t="str">
        <f>VLOOKUP(L116,'Đơn đặt'!$C$3:$E$275,3,0)</f>
        <v>09-2026/TS-AVP/ĐĐH</v>
      </c>
      <c r="O116" s="66">
        <v>46051.0</v>
      </c>
      <c r="P116" s="67" t="s">
        <v>351</v>
      </c>
      <c r="Q116" s="68">
        <v>1500.0</v>
      </c>
      <c r="R116" s="68">
        <v>14482.2</v>
      </c>
      <c r="S116" s="68">
        <v>2.17233E7</v>
      </c>
      <c r="T116" s="68">
        <v>1737864.0</v>
      </c>
      <c r="U116" s="60">
        <f t="shared" si="2"/>
        <v>23461164</v>
      </c>
      <c r="V116" s="70"/>
      <c r="W116" s="23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</row>
    <row r="117" ht="25.5" customHeight="1">
      <c r="A117" s="55">
        <v>46051.0</v>
      </c>
      <c r="B117" s="56" t="s">
        <v>350</v>
      </c>
      <c r="C117" s="56" t="s">
        <v>50</v>
      </c>
      <c r="D117" s="58" t="s">
        <v>49</v>
      </c>
      <c r="E117" s="58" t="s">
        <v>70</v>
      </c>
      <c r="F117" s="56" t="s">
        <v>71</v>
      </c>
      <c r="G117" s="81">
        <v>1000.0</v>
      </c>
      <c r="H117" s="62">
        <v>18291.0</v>
      </c>
      <c r="I117" s="64">
        <v>1.8291E7</v>
      </c>
      <c r="J117" s="64">
        <v>1463280.0</v>
      </c>
      <c r="K117" s="64">
        <v>1.975428E7</v>
      </c>
      <c r="L117" s="65" t="s">
        <v>220</v>
      </c>
      <c r="M117" s="65" t="str">
        <f>VLOOKUP(L117,'Đơn đặt'!$C$3:$E$275,2,0)</f>
        <v>11-10-TS</v>
      </c>
      <c r="N117" s="65" t="str">
        <f>VLOOKUP(L117,'Đơn đặt'!$C$3:$E$275,3,0)</f>
        <v>137-2025/TS-AVP/ĐĐH</v>
      </c>
      <c r="O117" s="66">
        <v>46051.0</v>
      </c>
      <c r="P117" s="67" t="s">
        <v>355</v>
      </c>
      <c r="Q117" s="68">
        <v>1000.0</v>
      </c>
      <c r="R117" s="76">
        <v>14018.2</v>
      </c>
      <c r="S117" s="77">
        <v>1.40182E7</v>
      </c>
      <c r="T117" s="77">
        <v>1121456.0</v>
      </c>
      <c r="U117" s="60">
        <f t="shared" si="2"/>
        <v>15139656</v>
      </c>
      <c r="V117" s="70"/>
      <c r="W117" s="23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r="118" ht="25.5" customHeight="1">
      <c r="A118" s="55">
        <v>46051.0</v>
      </c>
      <c r="B118" s="56" t="s">
        <v>356</v>
      </c>
      <c r="C118" s="56" t="s">
        <v>59</v>
      </c>
      <c r="D118" s="58" t="s">
        <v>105</v>
      </c>
      <c r="E118" s="58" t="s">
        <v>70</v>
      </c>
      <c r="F118" s="56" t="s">
        <v>71</v>
      </c>
      <c r="G118" s="60">
        <v>3250.0</v>
      </c>
      <c r="H118" s="62">
        <v>18291.0</v>
      </c>
      <c r="I118" s="64">
        <v>5.944575E7</v>
      </c>
      <c r="J118" s="64">
        <v>4755660.0</v>
      </c>
      <c r="K118" s="64">
        <v>6.420141E7</v>
      </c>
      <c r="L118" s="65" t="s">
        <v>313</v>
      </c>
      <c r="M118" s="65" t="str">
        <f>VLOOKUP(L118,'Đơn đặt'!$C$3:$E$275,2,0)</f>
        <v>12-01-TS</v>
      </c>
      <c r="N118" s="65" t="str">
        <f>VLOOKUP(L118,'Đơn đặt'!$C$3:$E$275,3,0)</f>
        <v>03-2026/TS-AVP/ĐĐH</v>
      </c>
      <c r="O118" s="66">
        <v>46051.0</v>
      </c>
      <c r="P118" s="67" t="s">
        <v>357</v>
      </c>
      <c r="Q118" s="68">
        <v>3250.0</v>
      </c>
      <c r="R118" s="76">
        <v>16258.2</v>
      </c>
      <c r="S118" s="68">
        <v>5.283915E7</v>
      </c>
      <c r="T118" s="77">
        <v>4227132.0</v>
      </c>
      <c r="U118" s="60">
        <f t="shared" si="2"/>
        <v>57066282</v>
      </c>
      <c r="V118" s="70"/>
      <c r="W118" s="23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</row>
    <row r="119" ht="25.5" customHeight="1">
      <c r="A119" s="55">
        <v>46051.0</v>
      </c>
      <c r="B119" s="56" t="s">
        <v>359</v>
      </c>
      <c r="C119" s="56" t="s">
        <v>41</v>
      </c>
      <c r="D119" s="58" t="s">
        <v>40</v>
      </c>
      <c r="E119" s="58" t="s">
        <v>70</v>
      </c>
      <c r="F119" s="56" t="s">
        <v>71</v>
      </c>
      <c r="G119" s="60">
        <v>1500.0</v>
      </c>
      <c r="H119" s="62">
        <v>20024.0</v>
      </c>
      <c r="I119" s="64">
        <v>3.0036E7</v>
      </c>
      <c r="J119" s="64">
        <v>2402880.0</v>
      </c>
      <c r="K119" s="64">
        <v>3.243888E7</v>
      </c>
      <c r="L119" s="65" t="s">
        <v>87</v>
      </c>
      <c r="M119" s="65" t="str">
        <f>VLOOKUP(L119,'Đơn đặt'!$C$3:$E$275,2,0)</f>
        <v>12-01-TS</v>
      </c>
      <c r="N119" s="65" t="str">
        <f>VLOOKUP(L119,'Đơn đặt'!$C$3:$E$275,3,0)</f>
        <v>03-2026/TS-AVP/ĐĐH</v>
      </c>
      <c r="O119" s="66">
        <v>46051.0</v>
      </c>
      <c r="P119" s="67" t="s">
        <v>360</v>
      </c>
      <c r="Q119" s="68">
        <v>1500.0</v>
      </c>
      <c r="R119" s="76">
        <v>17900.8</v>
      </c>
      <c r="S119" s="77">
        <v>2.68512E7</v>
      </c>
      <c r="T119" s="77">
        <v>2148096.0</v>
      </c>
      <c r="U119" s="60">
        <f t="shared" si="2"/>
        <v>28999296</v>
      </c>
      <c r="V119" s="70"/>
      <c r="W119" s="23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</row>
    <row r="120" ht="25.5" customHeight="1">
      <c r="A120" s="55">
        <v>46051.0</v>
      </c>
      <c r="B120" s="56" t="s">
        <v>359</v>
      </c>
      <c r="C120" s="56" t="s">
        <v>35</v>
      </c>
      <c r="D120" s="58" t="s">
        <v>34</v>
      </c>
      <c r="E120" s="58" t="s">
        <v>70</v>
      </c>
      <c r="F120" s="56" t="s">
        <v>71</v>
      </c>
      <c r="G120" s="60">
        <v>1530.0</v>
      </c>
      <c r="H120" s="62">
        <v>14900.0</v>
      </c>
      <c r="I120" s="64">
        <v>2.2797E7</v>
      </c>
      <c r="J120" s="64">
        <v>1823760.0</v>
      </c>
      <c r="K120" s="64">
        <v>2.462076E7</v>
      </c>
      <c r="L120" s="65" t="s">
        <v>195</v>
      </c>
      <c r="M120" s="65" t="str">
        <f>VLOOKUP(L120,'Đơn đặt'!$C$3:$E$275,2,0)</f>
        <v>12-01-TS</v>
      </c>
      <c r="N120" s="65" t="str">
        <f>VLOOKUP(L120,'Đơn đặt'!$C$3:$E$275,3,0)</f>
        <v>03-2026/TS-AVP/ĐĐH</v>
      </c>
      <c r="O120" s="66">
        <v>46051.0</v>
      </c>
      <c r="P120" s="67" t="s">
        <v>360</v>
      </c>
      <c r="Q120" s="68">
        <v>1530.0</v>
      </c>
      <c r="R120" s="76">
        <v>14140.0</v>
      </c>
      <c r="S120" s="77">
        <v>2.16342E7</v>
      </c>
      <c r="T120" s="77">
        <v>1730736.0</v>
      </c>
      <c r="U120" s="60">
        <f t="shared" si="2"/>
        <v>23364936</v>
      </c>
      <c r="V120" s="70"/>
      <c r="W120" s="23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</row>
    <row r="121" ht="25.5" customHeight="1">
      <c r="A121" s="55">
        <v>46051.0</v>
      </c>
      <c r="B121" s="56" t="s">
        <v>359</v>
      </c>
      <c r="C121" s="56" t="s">
        <v>38</v>
      </c>
      <c r="D121" s="58" t="s">
        <v>36</v>
      </c>
      <c r="E121" s="58" t="s">
        <v>70</v>
      </c>
      <c r="F121" s="56" t="s">
        <v>71</v>
      </c>
      <c r="G121" s="60">
        <v>1000.0</v>
      </c>
      <c r="H121" s="62">
        <v>18953.0</v>
      </c>
      <c r="I121" s="64">
        <v>1.8953E7</v>
      </c>
      <c r="J121" s="64">
        <v>1516240.0</v>
      </c>
      <c r="K121" s="64">
        <v>2.046924E7</v>
      </c>
      <c r="L121" s="65" t="s">
        <v>318</v>
      </c>
      <c r="M121" s="65" t="str">
        <f>VLOOKUP(L121,'Đơn đặt'!$C$3:$E$275,2,0)</f>
        <v>12-01-TS</v>
      </c>
      <c r="N121" s="65" t="str">
        <f>VLOOKUP(L121,'Đơn đặt'!$C$3:$E$275,3,0)</f>
        <v>03-2026/TS-AVP/ĐĐH</v>
      </c>
      <c r="O121" s="66">
        <v>46051.0</v>
      </c>
      <c r="P121" s="67" t="s">
        <v>360</v>
      </c>
      <c r="Q121" s="68">
        <v>1000.0</v>
      </c>
      <c r="R121" s="76">
        <v>18246.6</v>
      </c>
      <c r="S121" s="77">
        <v>1.82466E7</v>
      </c>
      <c r="T121" s="77">
        <v>1459728.0</v>
      </c>
      <c r="U121" s="60">
        <f t="shared" si="2"/>
        <v>19706328</v>
      </c>
      <c r="V121" s="70"/>
      <c r="W121" s="23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</row>
    <row r="122" ht="25.5" customHeight="1">
      <c r="A122" s="78">
        <v>46052.0</v>
      </c>
      <c r="B122" s="79" t="s">
        <v>365</v>
      </c>
      <c r="C122" s="56" t="s">
        <v>125</v>
      </c>
      <c r="D122" s="80" t="s">
        <v>126</v>
      </c>
      <c r="E122" s="58" t="s">
        <v>242</v>
      </c>
      <c r="F122" s="56" t="s">
        <v>112</v>
      </c>
      <c r="G122" s="81">
        <v>5244.0</v>
      </c>
      <c r="H122" s="62">
        <v>30400.0</v>
      </c>
      <c r="I122" s="64">
        <v>1.594176E8</v>
      </c>
      <c r="J122" s="64">
        <v>1.2753408E7</v>
      </c>
      <c r="K122" s="64">
        <v>1.72171008E8</v>
      </c>
      <c r="L122" s="91" t="s">
        <v>366</v>
      </c>
      <c r="M122" s="65" t="str">
        <f>VLOOKUP(L122,'Đơn đặt'!$C$3:$E$275,2,0)</f>
        <v>02/TS/26</v>
      </c>
      <c r="N122" s="65" t="str">
        <f>VLOOKUP(L122,'Đơn đặt'!$C$3:$E$275,3,0)</f>
        <v>Hàng SX</v>
      </c>
      <c r="O122" s="78" t="s">
        <v>98</v>
      </c>
      <c r="P122" s="92"/>
      <c r="Q122" s="81">
        <f>G122</f>
        <v>5244</v>
      </c>
      <c r="R122" s="92"/>
      <c r="S122" s="83">
        <f>ROUND(Q122*R122,0)</f>
        <v>0</v>
      </c>
      <c r="T122" s="83">
        <f>ROUND(S122*0.08,0)</f>
        <v>0</v>
      </c>
      <c r="U122" s="81">
        <f t="shared" si="2"/>
        <v>0</v>
      </c>
      <c r="V122" s="70"/>
      <c r="W122" s="23"/>
      <c r="X122" s="69"/>
      <c r="Y122" s="69"/>
      <c r="Z122" s="69"/>
      <c r="AA122" s="69"/>
      <c r="AB122" s="69"/>
      <c r="AC122" s="69"/>
      <c r="AD122" s="69"/>
      <c r="AE122" s="69"/>
      <c r="AF122" s="69"/>
      <c r="AG122" s="69"/>
      <c r="AH122" s="69"/>
      <c r="AI122" s="69"/>
      <c r="AJ122" s="69"/>
      <c r="AK122" s="69"/>
      <c r="AL122" s="69"/>
      <c r="AM122" s="69"/>
      <c r="AN122" s="69"/>
      <c r="AO122" s="69"/>
    </row>
    <row r="123" ht="25.5" customHeight="1">
      <c r="A123" s="55">
        <v>46052.0</v>
      </c>
      <c r="B123" s="56" t="s">
        <v>369</v>
      </c>
      <c r="C123" s="56" t="s">
        <v>59</v>
      </c>
      <c r="D123" s="58" t="s">
        <v>105</v>
      </c>
      <c r="E123" s="58" t="s">
        <v>70</v>
      </c>
      <c r="F123" s="56" t="s">
        <v>71</v>
      </c>
      <c r="G123" s="60">
        <v>2310.0</v>
      </c>
      <c r="H123" s="62">
        <v>18291.0</v>
      </c>
      <c r="I123" s="64">
        <v>4.225221E7</v>
      </c>
      <c r="J123" s="64">
        <v>3380177.0</v>
      </c>
      <c r="K123" s="64">
        <v>4.5632387E7</v>
      </c>
      <c r="L123" s="65" t="s">
        <v>313</v>
      </c>
      <c r="M123" s="65" t="str">
        <f>VLOOKUP(L123,'Đơn đặt'!$C$3:$E$275,2,0)</f>
        <v>12-01-TS</v>
      </c>
      <c r="N123" s="65" t="str">
        <f>VLOOKUP(L123,'Đơn đặt'!$C$3:$E$275,3,0)</f>
        <v>03-2026/TS-AVP/ĐĐH</v>
      </c>
      <c r="O123" s="66">
        <v>46052.0</v>
      </c>
      <c r="P123" s="67" t="s">
        <v>370</v>
      </c>
      <c r="Q123" s="68">
        <v>2310.0</v>
      </c>
      <c r="R123" s="76">
        <v>16258.2</v>
      </c>
      <c r="S123" s="68">
        <v>3.7556442E7</v>
      </c>
      <c r="T123" s="77">
        <v>3004515.0</v>
      </c>
      <c r="U123" s="60">
        <f t="shared" si="2"/>
        <v>40560957</v>
      </c>
      <c r="V123" s="70"/>
      <c r="W123" s="23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</row>
    <row r="124" ht="25.5" customHeight="1">
      <c r="A124" s="55">
        <v>46052.0</v>
      </c>
      <c r="B124" s="56" t="s">
        <v>369</v>
      </c>
      <c r="C124" s="56" t="s">
        <v>21</v>
      </c>
      <c r="D124" s="58" t="s">
        <v>371</v>
      </c>
      <c r="E124" s="58" t="s">
        <v>70</v>
      </c>
      <c r="F124" s="56" t="s">
        <v>71</v>
      </c>
      <c r="G124" s="60">
        <v>300.0</v>
      </c>
      <c r="H124" s="62">
        <v>18029.0</v>
      </c>
      <c r="I124" s="64">
        <v>5408700.0</v>
      </c>
      <c r="J124" s="64">
        <v>432696.0</v>
      </c>
      <c r="K124" s="64">
        <v>5841396.0</v>
      </c>
      <c r="L124" s="65" t="s">
        <v>372</v>
      </c>
      <c r="M124" s="65" t="str">
        <f>VLOOKUP(L124,'Đơn đặt'!$C$3:$E$275,2,0)</f>
        <v>01-14-TS</v>
      </c>
      <c r="N124" s="65" t="str">
        <f>VLOOKUP(L124,'Đơn đặt'!$C$3:$E$275,3,0)</f>
        <v>12-2026/TS-AVP/ĐĐH</v>
      </c>
      <c r="O124" s="66">
        <v>46052.0</v>
      </c>
      <c r="P124" s="67" t="s">
        <v>370</v>
      </c>
      <c r="Q124" s="68">
        <v>300.0</v>
      </c>
      <c r="R124" s="76">
        <v>17469.8</v>
      </c>
      <c r="S124" s="77">
        <v>5240940.0</v>
      </c>
      <c r="T124" s="77">
        <v>419276.0</v>
      </c>
      <c r="U124" s="60">
        <f t="shared" si="2"/>
        <v>5660216</v>
      </c>
      <c r="V124" s="70"/>
      <c r="W124" s="23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</row>
    <row r="125" ht="25.5" customHeight="1">
      <c r="A125" s="55">
        <v>46052.0</v>
      </c>
      <c r="B125" s="56" t="s">
        <v>369</v>
      </c>
      <c r="C125" s="56" t="s">
        <v>316</v>
      </c>
      <c r="D125" s="58" t="s">
        <v>375</v>
      </c>
      <c r="E125" s="58" t="s">
        <v>70</v>
      </c>
      <c r="F125" s="56" t="s">
        <v>71</v>
      </c>
      <c r="G125" s="60">
        <v>200.0</v>
      </c>
      <c r="H125" s="62">
        <v>18071.0</v>
      </c>
      <c r="I125" s="64">
        <v>3614200.0</v>
      </c>
      <c r="J125" s="64">
        <v>289136.0</v>
      </c>
      <c r="K125" s="64">
        <v>3903336.0</v>
      </c>
      <c r="L125" s="65" t="s">
        <v>376</v>
      </c>
      <c r="M125" s="65" t="str">
        <f>VLOOKUP(L125,'Đơn đặt'!$C$3:$E$275,2,0)</f>
        <v>01-14-TS</v>
      </c>
      <c r="N125" s="65" t="str">
        <f>VLOOKUP(L125,'Đơn đặt'!$C$3:$E$275,3,0)</f>
        <v>12-2026/TS-AVP/ĐĐH</v>
      </c>
      <c r="O125" s="66">
        <v>46052.0</v>
      </c>
      <c r="P125" s="67" t="s">
        <v>370</v>
      </c>
      <c r="Q125" s="68">
        <v>200.0</v>
      </c>
      <c r="R125" s="76">
        <v>16446.2</v>
      </c>
      <c r="S125" s="77">
        <v>3289240.0</v>
      </c>
      <c r="T125" s="77">
        <v>263139.0</v>
      </c>
      <c r="U125" s="60">
        <f t="shared" si="2"/>
        <v>3552379</v>
      </c>
      <c r="V125" s="70"/>
      <c r="W125" s="23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</row>
    <row r="126" ht="25.5" customHeight="1">
      <c r="A126" s="55">
        <v>46052.0</v>
      </c>
      <c r="B126" s="56" t="s">
        <v>369</v>
      </c>
      <c r="C126" s="56" t="s">
        <v>119</v>
      </c>
      <c r="D126" s="58" t="s">
        <v>120</v>
      </c>
      <c r="E126" s="58" t="s">
        <v>70</v>
      </c>
      <c r="F126" s="56" t="s">
        <v>71</v>
      </c>
      <c r="G126" s="60">
        <v>800.0</v>
      </c>
      <c r="H126" s="62">
        <v>19310.0</v>
      </c>
      <c r="I126" s="64">
        <v>1.5448E7</v>
      </c>
      <c r="J126" s="64">
        <v>1235840.0</v>
      </c>
      <c r="K126" s="64">
        <v>1.668384E7</v>
      </c>
      <c r="L126" s="65" t="s">
        <v>228</v>
      </c>
      <c r="M126" s="65" t="str">
        <f>VLOOKUP(L126,'Đơn đặt'!$C$3:$E$275,2,0)</f>
        <v>01-02-TS</v>
      </c>
      <c r="N126" s="65" t="str">
        <f>VLOOKUP(L126,'Đơn đặt'!$C$3:$E$275,3,0)</f>
        <v>04-2026/TS-AVP/ĐĐH</v>
      </c>
      <c r="O126" s="66">
        <v>46052.0</v>
      </c>
      <c r="P126" s="67" t="s">
        <v>370</v>
      </c>
      <c r="Q126" s="68">
        <v>800.0</v>
      </c>
      <c r="R126" s="76">
        <v>17438.0</v>
      </c>
      <c r="S126" s="77">
        <v>1.39504E7</v>
      </c>
      <c r="T126" s="77">
        <v>1116032.0</v>
      </c>
      <c r="U126" s="60">
        <f t="shared" si="2"/>
        <v>15066432</v>
      </c>
      <c r="V126" s="70"/>
      <c r="W126" s="23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</row>
    <row r="127" ht="25.5" customHeight="1">
      <c r="A127" s="55">
        <v>46052.0</v>
      </c>
      <c r="B127" s="56" t="s">
        <v>378</v>
      </c>
      <c r="C127" s="56" t="s">
        <v>14</v>
      </c>
      <c r="D127" s="58" t="s">
        <v>13</v>
      </c>
      <c r="E127" s="58" t="s">
        <v>70</v>
      </c>
      <c r="F127" s="56" t="s">
        <v>71</v>
      </c>
      <c r="G127" s="60">
        <v>2000.0</v>
      </c>
      <c r="H127" s="62">
        <v>19404.0</v>
      </c>
      <c r="I127" s="64">
        <v>3.8808E7</v>
      </c>
      <c r="J127" s="64">
        <v>3104640.0</v>
      </c>
      <c r="K127" s="64">
        <v>4.191264E7</v>
      </c>
      <c r="L127" s="65" t="s">
        <v>291</v>
      </c>
      <c r="M127" s="65" t="str">
        <f>VLOOKUP(L127,'Đơn đặt'!$C$3:$E$275,2,0)</f>
        <v>12-01-TS</v>
      </c>
      <c r="N127" s="65" t="str">
        <f>VLOOKUP(L127,'Đơn đặt'!$C$3:$E$275,3,0)</f>
        <v>03-2026/TS-AVP/ĐĐH</v>
      </c>
      <c r="O127" s="66">
        <v>46052.0</v>
      </c>
      <c r="P127" s="67" t="s">
        <v>379</v>
      </c>
      <c r="Q127" s="68">
        <v>2000.0</v>
      </c>
      <c r="R127" s="76">
        <v>17776.8</v>
      </c>
      <c r="S127" s="77">
        <v>3.55536E7</v>
      </c>
      <c r="T127" s="77">
        <v>2844288.0</v>
      </c>
      <c r="U127" s="60">
        <f t="shared" si="2"/>
        <v>38397888</v>
      </c>
      <c r="V127" s="70"/>
      <c r="W127" s="23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</row>
    <row r="128" ht="25.5" customHeight="1">
      <c r="A128" s="55">
        <v>46052.0</v>
      </c>
      <c r="B128" s="56" t="s">
        <v>378</v>
      </c>
      <c r="C128" s="56" t="s">
        <v>247</v>
      </c>
      <c r="D128" s="58" t="s">
        <v>380</v>
      </c>
      <c r="E128" s="58" t="s">
        <v>70</v>
      </c>
      <c r="F128" s="56" t="s">
        <v>71</v>
      </c>
      <c r="G128" s="60">
        <v>1500.0</v>
      </c>
      <c r="H128" s="62">
        <v>18365.0</v>
      </c>
      <c r="I128" s="64">
        <v>2.75475E7</v>
      </c>
      <c r="J128" s="64">
        <v>2203800.0</v>
      </c>
      <c r="K128" s="64">
        <v>2.97513E7</v>
      </c>
      <c r="L128" s="65" t="s">
        <v>381</v>
      </c>
      <c r="M128" s="65" t="str">
        <f>VLOOKUP(L128,'Đơn đặt'!$C$3:$E$275,2,0)</f>
        <v>12-01-TS</v>
      </c>
      <c r="N128" s="65" t="str">
        <f>VLOOKUP(L128,'Đơn đặt'!$C$3:$E$275,3,0)</f>
        <v>03-2026/TS-AVP/ĐĐH</v>
      </c>
      <c r="O128" s="66">
        <v>46052.0</v>
      </c>
      <c r="P128" s="67" t="s">
        <v>379</v>
      </c>
      <c r="Q128" s="68">
        <v>1500.0</v>
      </c>
      <c r="R128" s="76">
        <v>17569.0</v>
      </c>
      <c r="S128" s="77">
        <v>2.63535E7</v>
      </c>
      <c r="T128" s="77">
        <v>2108280.0</v>
      </c>
      <c r="U128" s="60">
        <f t="shared" si="2"/>
        <v>28461780</v>
      </c>
      <c r="V128" s="70"/>
      <c r="W128" s="23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</row>
    <row r="129" ht="25.5" customHeight="1">
      <c r="A129" s="55">
        <v>46052.0</v>
      </c>
      <c r="B129" s="56" t="s">
        <v>382</v>
      </c>
      <c r="C129" s="56" t="s">
        <v>48</v>
      </c>
      <c r="D129" s="58" t="s">
        <v>47</v>
      </c>
      <c r="E129" s="58" t="s">
        <v>70</v>
      </c>
      <c r="F129" s="56" t="s">
        <v>71</v>
      </c>
      <c r="G129" s="60">
        <v>7240.0</v>
      </c>
      <c r="H129" s="62">
        <v>18291.0</v>
      </c>
      <c r="I129" s="64">
        <v>1.3242684E8</v>
      </c>
      <c r="J129" s="64">
        <v>1.0594147E7</v>
      </c>
      <c r="K129" s="64">
        <v>1.43020987E8</v>
      </c>
      <c r="L129" s="65" t="s">
        <v>269</v>
      </c>
      <c r="M129" s="65" t="str">
        <f>VLOOKUP(L129,'Đơn đặt'!$C$3:$E$275,2,0)</f>
        <v>12-01-TS</v>
      </c>
      <c r="N129" s="65" t="str">
        <f>VLOOKUP(L129,'Đơn đặt'!$C$3:$E$275,3,0)</f>
        <v>09-2026/TS-AVP/ĐĐH</v>
      </c>
      <c r="O129" s="66">
        <v>46052.0</v>
      </c>
      <c r="P129" s="67" t="s">
        <v>383</v>
      </c>
      <c r="Q129" s="68">
        <v>7240.0</v>
      </c>
      <c r="R129" s="68">
        <v>14482.2</v>
      </c>
      <c r="S129" s="68">
        <v>1.04851128E8</v>
      </c>
      <c r="T129" s="68">
        <v>8388090.0</v>
      </c>
      <c r="U129" s="60">
        <f t="shared" si="2"/>
        <v>113239218</v>
      </c>
      <c r="V129" s="70"/>
      <c r="W129" s="23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</row>
    <row r="130" ht="25.5" customHeight="1">
      <c r="A130" s="55">
        <v>46052.0</v>
      </c>
      <c r="B130" s="56" t="s">
        <v>382</v>
      </c>
      <c r="C130" s="56" t="s">
        <v>50</v>
      </c>
      <c r="D130" s="58" t="s">
        <v>49</v>
      </c>
      <c r="E130" s="58" t="s">
        <v>70</v>
      </c>
      <c r="F130" s="56" t="s">
        <v>71</v>
      </c>
      <c r="G130" s="81">
        <v>1000.0</v>
      </c>
      <c r="H130" s="62">
        <v>18291.0</v>
      </c>
      <c r="I130" s="64">
        <v>1.8291E7</v>
      </c>
      <c r="J130" s="64">
        <v>1463280.0</v>
      </c>
      <c r="K130" s="64">
        <v>1.975428E7</v>
      </c>
      <c r="L130" s="65" t="s">
        <v>384</v>
      </c>
      <c r="M130" s="65" t="str">
        <f>VLOOKUP(L130,'Đơn đặt'!$C$3:$E$275,2,0)</f>
        <v>12-01-TS</v>
      </c>
      <c r="N130" s="65" t="str">
        <f>VLOOKUP(L130,'Đơn đặt'!$C$3:$E$275,3,0)</f>
        <v>05-2026/TS-AVP/ĐĐH</v>
      </c>
      <c r="O130" s="66">
        <v>46052.0</v>
      </c>
      <c r="P130" s="67" t="s">
        <v>383</v>
      </c>
      <c r="Q130" s="68">
        <v>1000.0</v>
      </c>
      <c r="R130" s="76">
        <v>14482.2</v>
      </c>
      <c r="S130" s="77">
        <v>1.44822E7</v>
      </c>
      <c r="T130" s="77">
        <v>1158576.0</v>
      </c>
      <c r="U130" s="60">
        <f t="shared" si="2"/>
        <v>15640776</v>
      </c>
      <c r="V130" s="70"/>
      <c r="W130" s="23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</row>
    <row r="131" ht="25.5" customHeight="1">
      <c r="A131" s="55">
        <v>46053.0</v>
      </c>
      <c r="B131" s="56" t="s">
        <v>306</v>
      </c>
      <c r="C131" s="56" t="s">
        <v>48</v>
      </c>
      <c r="D131" s="58" t="s">
        <v>47</v>
      </c>
      <c r="E131" s="58" t="s">
        <v>70</v>
      </c>
      <c r="F131" s="56" t="s">
        <v>71</v>
      </c>
      <c r="G131" s="60">
        <v>7260.0</v>
      </c>
      <c r="H131" s="62">
        <v>18291.0</v>
      </c>
      <c r="I131" s="64">
        <v>1.3279266E8</v>
      </c>
      <c r="J131" s="64">
        <v>1.0623413E7</v>
      </c>
      <c r="K131" s="64">
        <v>1.43416073E8</v>
      </c>
      <c r="L131" s="65" t="s">
        <v>269</v>
      </c>
      <c r="M131" s="65" t="str">
        <f>VLOOKUP(L131,'Đơn đặt'!$C$3:$E$275,2,0)</f>
        <v>12-01-TS</v>
      </c>
      <c r="N131" s="65" t="str">
        <f>VLOOKUP(L131,'Đơn đặt'!$C$3:$E$275,3,0)</f>
        <v>09-2026/TS-AVP/ĐĐH</v>
      </c>
      <c r="O131" s="66">
        <v>46053.0</v>
      </c>
      <c r="P131" s="93" t="s">
        <v>389</v>
      </c>
      <c r="Q131" s="90">
        <v>7260.0</v>
      </c>
      <c r="R131" s="68">
        <v>14482.2</v>
      </c>
      <c r="S131" s="60">
        <f>ROUND(Q131*R131,0)</f>
        <v>105140772</v>
      </c>
      <c r="T131" s="60">
        <v>8411261.0</v>
      </c>
      <c r="U131" s="60">
        <f t="shared" si="2"/>
        <v>113552033</v>
      </c>
      <c r="V131" s="70"/>
      <c r="W131" s="23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</row>
    <row r="132" ht="25.5" customHeight="1">
      <c r="A132" s="55">
        <v>46053.0</v>
      </c>
      <c r="B132" s="56" t="s">
        <v>306</v>
      </c>
      <c r="C132" s="56" t="s">
        <v>50</v>
      </c>
      <c r="D132" s="58" t="s">
        <v>49</v>
      </c>
      <c r="E132" s="58" t="s">
        <v>70</v>
      </c>
      <c r="F132" s="56" t="s">
        <v>71</v>
      </c>
      <c r="G132" s="81">
        <v>1000.0</v>
      </c>
      <c r="H132" s="62">
        <v>18291.0</v>
      </c>
      <c r="I132" s="64">
        <v>1.8291E7</v>
      </c>
      <c r="J132" s="64">
        <v>1463280.0</v>
      </c>
      <c r="K132" s="64">
        <v>1.975428E7</v>
      </c>
      <c r="L132" s="65" t="s">
        <v>392</v>
      </c>
      <c r="M132" s="65" t="str">
        <f>VLOOKUP(L132,'Đơn đặt'!$C$3:$E$275,2,0)</f>
        <v>12-01-TS</v>
      </c>
      <c r="N132" s="65" t="str">
        <f>VLOOKUP(L132,'Đơn đặt'!$C$3:$E$275,3,0)</f>
        <v>09-2026/TS-AVP/ĐĐH</v>
      </c>
      <c r="O132" s="66">
        <v>46053.0</v>
      </c>
      <c r="P132" s="67" t="s">
        <v>393</v>
      </c>
      <c r="Q132" s="68">
        <v>1000.0</v>
      </c>
      <c r="R132" s="76">
        <v>14482.2</v>
      </c>
      <c r="S132" s="77">
        <v>1.44822E7</v>
      </c>
      <c r="T132" s="77">
        <v>1158576.0</v>
      </c>
      <c r="U132" s="60">
        <f t="shared" si="2"/>
        <v>15640776</v>
      </c>
      <c r="V132" s="70"/>
      <c r="W132" s="23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</row>
    <row r="133" ht="25.5" customHeight="1">
      <c r="A133" s="55">
        <v>46053.0</v>
      </c>
      <c r="B133" s="56" t="s">
        <v>298</v>
      </c>
      <c r="C133" s="56" t="s">
        <v>59</v>
      </c>
      <c r="D133" s="58" t="s">
        <v>105</v>
      </c>
      <c r="E133" s="58" t="s">
        <v>70</v>
      </c>
      <c r="F133" s="56" t="s">
        <v>71</v>
      </c>
      <c r="G133" s="60">
        <v>3690.0</v>
      </c>
      <c r="H133" s="62">
        <v>18291.0</v>
      </c>
      <c r="I133" s="64">
        <v>6.749379E7</v>
      </c>
      <c r="J133" s="64">
        <v>5399503.0</v>
      </c>
      <c r="K133" s="64">
        <v>7.2893293E7</v>
      </c>
      <c r="L133" s="65" t="s">
        <v>313</v>
      </c>
      <c r="M133" s="65" t="str">
        <f>VLOOKUP(L133,'Đơn đặt'!$C$3:$E$275,2,0)</f>
        <v>12-01-TS</v>
      </c>
      <c r="N133" s="65" t="str">
        <f>VLOOKUP(L133,'Đơn đặt'!$C$3:$E$275,3,0)</f>
        <v>03-2026/TS-AVP/ĐĐH</v>
      </c>
      <c r="O133" s="66">
        <v>46053.0</v>
      </c>
      <c r="P133" s="67" t="s">
        <v>394</v>
      </c>
      <c r="Q133" s="68">
        <v>3690.0</v>
      </c>
      <c r="R133" s="76">
        <v>16258.2</v>
      </c>
      <c r="S133" s="68">
        <v>5.9992758E7</v>
      </c>
      <c r="T133" s="77">
        <v>4799421.0</v>
      </c>
      <c r="U133" s="60">
        <f t="shared" si="2"/>
        <v>64792179</v>
      </c>
      <c r="V133" s="70"/>
      <c r="W133" s="23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</row>
    <row r="134" ht="25.5" customHeight="1">
      <c r="A134" s="55">
        <v>46053.0</v>
      </c>
      <c r="B134" s="56" t="s">
        <v>307</v>
      </c>
      <c r="C134" s="56" t="s">
        <v>14</v>
      </c>
      <c r="D134" s="58" t="s">
        <v>13</v>
      </c>
      <c r="E134" s="58" t="s">
        <v>70</v>
      </c>
      <c r="F134" s="56" t="s">
        <v>71</v>
      </c>
      <c r="G134" s="60">
        <v>850.0</v>
      </c>
      <c r="H134" s="62">
        <v>19404.0</v>
      </c>
      <c r="I134" s="64">
        <v>1.64934E7</v>
      </c>
      <c r="J134" s="64">
        <v>1319472.0</v>
      </c>
      <c r="K134" s="64">
        <v>1.7812872E7</v>
      </c>
      <c r="L134" s="65" t="s">
        <v>291</v>
      </c>
      <c r="M134" s="65" t="str">
        <f>VLOOKUP(L134,'Đơn đặt'!$C$3:$E$275,2,0)</f>
        <v>12-01-TS</v>
      </c>
      <c r="N134" s="65" t="str">
        <f>VLOOKUP(L134,'Đơn đặt'!$C$3:$E$275,3,0)</f>
        <v>03-2026/TS-AVP/ĐĐH</v>
      </c>
      <c r="O134" s="66">
        <v>46053.0</v>
      </c>
      <c r="P134" s="67" t="s">
        <v>395</v>
      </c>
      <c r="Q134" s="68">
        <v>850.0</v>
      </c>
      <c r="R134" s="76">
        <v>17776.8</v>
      </c>
      <c r="S134" s="77">
        <v>1.511028E7</v>
      </c>
      <c r="T134" s="77">
        <v>1208822.0</v>
      </c>
      <c r="U134" s="60">
        <f t="shared" si="2"/>
        <v>16319102</v>
      </c>
      <c r="V134" s="70"/>
      <c r="W134" s="23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</row>
    <row r="135" ht="25.5" customHeight="1">
      <c r="A135" s="55">
        <v>46053.0</v>
      </c>
      <c r="B135" s="56" t="s">
        <v>307</v>
      </c>
      <c r="C135" s="56" t="s">
        <v>21</v>
      </c>
      <c r="D135" s="58" t="s">
        <v>371</v>
      </c>
      <c r="E135" s="58" t="s">
        <v>70</v>
      </c>
      <c r="F135" s="56" t="s">
        <v>71</v>
      </c>
      <c r="G135" s="60">
        <v>700.0</v>
      </c>
      <c r="H135" s="62">
        <v>18029.0</v>
      </c>
      <c r="I135" s="64">
        <v>1.26203E7</v>
      </c>
      <c r="J135" s="64">
        <v>1009624.0</v>
      </c>
      <c r="K135" s="64">
        <v>1.3629924E7</v>
      </c>
      <c r="L135" s="65" t="s">
        <v>372</v>
      </c>
      <c r="M135" s="65" t="str">
        <f>VLOOKUP(L135,'Đơn đặt'!$C$3:$E$275,2,0)</f>
        <v>01-14-TS</v>
      </c>
      <c r="N135" s="65" t="str">
        <f>VLOOKUP(L135,'Đơn đặt'!$C$3:$E$275,3,0)</f>
        <v>12-2026/TS-AVP/ĐĐH</v>
      </c>
      <c r="O135" s="66">
        <v>46053.0</v>
      </c>
      <c r="P135" s="67" t="s">
        <v>395</v>
      </c>
      <c r="Q135" s="68">
        <v>700.0</v>
      </c>
      <c r="R135" s="76">
        <v>17469.8</v>
      </c>
      <c r="S135" s="77">
        <v>1.222886E7</v>
      </c>
      <c r="T135" s="77">
        <v>978309.0</v>
      </c>
      <c r="U135" s="60">
        <f t="shared" si="2"/>
        <v>13207169</v>
      </c>
      <c r="V135" s="70"/>
      <c r="W135" s="23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</row>
    <row r="136" ht="25.5" customHeight="1">
      <c r="A136" s="55">
        <v>46053.0</v>
      </c>
      <c r="B136" s="56" t="s">
        <v>307</v>
      </c>
      <c r="C136" s="56" t="s">
        <v>206</v>
      </c>
      <c r="D136" s="58" t="s">
        <v>207</v>
      </c>
      <c r="E136" s="58" t="s">
        <v>70</v>
      </c>
      <c r="F136" s="56" t="s">
        <v>71</v>
      </c>
      <c r="G136" s="81">
        <v>2000.0</v>
      </c>
      <c r="H136" s="62">
        <v>18134.0</v>
      </c>
      <c r="I136" s="64">
        <v>3.6268E7</v>
      </c>
      <c r="J136" s="64">
        <v>2901440.0</v>
      </c>
      <c r="K136" s="64">
        <v>3.916944E7</v>
      </c>
      <c r="L136" s="65" t="s">
        <v>208</v>
      </c>
      <c r="M136" s="65" t="str">
        <f>VLOOKUP(L136,'Đơn đặt'!$C$3:$E$275,2,0)</f>
        <v>11-04-TS</v>
      </c>
      <c r="N136" s="65" t="str">
        <f>VLOOKUP(L136,'Đơn đặt'!$C$3:$E$275,3,0)</f>
        <v>01-2026/TS-AVP/ĐĐH</v>
      </c>
      <c r="O136" s="66">
        <v>46053.0</v>
      </c>
      <c r="P136" s="67" t="s">
        <v>395</v>
      </c>
      <c r="Q136" s="68">
        <v>2000.0</v>
      </c>
      <c r="R136" s="76">
        <v>17202.8</v>
      </c>
      <c r="S136" s="77">
        <v>3.44056E7</v>
      </c>
      <c r="T136" s="77">
        <v>2752448.0</v>
      </c>
      <c r="U136" s="60">
        <f t="shared" si="2"/>
        <v>37158048</v>
      </c>
      <c r="V136" s="70"/>
      <c r="W136" s="23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</row>
    <row r="137" ht="25.5" customHeight="1">
      <c r="A137" s="55">
        <v>46053.0</v>
      </c>
      <c r="B137" s="56" t="s">
        <v>307</v>
      </c>
      <c r="C137" s="56" t="s">
        <v>119</v>
      </c>
      <c r="D137" s="58" t="s">
        <v>120</v>
      </c>
      <c r="E137" s="58" t="s">
        <v>70</v>
      </c>
      <c r="F137" s="56" t="s">
        <v>71</v>
      </c>
      <c r="G137" s="60">
        <v>1200.0</v>
      </c>
      <c r="H137" s="62">
        <v>19310.0</v>
      </c>
      <c r="I137" s="64">
        <v>2.3172E7</v>
      </c>
      <c r="J137" s="64">
        <v>1853760.0</v>
      </c>
      <c r="K137" s="64">
        <v>2.502576E7</v>
      </c>
      <c r="L137" s="65" t="s">
        <v>228</v>
      </c>
      <c r="M137" s="65" t="str">
        <f>VLOOKUP(L137,'Đơn đặt'!$C$3:$E$275,2,0)</f>
        <v>01-02-TS</v>
      </c>
      <c r="N137" s="65" t="str">
        <f>VLOOKUP(L137,'Đơn đặt'!$C$3:$E$275,3,0)</f>
        <v>04-2026/TS-AVP/ĐĐH</v>
      </c>
      <c r="O137" s="66">
        <v>46053.0</v>
      </c>
      <c r="P137" s="67" t="s">
        <v>395</v>
      </c>
      <c r="Q137" s="68">
        <v>1200.0</v>
      </c>
      <c r="R137" s="76">
        <v>17438.0</v>
      </c>
      <c r="S137" s="77">
        <v>2.09256E7</v>
      </c>
      <c r="T137" s="77">
        <v>1674048.0</v>
      </c>
      <c r="U137" s="60">
        <f t="shared" si="2"/>
        <v>22599648</v>
      </c>
      <c r="V137" s="70"/>
      <c r="W137" s="23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</row>
    <row r="138" ht="25.5" customHeight="1">
      <c r="A138" s="55">
        <v>46055.0</v>
      </c>
      <c r="B138" s="56" t="s">
        <v>290</v>
      </c>
      <c r="C138" s="56" t="s">
        <v>59</v>
      </c>
      <c r="D138" s="58" t="s">
        <v>105</v>
      </c>
      <c r="E138" s="58" t="s">
        <v>70</v>
      </c>
      <c r="F138" s="56" t="s">
        <v>71</v>
      </c>
      <c r="G138" s="60">
        <v>2330.0</v>
      </c>
      <c r="H138" s="62">
        <v>18291.0</v>
      </c>
      <c r="I138" s="64">
        <v>4.261803E7</v>
      </c>
      <c r="J138" s="64">
        <v>3409442.0</v>
      </c>
      <c r="K138" s="64">
        <v>4.6027472E7</v>
      </c>
      <c r="L138" s="65" t="s">
        <v>313</v>
      </c>
      <c r="M138" s="65" t="str">
        <f>VLOOKUP(L138,'Đơn đặt'!$C$3:$E$275,2,0)</f>
        <v>12-01-TS</v>
      </c>
      <c r="N138" s="65" t="str">
        <f>VLOOKUP(L138,'Đơn đặt'!$C$3:$E$275,3,0)</f>
        <v>03-2026/TS-AVP/ĐĐH</v>
      </c>
      <c r="O138" s="66">
        <v>46055.0</v>
      </c>
      <c r="P138" s="67" t="s">
        <v>396</v>
      </c>
      <c r="Q138" s="68">
        <v>2330.0</v>
      </c>
      <c r="R138" s="76">
        <v>16258.2</v>
      </c>
      <c r="S138" s="68">
        <v>3.7881606E7</v>
      </c>
      <c r="T138" s="77">
        <v>3030528.0</v>
      </c>
      <c r="U138" s="60">
        <f t="shared" si="2"/>
        <v>40912134</v>
      </c>
      <c r="V138" s="70"/>
      <c r="W138" s="23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</row>
    <row r="139" ht="25.5" customHeight="1">
      <c r="A139" s="55">
        <v>46055.0</v>
      </c>
      <c r="B139" s="56" t="s">
        <v>290</v>
      </c>
      <c r="C139" s="56" t="s">
        <v>14</v>
      </c>
      <c r="D139" s="58" t="s">
        <v>13</v>
      </c>
      <c r="E139" s="58" t="s">
        <v>70</v>
      </c>
      <c r="F139" s="56" t="s">
        <v>71</v>
      </c>
      <c r="G139" s="60">
        <v>1150.0</v>
      </c>
      <c r="H139" s="62">
        <v>19404.0</v>
      </c>
      <c r="I139" s="64">
        <v>2.23146E7</v>
      </c>
      <c r="J139" s="64">
        <v>1785168.0</v>
      </c>
      <c r="K139" s="64">
        <v>2.4099768E7</v>
      </c>
      <c r="L139" s="65" t="s">
        <v>291</v>
      </c>
      <c r="M139" s="65" t="str">
        <f>VLOOKUP(L139,'Đơn đặt'!$C$3:$E$275,2,0)</f>
        <v>12-01-TS</v>
      </c>
      <c r="N139" s="65" t="str">
        <f>VLOOKUP(L139,'Đơn đặt'!$C$3:$E$275,3,0)</f>
        <v>03-2026/TS-AVP/ĐĐH</v>
      </c>
      <c r="O139" s="66">
        <v>46055.0</v>
      </c>
      <c r="P139" s="67" t="s">
        <v>396</v>
      </c>
      <c r="Q139" s="68">
        <v>1150.0</v>
      </c>
      <c r="R139" s="76">
        <v>17776.8</v>
      </c>
      <c r="S139" s="77">
        <v>2.044332E7</v>
      </c>
      <c r="T139" s="77">
        <v>1635466.0</v>
      </c>
      <c r="U139" s="60">
        <f t="shared" si="2"/>
        <v>22078786</v>
      </c>
      <c r="V139" s="70"/>
      <c r="W139" s="23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</row>
    <row r="140" ht="25.5" customHeight="1">
      <c r="A140" s="78">
        <v>46055.0</v>
      </c>
      <c r="B140" s="79" t="s">
        <v>397</v>
      </c>
      <c r="C140" s="56" t="s">
        <v>92</v>
      </c>
      <c r="D140" s="80" t="s">
        <v>93</v>
      </c>
      <c r="E140" s="58" t="s">
        <v>94</v>
      </c>
      <c r="F140" s="56" t="s">
        <v>95</v>
      </c>
      <c r="G140" s="81">
        <v>52.0</v>
      </c>
      <c r="H140" s="62">
        <v>502740.0</v>
      </c>
      <c r="I140" s="64">
        <v>2.614248E7</v>
      </c>
      <c r="J140" s="64">
        <v>2091398.0</v>
      </c>
      <c r="K140" s="64">
        <v>2.8233878E7</v>
      </c>
      <c r="L140" s="65" t="s">
        <v>398</v>
      </c>
      <c r="M140" s="65" t="str">
        <f>VLOOKUP(L140,'Đơn đặt'!$C$3:$E$275,2,0)</f>
        <v>09-01/2026</v>
      </c>
      <c r="N140" s="65" t="str">
        <f>VLOOKUP(L140,'Đơn đặt'!$C$3:$E$275,3,0)</f>
        <v>Hàng SX</v>
      </c>
      <c r="O140" s="78" t="s">
        <v>98</v>
      </c>
      <c r="P140" s="92"/>
      <c r="Q140" s="81">
        <f>G140</f>
        <v>52</v>
      </c>
      <c r="R140" s="92"/>
      <c r="S140" s="83">
        <f>ROUND(Q140*R140,0)</f>
        <v>0</v>
      </c>
      <c r="T140" s="83">
        <f>ROUND(S140*0.08,0)</f>
        <v>0</v>
      </c>
      <c r="U140" s="81">
        <f t="shared" si="2"/>
        <v>0</v>
      </c>
      <c r="V140" s="70"/>
      <c r="W140" s="23"/>
      <c r="X140" s="69"/>
      <c r="Y140" s="69"/>
      <c r="Z140" s="69"/>
      <c r="AA140" s="69"/>
      <c r="AB140" s="69"/>
      <c r="AC140" s="69"/>
      <c r="AD140" s="69"/>
      <c r="AE140" s="69"/>
      <c r="AF140" s="69"/>
      <c r="AG140" s="69"/>
      <c r="AH140" s="69"/>
      <c r="AI140" s="69"/>
      <c r="AJ140" s="69"/>
      <c r="AK140" s="69"/>
      <c r="AL140" s="69"/>
      <c r="AM140" s="69"/>
      <c r="AN140" s="69"/>
      <c r="AO140" s="69"/>
    </row>
    <row r="141" ht="25.5" customHeight="1">
      <c r="A141" s="55">
        <v>46055.0</v>
      </c>
      <c r="B141" s="56" t="s">
        <v>399</v>
      </c>
      <c r="C141" s="56" t="s">
        <v>48</v>
      </c>
      <c r="D141" s="58" t="s">
        <v>47</v>
      </c>
      <c r="E141" s="58" t="s">
        <v>70</v>
      </c>
      <c r="F141" s="56" t="s">
        <v>71</v>
      </c>
      <c r="G141" s="60">
        <v>4000.0</v>
      </c>
      <c r="H141" s="62">
        <v>18291.0</v>
      </c>
      <c r="I141" s="64">
        <v>7.3164E7</v>
      </c>
      <c r="J141" s="64">
        <v>5853120.0</v>
      </c>
      <c r="K141" s="64">
        <v>7.901712E7</v>
      </c>
      <c r="L141" s="65" t="s">
        <v>269</v>
      </c>
      <c r="M141" s="65" t="str">
        <f>VLOOKUP(L141,'Đơn đặt'!$C$3:$E$275,2,0)</f>
        <v>12-01-TS</v>
      </c>
      <c r="N141" s="65" t="str">
        <f>VLOOKUP(L141,'Đơn đặt'!$C$3:$E$275,3,0)</f>
        <v>09-2026/TS-AVP/ĐĐH</v>
      </c>
      <c r="O141" s="66">
        <v>46055.0</v>
      </c>
      <c r="P141" s="67" t="s">
        <v>400</v>
      </c>
      <c r="Q141" s="68">
        <v>4000.0</v>
      </c>
      <c r="R141" s="68">
        <v>14482.2</v>
      </c>
      <c r="S141" s="68">
        <v>5.79288E7</v>
      </c>
      <c r="T141" s="68">
        <v>4634304.0</v>
      </c>
      <c r="U141" s="60">
        <f t="shared" si="2"/>
        <v>62563104</v>
      </c>
      <c r="V141" s="70"/>
      <c r="W141" s="23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</row>
    <row r="142" ht="25.5" customHeight="1">
      <c r="A142" s="55">
        <v>46055.0</v>
      </c>
      <c r="B142" s="56" t="s">
        <v>399</v>
      </c>
      <c r="C142" s="56" t="s">
        <v>50</v>
      </c>
      <c r="D142" s="58" t="s">
        <v>49</v>
      </c>
      <c r="E142" s="58" t="s">
        <v>70</v>
      </c>
      <c r="F142" s="56" t="s">
        <v>71</v>
      </c>
      <c r="G142" s="81">
        <v>2000.0</v>
      </c>
      <c r="H142" s="62">
        <v>18291.0</v>
      </c>
      <c r="I142" s="64">
        <v>3.6582E7</v>
      </c>
      <c r="J142" s="64">
        <v>2926560.0</v>
      </c>
      <c r="K142" s="64">
        <v>3.950856E7</v>
      </c>
      <c r="L142" s="65" t="s">
        <v>392</v>
      </c>
      <c r="M142" s="65" t="str">
        <f>VLOOKUP(L142,'Đơn đặt'!$C$3:$E$275,2,0)</f>
        <v>12-01-TS</v>
      </c>
      <c r="N142" s="65" t="str">
        <f>VLOOKUP(L142,'Đơn đặt'!$C$3:$E$275,3,0)</f>
        <v>09-2026/TS-AVP/ĐĐH</v>
      </c>
      <c r="O142" s="66">
        <v>46055.0</v>
      </c>
      <c r="P142" s="67" t="s">
        <v>400</v>
      </c>
      <c r="Q142" s="68">
        <v>2000.0</v>
      </c>
      <c r="R142" s="76">
        <v>14482.2</v>
      </c>
      <c r="S142" s="77">
        <v>2.89644E7</v>
      </c>
      <c r="T142" s="77">
        <v>2317152.0</v>
      </c>
      <c r="U142" s="60">
        <f t="shared" si="2"/>
        <v>31281552</v>
      </c>
      <c r="V142" s="70"/>
      <c r="W142" s="23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</row>
    <row r="143" ht="25.5" customHeight="1">
      <c r="A143" s="55">
        <v>46055.0</v>
      </c>
      <c r="B143" s="56" t="s">
        <v>399</v>
      </c>
      <c r="C143" s="56" t="s">
        <v>77</v>
      </c>
      <c r="D143" s="58" t="s">
        <v>78</v>
      </c>
      <c r="E143" s="58" t="s">
        <v>70</v>
      </c>
      <c r="F143" s="56" t="s">
        <v>71</v>
      </c>
      <c r="G143" s="60">
        <v>1000.0</v>
      </c>
      <c r="H143" s="62">
        <v>21777.0</v>
      </c>
      <c r="I143" s="64">
        <v>2.1777E7</v>
      </c>
      <c r="J143" s="64">
        <v>1742160.0</v>
      </c>
      <c r="K143" s="64">
        <v>2.351916E7</v>
      </c>
      <c r="L143" s="65" t="s">
        <v>322</v>
      </c>
      <c r="M143" s="65" t="str">
        <f>VLOOKUP(L143,'Đơn đặt'!$C$3:$E$275,2,0)</f>
        <v>01-13-TS</v>
      </c>
      <c r="N143" s="65" t="str">
        <f>VLOOKUP(L143,'Đơn đặt'!$C$3:$E$275,3,0)</f>
        <v>16-2026/TS-AVP/ĐĐH</v>
      </c>
      <c r="O143" s="66">
        <v>46055.0</v>
      </c>
      <c r="P143" s="67" t="s">
        <v>400</v>
      </c>
      <c r="Q143" s="68">
        <v>1000.0</v>
      </c>
      <c r="R143" s="76">
        <v>19723.4</v>
      </c>
      <c r="S143" s="77">
        <v>1.97234E7</v>
      </c>
      <c r="T143" s="77">
        <v>1577872.0</v>
      </c>
      <c r="U143" s="60">
        <f t="shared" si="2"/>
        <v>21301272</v>
      </c>
      <c r="V143" s="70"/>
      <c r="W143" s="23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</row>
    <row r="144" ht="25.5" customHeight="1">
      <c r="A144" s="55">
        <v>46055.0</v>
      </c>
      <c r="B144" s="56" t="s">
        <v>399</v>
      </c>
      <c r="C144" s="56" t="s">
        <v>309</v>
      </c>
      <c r="D144" s="58" t="s">
        <v>310</v>
      </c>
      <c r="E144" s="58" t="s">
        <v>70</v>
      </c>
      <c r="F144" s="56" t="s">
        <v>71</v>
      </c>
      <c r="G144" s="60">
        <v>200.0</v>
      </c>
      <c r="H144" s="62">
        <v>19016.0</v>
      </c>
      <c r="I144" s="64">
        <v>3803200.0</v>
      </c>
      <c r="J144" s="64">
        <v>304256.0</v>
      </c>
      <c r="K144" s="64">
        <v>4107456.0</v>
      </c>
      <c r="L144" s="65" t="s">
        <v>401</v>
      </c>
      <c r="M144" s="65" t="str">
        <f>VLOOKUP(L144,'Đơn đặt'!$C$3:$E$275,2,0)</f>
        <v>01-14-TS</v>
      </c>
      <c r="N144" s="65" t="str">
        <f>VLOOKUP(L144,'Đơn đặt'!$C$3:$E$275,3,0)</f>
        <v>11-2026/TS-AVP/ĐĐH</v>
      </c>
      <c r="O144" s="66">
        <v>46055.0</v>
      </c>
      <c r="P144" s="67" t="s">
        <v>400</v>
      </c>
      <c r="Q144" s="68">
        <v>200.0</v>
      </c>
      <c r="R144" s="76">
        <v>16971.2</v>
      </c>
      <c r="S144" s="64">
        <f t="shared" ref="S144:S145" si="25">ROUND(Q144*R144,0)</f>
        <v>3394240</v>
      </c>
      <c r="T144" s="64">
        <f t="shared" ref="T144:T145" si="26">ROUND(S144*0.08,0)</f>
        <v>271539</v>
      </c>
      <c r="U144" s="60">
        <f t="shared" si="2"/>
        <v>3665779</v>
      </c>
      <c r="V144" s="70"/>
      <c r="W144" s="23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</row>
    <row r="145" ht="25.5" customHeight="1">
      <c r="A145" s="55">
        <v>46055.0</v>
      </c>
      <c r="B145" s="56" t="s">
        <v>404</v>
      </c>
      <c r="C145" s="56" t="s">
        <v>309</v>
      </c>
      <c r="D145" s="58" t="s">
        <v>310</v>
      </c>
      <c r="E145" s="58" t="s">
        <v>70</v>
      </c>
      <c r="F145" s="56" t="s">
        <v>71</v>
      </c>
      <c r="G145" s="60">
        <v>100.0</v>
      </c>
      <c r="H145" s="62">
        <v>19016.0</v>
      </c>
      <c r="I145" s="64">
        <v>1901600.0</v>
      </c>
      <c r="J145" s="64">
        <v>152128.0</v>
      </c>
      <c r="K145" s="64">
        <v>2053728.0</v>
      </c>
      <c r="L145" s="65" t="s">
        <v>401</v>
      </c>
      <c r="M145" s="65" t="str">
        <f>VLOOKUP(L145,'Đơn đặt'!$C$3:$E$275,2,0)</f>
        <v>01-14-TS</v>
      </c>
      <c r="N145" s="65" t="str">
        <f>VLOOKUP(L145,'Đơn đặt'!$C$3:$E$275,3,0)</f>
        <v>11-2026/TS-AVP/ĐĐH</v>
      </c>
      <c r="O145" s="66">
        <v>46055.0</v>
      </c>
      <c r="P145" s="67" t="s">
        <v>400</v>
      </c>
      <c r="Q145" s="68">
        <v>100.0</v>
      </c>
      <c r="R145" s="76">
        <v>16971.2</v>
      </c>
      <c r="S145" s="64">
        <f t="shared" si="25"/>
        <v>1697120</v>
      </c>
      <c r="T145" s="64">
        <f t="shared" si="26"/>
        <v>135770</v>
      </c>
      <c r="U145" s="60">
        <f t="shared" si="2"/>
        <v>1832890</v>
      </c>
      <c r="V145" s="70"/>
      <c r="W145" s="23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</row>
    <row r="146" ht="25.5" customHeight="1">
      <c r="A146" s="55">
        <v>46055.0</v>
      </c>
      <c r="B146" s="56" t="s">
        <v>405</v>
      </c>
      <c r="C146" s="56" t="s">
        <v>299</v>
      </c>
      <c r="D146" s="58" t="s">
        <v>346</v>
      </c>
      <c r="E146" s="58" t="s">
        <v>70</v>
      </c>
      <c r="F146" s="56" t="s">
        <v>112</v>
      </c>
      <c r="G146" s="60">
        <v>1000.0</v>
      </c>
      <c r="H146" s="62">
        <v>38000.0</v>
      </c>
      <c r="I146" s="64">
        <v>3.8E7</v>
      </c>
      <c r="J146" s="64">
        <v>3040000.0</v>
      </c>
      <c r="K146" s="64">
        <v>4.104E7</v>
      </c>
      <c r="L146" s="65" t="s">
        <v>406</v>
      </c>
      <c r="M146" s="65" t="str">
        <f>VLOOKUP(L146,'Đơn đặt'!$C$3:$E$275,2,0)</f>
        <v>02-10/TS-LP</v>
      </c>
      <c r="N146" s="65" t="str">
        <f>VLOOKUP(L146,'Đơn đặt'!$C$3:$E$275,3,0)</f>
        <v>17-2026/TS-AVP/ĐĐH</v>
      </c>
      <c r="O146" s="66">
        <v>46055.0</v>
      </c>
      <c r="P146" s="67" t="s">
        <v>407</v>
      </c>
      <c r="Q146" s="68">
        <v>1000.0</v>
      </c>
      <c r="R146" s="76">
        <v>34800.0</v>
      </c>
      <c r="S146" s="77">
        <v>3.48E7</v>
      </c>
      <c r="T146" s="77">
        <v>2784000.0</v>
      </c>
      <c r="U146" s="60">
        <f t="shared" si="2"/>
        <v>37584000</v>
      </c>
      <c r="V146" s="70"/>
      <c r="W146" s="23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</row>
    <row r="147" ht="25.5" customHeight="1">
      <c r="A147" s="55">
        <v>46056.0</v>
      </c>
      <c r="B147" s="56" t="s">
        <v>408</v>
      </c>
      <c r="C147" s="56" t="s">
        <v>59</v>
      </c>
      <c r="D147" s="58" t="s">
        <v>105</v>
      </c>
      <c r="E147" s="58" t="s">
        <v>70</v>
      </c>
      <c r="F147" s="56" t="s">
        <v>71</v>
      </c>
      <c r="G147" s="60">
        <v>2670.0</v>
      </c>
      <c r="H147" s="62">
        <v>18291.0</v>
      </c>
      <c r="I147" s="64">
        <v>4.883697E7</v>
      </c>
      <c r="J147" s="64">
        <v>3906958.0</v>
      </c>
      <c r="K147" s="64">
        <v>5.2743928E7</v>
      </c>
      <c r="L147" s="65" t="s">
        <v>313</v>
      </c>
      <c r="M147" s="65" t="str">
        <f>VLOOKUP(L147,'Đơn đặt'!$C$3:$E$275,2,0)</f>
        <v>12-01-TS</v>
      </c>
      <c r="N147" s="65" t="str">
        <f>VLOOKUP(L147,'Đơn đặt'!$C$3:$E$275,3,0)</f>
        <v>03-2026/TS-AVP/ĐĐH</v>
      </c>
      <c r="O147" s="66">
        <v>46056.0</v>
      </c>
      <c r="P147" s="67" t="s">
        <v>411</v>
      </c>
      <c r="Q147" s="68">
        <v>2670.0</v>
      </c>
      <c r="R147" s="76">
        <v>16258.2</v>
      </c>
      <c r="S147" s="68">
        <v>4.3409394E7</v>
      </c>
      <c r="T147" s="77">
        <v>3472752.0</v>
      </c>
      <c r="U147" s="60">
        <f t="shared" si="2"/>
        <v>46882146</v>
      </c>
      <c r="V147" s="70"/>
      <c r="W147" s="23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</row>
    <row r="148" ht="25.5" customHeight="1">
      <c r="A148" s="55">
        <v>46056.0</v>
      </c>
      <c r="B148" s="56" t="s">
        <v>408</v>
      </c>
      <c r="C148" s="56" t="s">
        <v>14</v>
      </c>
      <c r="D148" s="58" t="s">
        <v>13</v>
      </c>
      <c r="E148" s="58" t="s">
        <v>70</v>
      </c>
      <c r="F148" s="56" t="s">
        <v>71</v>
      </c>
      <c r="G148" s="60">
        <v>850.0</v>
      </c>
      <c r="H148" s="62">
        <v>19404.0</v>
      </c>
      <c r="I148" s="64">
        <v>1.64934E7</v>
      </c>
      <c r="J148" s="64">
        <v>1319472.0</v>
      </c>
      <c r="K148" s="64">
        <v>1.7812872E7</v>
      </c>
      <c r="L148" s="65" t="s">
        <v>291</v>
      </c>
      <c r="M148" s="65" t="str">
        <f>VLOOKUP(L148,'Đơn đặt'!$C$3:$E$275,2,0)</f>
        <v>12-01-TS</v>
      </c>
      <c r="N148" s="65" t="str">
        <f>VLOOKUP(L148,'Đơn đặt'!$C$3:$E$275,3,0)</f>
        <v>03-2026/TS-AVP/ĐĐH</v>
      </c>
      <c r="O148" s="66">
        <v>46056.0</v>
      </c>
      <c r="P148" s="67" t="s">
        <v>411</v>
      </c>
      <c r="Q148" s="68">
        <v>850.0</v>
      </c>
      <c r="R148" s="76">
        <v>17776.8</v>
      </c>
      <c r="S148" s="77">
        <v>1.511028E7</v>
      </c>
      <c r="T148" s="77">
        <v>1208822.0</v>
      </c>
      <c r="U148" s="60">
        <f t="shared" si="2"/>
        <v>16319102</v>
      </c>
      <c r="V148" s="70"/>
      <c r="W148" s="23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</row>
    <row r="149" ht="25.5" customHeight="1">
      <c r="A149" s="55">
        <v>46056.0</v>
      </c>
      <c r="B149" s="56" t="s">
        <v>408</v>
      </c>
      <c r="C149" s="56" t="s">
        <v>206</v>
      </c>
      <c r="D149" s="58" t="s">
        <v>207</v>
      </c>
      <c r="E149" s="58" t="s">
        <v>70</v>
      </c>
      <c r="F149" s="56" t="s">
        <v>71</v>
      </c>
      <c r="G149" s="81">
        <v>500.0</v>
      </c>
      <c r="H149" s="62">
        <v>18134.0</v>
      </c>
      <c r="I149" s="64">
        <v>9067000.0</v>
      </c>
      <c r="J149" s="64">
        <v>725360.0</v>
      </c>
      <c r="K149" s="64">
        <v>9792360.0</v>
      </c>
      <c r="L149" s="65" t="s">
        <v>208</v>
      </c>
      <c r="M149" s="65" t="str">
        <f>VLOOKUP(L149,'Đơn đặt'!$C$3:$E$275,2,0)</f>
        <v>11-04-TS</v>
      </c>
      <c r="N149" s="65" t="str">
        <f>VLOOKUP(L149,'Đơn đặt'!$C$3:$E$275,3,0)</f>
        <v>01-2026/TS-AVP/ĐĐH</v>
      </c>
      <c r="O149" s="66">
        <v>46056.0</v>
      </c>
      <c r="P149" s="67" t="s">
        <v>411</v>
      </c>
      <c r="Q149" s="68">
        <v>500.0</v>
      </c>
      <c r="R149" s="76">
        <v>17202.8</v>
      </c>
      <c r="S149" s="77">
        <v>8601400.0</v>
      </c>
      <c r="T149" s="77">
        <v>688112.0</v>
      </c>
      <c r="U149" s="60">
        <f t="shared" si="2"/>
        <v>9289512</v>
      </c>
      <c r="V149" s="70"/>
      <c r="W149" s="23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</row>
    <row r="150" ht="25.5" customHeight="1">
      <c r="A150" s="55">
        <v>46056.0</v>
      </c>
      <c r="B150" s="56" t="s">
        <v>412</v>
      </c>
      <c r="C150" s="56" t="s">
        <v>48</v>
      </c>
      <c r="D150" s="58" t="s">
        <v>47</v>
      </c>
      <c r="E150" s="58" t="s">
        <v>70</v>
      </c>
      <c r="F150" s="56" t="s">
        <v>71</v>
      </c>
      <c r="G150" s="60">
        <v>5000.0</v>
      </c>
      <c r="H150" s="62">
        <v>18291.0</v>
      </c>
      <c r="I150" s="64">
        <v>9.1455E7</v>
      </c>
      <c r="J150" s="64">
        <v>7316400.0</v>
      </c>
      <c r="K150" s="64">
        <v>9.87714E7</v>
      </c>
      <c r="L150" s="65" t="s">
        <v>269</v>
      </c>
      <c r="M150" s="65" t="str">
        <f>VLOOKUP(L150,'Đơn đặt'!$C$3:$E$275,2,0)</f>
        <v>12-01-TS</v>
      </c>
      <c r="N150" s="65" t="str">
        <f>VLOOKUP(L150,'Đơn đặt'!$C$3:$E$275,3,0)</f>
        <v>09-2026/TS-AVP/ĐĐH</v>
      </c>
      <c r="O150" s="66">
        <v>46056.0</v>
      </c>
      <c r="P150" s="67" t="s">
        <v>413</v>
      </c>
      <c r="Q150" s="68">
        <v>5000.0</v>
      </c>
      <c r="R150" s="68">
        <v>14482.2</v>
      </c>
      <c r="S150" s="68">
        <v>7.2411E7</v>
      </c>
      <c r="T150" s="68">
        <v>5792880.0</v>
      </c>
      <c r="U150" s="60">
        <f t="shared" si="2"/>
        <v>78203880</v>
      </c>
      <c r="V150" s="70"/>
      <c r="W150" s="23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</row>
    <row r="151" ht="25.5" customHeight="1">
      <c r="A151" s="55">
        <v>46056.0</v>
      </c>
      <c r="B151" s="56" t="s">
        <v>412</v>
      </c>
      <c r="C151" s="56" t="s">
        <v>50</v>
      </c>
      <c r="D151" s="58" t="s">
        <v>49</v>
      </c>
      <c r="E151" s="58" t="s">
        <v>70</v>
      </c>
      <c r="F151" s="56" t="s">
        <v>71</v>
      </c>
      <c r="G151" s="81">
        <v>2000.0</v>
      </c>
      <c r="H151" s="62">
        <v>18291.0</v>
      </c>
      <c r="I151" s="64">
        <v>3.6582E7</v>
      </c>
      <c r="J151" s="64">
        <v>2926560.0</v>
      </c>
      <c r="K151" s="64">
        <v>3.950856E7</v>
      </c>
      <c r="L151" s="65" t="s">
        <v>392</v>
      </c>
      <c r="M151" s="65" t="str">
        <f>VLOOKUP(L151,'Đơn đặt'!$C$3:$E$275,2,0)</f>
        <v>12-01-TS</v>
      </c>
      <c r="N151" s="65" t="str">
        <f>VLOOKUP(L151,'Đơn đặt'!$C$3:$E$275,3,0)</f>
        <v>09-2026/TS-AVP/ĐĐH</v>
      </c>
      <c r="O151" s="66">
        <v>46056.0</v>
      </c>
      <c r="P151" s="67" t="s">
        <v>413</v>
      </c>
      <c r="Q151" s="68">
        <v>2000.0</v>
      </c>
      <c r="R151" s="76">
        <v>14482.2</v>
      </c>
      <c r="S151" s="77">
        <v>2.89644E7</v>
      </c>
      <c r="T151" s="77">
        <v>2317152.0</v>
      </c>
      <c r="U151" s="60">
        <f t="shared" si="2"/>
        <v>31281552</v>
      </c>
      <c r="V151" s="70"/>
      <c r="W151" s="23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</row>
    <row r="152" ht="25.5" customHeight="1">
      <c r="A152" s="55">
        <v>46056.0</v>
      </c>
      <c r="B152" s="56" t="s">
        <v>416</v>
      </c>
      <c r="C152" s="56" t="s">
        <v>17</v>
      </c>
      <c r="D152" s="58" t="s">
        <v>16</v>
      </c>
      <c r="E152" s="58" t="s">
        <v>70</v>
      </c>
      <c r="F152" s="56" t="s">
        <v>71</v>
      </c>
      <c r="G152" s="60">
        <v>860.0</v>
      </c>
      <c r="H152" s="62">
        <v>18365.0</v>
      </c>
      <c r="I152" s="64">
        <v>1.57939E7</v>
      </c>
      <c r="J152" s="64">
        <v>1263512.0</v>
      </c>
      <c r="K152" s="64">
        <v>1.7057412E7</v>
      </c>
      <c r="L152" s="65" t="s">
        <v>417</v>
      </c>
      <c r="M152" s="65" t="str">
        <f>VLOOKUP(L152,'Đơn đặt'!$C$3:$E$275,2,0)</f>
        <v>01-14-TS</v>
      </c>
      <c r="N152" s="65" t="str">
        <f>VLOOKUP(L152,'Đơn đặt'!$C$3:$E$275,3,0)</f>
        <v>12-2026/TS-AVP/ĐĐH</v>
      </c>
      <c r="O152" s="66">
        <v>46056.0</v>
      </c>
      <c r="P152" s="67" t="s">
        <v>418</v>
      </c>
      <c r="Q152" s="68">
        <v>860.0</v>
      </c>
      <c r="R152" s="76">
        <v>17569.0</v>
      </c>
      <c r="S152" s="77">
        <v>1.510934E7</v>
      </c>
      <c r="T152" s="77">
        <v>1208747.0</v>
      </c>
      <c r="U152" s="60">
        <f t="shared" si="2"/>
        <v>16318087</v>
      </c>
      <c r="V152" s="70"/>
      <c r="W152" s="23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</row>
    <row r="153" ht="25.5" customHeight="1">
      <c r="A153" s="55">
        <v>46056.0</v>
      </c>
      <c r="B153" s="56" t="s">
        <v>416</v>
      </c>
      <c r="C153" s="56" t="s">
        <v>206</v>
      </c>
      <c r="D153" s="58" t="s">
        <v>207</v>
      </c>
      <c r="E153" s="58" t="s">
        <v>70</v>
      </c>
      <c r="F153" s="56" t="s">
        <v>71</v>
      </c>
      <c r="G153" s="81">
        <v>1200.0</v>
      </c>
      <c r="H153" s="62">
        <v>18134.0</v>
      </c>
      <c r="I153" s="64">
        <v>2.17608E7</v>
      </c>
      <c r="J153" s="64">
        <v>1740864.0</v>
      </c>
      <c r="K153" s="64">
        <v>2.3501664E7</v>
      </c>
      <c r="L153" s="65" t="s">
        <v>208</v>
      </c>
      <c r="M153" s="65" t="str">
        <f>VLOOKUP(L153,'Đơn đặt'!$C$3:$E$275,2,0)</f>
        <v>11-04-TS</v>
      </c>
      <c r="N153" s="65" t="str">
        <f>VLOOKUP(L153,'Đơn đặt'!$C$3:$E$275,3,0)</f>
        <v>01-2026/TS-AVP/ĐĐH</v>
      </c>
      <c r="O153" s="66">
        <v>46056.0</v>
      </c>
      <c r="P153" s="67" t="s">
        <v>418</v>
      </c>
      <c r="Q153" s="68">
        <v>1200.0</v>
      </c>
      <c r="R153" s="76">
        <v>17202.8</v>
      </c>
      <c r="S153" s="77">
        <v>2.064336E7</v>
      </c>
      <c r="T153" s="77">
        <v>1651469.0</v>
      </c>
      <c r="U153" s="60">
        <f t="shared" si="2"/>
        <v>22294829</v>
      </c>
      <c r="V153" s="70"/>
      <c r="W153" s="23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</row>
    <row r="154" ht="25.5" customHeight="1">
      <c r="A154" s="55">
        <v>46057.0</v>
      </c>
      <c r="B154" s="56" t="s">
        <v>421</v>
      </c>
      <c r="C154" s="56" t="s">
        <v>59</v>
      </c>
      <c r="D154" s="58" t="s">
        <v>105</v>
      </c>
      <c r="E154" s="58" t="s">
        <v>70</v>
      </c>
      <c r="F154" s="56" t="s">
        <v>71</v>
      </c>
      <c r="G154" s="60">
        <v>3000.0</v>
      </c>
      <c r="H154" s="62">
        <v>18291.0</v>
      </c>
      <c r="I154" s="64">
        <v>5.4873E7</v>
      </c>
      <c r="J154" s="64">
        <v>4389840.0</v>
      </c>
      <c r="K154" s="64">
        <v>5.926284E7</v>
      </c>
      <c r="L154" s="65" t="s">
        <v>313</v>
      </c>
      <c r="M154" s="65" t="str">
        <f>VLOOKUP(L154,'Đơn đặt'!$C$3:$E$275,2,0)</f>
        <v>12-01-TS</v>
      </c>
      <c r="N154" s="65" t="str">
        <f>VLOOKUP(L154,'Đơn đặt'!$C$3:$E$275,3,0)</f>
        <v>03-2026/TS-AVP/ĐĐH</v>
      </c>
      <c r="O154" s="66">
        <v>46057.0</v>
      </c>
      <c r="P154" s="67" t="s">
        <v>422</v>
      </c>
      <c r="Q154" s="68">
        <v>3000.0</v>
      </c>
      <c r="R154" s="76">
        <v>16258.2</v>
      </c>
      <c r="S154" s="68">
        <v>4.87746E7</v>
      </c>
      <c r="T154" s="77">
        <v>3901968.0</v>
      </c>
      <c r="U154" s="60">
        <f t="shared" si="2"/>
        <v>52676568</v>
      </c>
      <c r="V154" s="70"/>
      <c r="W154" s="23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</row>
    <row r="155" ht="25.5" customHeight="1">
      <c r="A155" s="55">
        <v>46057.0</v>
      </c>
      <c r="B155" s="56" t="s">
        <v>421</v>
      </c>
      <c r="C155" s="56" t="s">
        <v>206</v>
      </c>
      <c r="D155" s="58" t="s">
        <v>207</v>
      </c>
      <c r="E155" s="58" t="s">
        <v>70</v>
      </c>
      <c r="F155" s="56" t="s">
        <v>71</v>
      </c>
      <c r="G155" s="81">
        <v>1300.0</v>
      </c>
      <c r="H155" s="62">
        <v>18134.0</v>
      </c>
      <c r="I155" s="64">
        <v>2.35742E7</v>
      </c>
      <c r="J155" s="64">
        <v>1885936.0</v>
      </c>
      <c r="K155" s="64">
        <v>2.5460136E7</v>
      </c>
      <c r="L155" s="65" t="s">
        <v>208</v>
      </c>
      <c r="M155" s="65" t="str">
        <f>VLOOKUP(L155,'Đơn đặt'!$C$3:$E$275,2,0)</f>
        <v>11-04-TS</v>
      </c>
      <c r="N155" s="65" t="str">
        <f>VLOOKUP(L155,'Đơn đặt'!$C$3:$E$275,3,0)</f>
        <v>01-2026/TS-AVP/ĐĐH</v>
      </c>
      <c r="O155" s="66">
        <v>46057.0</v>
      </c>
      <c r="P155" s="67" t="s">
        <v>422</v>
      </c>
      <c r="Q155" s="68">
        <v>1300.0</v>
      </c>
      <c r="R155" s="76">
        <v>17202.8</v>
      </c>
      <c r="S155" s="77">
        <v>2.236364E7</v>
      </c>
      <c r="T155" s="77">
        <v>1789091.0</v>
      </c>
      <c r="U155" s="60">
        <f t="shared" si="2"/>
        <v>24152731</v>
      </c>
      <c r="V155" s="70"/>
      <c r="W155" s="23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</row>
    <row r="156" ht="25.5" customHeight="1">
      <c r="A156" s="55">
        <v>46057.0</v>
      </c>
      <c r="B156" s="56" t="s">
        <v>320</v>
      </c>
      <c r="C156" s="56" t="s">
        <v>48</v>
      </c>
      <c r="D156" s="58" t="s">
        <v>47</v>
      </c>
      <c r="E156" s="58" t="s">
        <v>70</v>
      </c>
      <c r="F156" s="56" t="s">
        <v>71</v>
      </c>
      <c r="G156" s="60">
        <v>5000.0</v>
      </c>
      <c r="H156" s="62">
        <v>18291.0</v>
      </c>
      <c r="I156" s="64">
        <v>9.1455E7</v>
      </c>
      <c r="J156" s="64">
        <v>7316400.0</v>
      </c>
      <c r="K156" s="64">
        <v>9.87714E7</v>
      </c>
      <c r="L156" s="65" t="s">
        <v>269</v>
      </c>
      <c r="M156" s="65" t="str">
        <f>VLOOKUP(L156,'Đơn đặt'!$C$3:$E$275,2,0)</f>
        <v>12-01-TS</v>
      </c>
      <c r="N156" s="65" t="str">
        <f>VLOOKUP(L156,'Đơn đặt'!$C$3:$E$275,3,0)</f>
        <v>09-2026/TS-AVP/ĐĐH</v>
      </c>
      <c r="O156" s="66">
        <v>46057.0</v>
      </c>
      <c r="P156" s="67" t="s">
        <v>426</v>
      </c>
      <c r="Q156" s="68">
        <v>5000.0</v>
      </c>
      <c r="R156" s="68">
        <v>14482.2</v>
      </c>
      <c r="S156" s="68">
        <v>7.2411E7</v>
      </c>
      <c r="T156" s="68">
        <v>5792880.0</v>
      </c>
      <c r="U156" s="60">
        <f t="shared" si="2"/>
        <v>78203880</v>
      </c>
      <c r="V156" s="70"/>
      <c r="W156" s="23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</row>
    <row r="157" ht="25.5" customHeight="1">
      <c r="A157" s="55">
        <v>46057.0</v>
      </c>
      <c r="B157" s="56" t="s">
        <v>320</v>
      </c>
      <c r="C157" s="56" t="s">
        <v>50</v>
      </c>
      <c r="D157" s="58" t="s">
        <v>49</v>
      </c>
      <c r="E157" s="58" t="s">
        <v>70</v>
      </c>
      <c r="F157" s="56" t="s">
        <v>71</v>
      </c>
      <c r="G157" s="81">
        <v>2000.0</v>
      </c>
      <c r="H157" s="62">
        <v>18291.0</v>
      </c>
      <c r="I157" s="64">
        <v>3.6582E7</v>
      </c>
      <c r="J157" s="64">
        <v>2926560.0</v>
      </c>
      <c r="K157" s="64">
        <v>3.950856E7</v>
      </c>
      <c r="L157" s="65" t="s">
        <v>392</v>
      </c>
      <c r="M157" s="65" t="str">
        <f>VLOOKUP(L157,'Đơn đặt'!$C$3:$E$275,2,0)</f>
        <v>12-01-TS</v>
      </c>
      <c r="N157" s="65" t="str">
        <f>VLOOKUP(L157,'Đơn đặt'!$C$3:$E$275,3,0)</f>
        <v>09-2026/TS-AVP/ĐĐH</v>
      </c>
      <c r="O157" s="66">
        <v>46057.0</v>
      </c>
      <c r="P157" s="67" t="s">
        <v>426</v>
      </c>
      <c r="Q157" s="68">
        <v>2000.0</v>
      </c>
      <c r="R157" s="76">
        <v>14482.2</v>
      </c>
      <c r="S157" s="77">
        <v>2.89644E7</v>
      </c>
      <c r="T157" s="77">
        <v>2317152.0</v>
      </c>
      <c r="U157" s="60">
        <f t="shared" si="2"/>
        <v>31281552</v>
      </c>
      <c r="V157" s="70"/>
      <c r="W157" s="23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</row>
    <row r="158" ht="25.5" customHeight="1">
      <c r="A158" s="78">
        <v>46058.0</v>
      </c>
      <c r="B158" s="79" t="s">
        <v>321</v>
      </c>
      <c r="C158" s="56" t="s">
        <v>92</v>
      </c>
      <c r="D158" s="80" t="s">
        <v>93</v>
      </c>
      <c r="E158" s="58" t="s">
        <v>94</v>
      </c>
      <c r="F158" s="56" t="s">
        <v>95</v>
      </c>
      <c r="G158" s="81">
        <v>260.0</v>
      </c>
      <c r="H158" s="62">
        <v>502740.0</v>
      </c>
      <c r="I158" s="64">
        <v>1.307124E8</v>
      </c>
      <c r="J158" s="64">
        <v>1.0456992E7</v>
      </c>
      <c r="K158" s="64">
        <v>1.41169392E8</v>
      </c>
      <c r="L158" s="65" t="s">
        <v>398</v>
      </c>
      <c r="M158" s="65" t="str">
        <f>VLOOKUP(L158,'Đơn đặt'!$C$3:$E$275,2,0)</f>
        <v>09-01/2026</v>
      </c>
      <c r="N158" s="65" t="str">
        <f>VLOOKUP(L158,'Đơn đặt'!$C$3:$E$275,3,0)</f>
        <v>Hàng SX</v>
      </c>
      <c r="O158" s="78" t="s">
        <v>98</v>
      </c>
      <c r="P158" s="92"/>
      <c r="Q158" s="81">
        <f t="shared" ref="Q158:Q159" si="27">G158</f>
        <v>260</v>
      </c>
      <c r="R158" s="92"/>
      <c r="S158" s="83">
        <f t="shared" ref="S158:S159" si="28">ROUND(Q158*R158,0)</f>
        <v>0</v>
      </c>
      <c r="T158" s="83">
        <f t="shared" ref="T158:T159" si="29">ROUND(S158*0.08,0)</f>
        <v>0</v>
      </c>
      <c r="U158" s="81">
        <f t="shared" si="2"/>
        <v>0</v>
      </c>
      <c r="V158" s="70"/>
      <c r="W158" s="23"/>
      <c r="X158" s="69"/>
      <c r="Y158" s="69"/>
      <c r="Z158" s="69"/>
      <c r="AA158" s="69"/>
      <c r="AB158" s="69"/>
      <c r="AC158" s="69"/>
      <c r="AD158" s="69"/>
      <c r="AE158" s="69"/>
      <c r="AF158" s="69"/>
      <c r="AG158" s="69"/>
      <c r="AH158" s="69"/>
      <c r="AI158" s="69"/>
      <c r="AJ158" s="69"/>
      <c r="AK158" s="69"/>
      <c r="AL158" s="69"/>
      <c r="AM158" s="69"/>
      <c r="AN158" s="69"/>
      <c r="AO158" s="69"/>
    </row>
    <row r="159" ht="25.5" customHeight="1">
      <c r="A159" s="78">
        <v>46058.0</v>
      </c>
      <c r="B159" s="79" t="s">
        <v>430</v>
      </c>
      <c r="C159" s="56" t="s">
        <v>148</v>
      </c>
      <c r="D159" s="80" t="s">
        <v>149</v>
      </c>
      <c r="E159" s="58" t="s">
        <v>248</v>
      </c>
      <c r="F159" s="56" t="s">
        <v>95</v>
      </c>
      <c r="G159" s="81">
        <v>900.0</v>
      </c>
      <c r="H159" s="62">
        <v>366012.0</v>
      </c>
      <c r="I159" s="64">
        <v>3.294108E8</v>
      </c>
      <c r="J159" s="64">
        <v>2.6352864E7</v>
      </c>
      <c r="K159" s="64">
        <v>3.55763664E8</v>
      </c>
      <c r="L159" s="91" t="s">
        <v>251</v>
      </c>
      <c r="M159" s="65">
        <f>VLOOKUP(L159,'Đơn đặt'!$C$3:$E$275,2,0)</f>
        <v>82</v>
      </c>
      <c r="N159" s="65" t="str">
        <f>VLOOKUP(L159,'Đơn đặt'!$C$3:$E$275,3,0)</f>
        <v>Hàng SX</v>
      </c>
      <c r="O159" s="78" t="s">
        <v>98</v>
      </c>
      <c r="P159" s="92"/>
      <c r="Q159" s="81">
        <f t="shared" si="27"/>
        <v>900</v>
      </c>
      <c r="R159" s="92"/>
      <c r="S159" s="83">
        <f t="shared" si="28"/>
        <v>0</v>
      </c>
      <c r="T159" s="83">
        <f t="shared" si="29"/>
        <v>0</v>
      </c>
      <c r="U159" s="81">
        <f t="shared" si="2"/>
        <v>0</v>
      </c>
      <c r="V159" s="70"/>
      <c r="W159" s="23"/>
      <c r="X159" s="69"/>
      <c r="Y159" s="69"/>
      <c r="Z159" s="69"/>
      <c r="AA159" s="69"/>
      <c r="AB159" s="69"/>
      <c r="AC159" s="69"/>
      <c r="AD159" s="69"/>
      <c r="AE159" s="69"/>
      <c r="AF159" s="69"/>
      <c r="AG159" s="69"/>
      <c r="AH159" s="69"/>
      <c r="AI159" s="69"/>
      <c r="AJ159" s="69"/>
      <c r="AK159" s="69"/>
      <c r="AL159" s="69"/>
      <c r="AM159" s="69"/>
      <c r="AN159" s="69"/>
      <c r="AO159" s="69"/>
    </row>
    <row r="160" ht="25.5" customHeight="1">
      <c r="A160" s="55">
        <v>46058.0</v>
      </c>
      <c r="B160" s="56" t="s">
        <v>432</v>
      </c>
      <c r="C160" s="56" t="s">
        <v>77</v>
      </c>
      <c r="D160" s="58" t="s">
        <v>78</v>
      </c>
      <c r="E160" s="58" t="s">
        <v>70</v>
      </c>
      <c r="F160" s="56" t="s">
        <v>71</v>
      </c>
      <c r="G160" s="60">
        <v>1500.0</v>
      </c>
      <c r="H160" s="62">
        <v>21777.0</v>
      </c>
      <c r="I160" s="64">
        <v>3.26655E7</v>
      </c>
      <c r="J160" s="64">
        <v>2613240.0</v>
      </c>
      <c r="K160" s="64">
        <v>3.527874E7</v>
      </c>
      <c r="L160" s="65" t="s">
        <v>322</v>
      </c>
      <c r="M160" s="65" t="str">
        <f>VLOOKUP(L160,'Đơn đặt'!$C$3:$E$275,2,0)</f>
        <v>01-13-TS</v>
      </c>
      <c r="N160" s="65" t="str">
        <f>VLOOKUP(L160,'Đơn đặt'!$C$3:$E$275,3,0)</f>
        <v>16-2026/TS-AVP/ĐĐH</v>
      </c>
      <c r="O160" s="66">
        <v>46058.0</v>
      </c>
      <c r="P160" s="67" t="s">
        <v>433</v>
      </c>
      <c r="Q160" s="68">
        <v>1500.0</v>
      </c>
      <c r="R160" s="76">
        <v>19723.4</v>
      </c>
      <c r="S160" s="77">
        <v>2.95851E7</v>
      </c>
      <c r="T160" s="77">
        <v>2366808.0</v>
      </c>
      <c r="U160" s="60">
        <f t="shared" si="2"/>
        <v>31951908</v>
      </c>
      <c r="V160" s="70"/>
      <c r="W160" s="23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</row>
    <row r="161" ht="25.5" customHeight="1">
      <c r="A161" s="55">
        <v>46058.0</v>
      </c>
      <c r="B161" s="56" t="s">
        <v>434</v>
      </c>
      <c r="C161" s="56" t="s">
        <v>59</v>
      </c>
      <c r="D161" s="58" t="s">
        <v>105</v>
      </c>
      <c r="E161" s="58" t="s">
        <v>70</v>
      </c>
      <c r="F161" s="56" t="s">
        <v>71</v>
      </c>
      <c r="G161" s="60">
        <v>2000.0</v>
      </c>
      <c r="H161" s="62">
        <v>18291.0</v>
      </c>
      <c r="I161" s="64">
        <v>3.6582E7</v>
      </c>
      <c r="J161" s="64">
        <v>2926560.0</v>
      </c>
      <c r="K161" s="64">
        <v>3.950856E7</v>
      </c>
      <c r="L161" s="65" t="s">
        <v>313</v>
      </c>
      <c r="M161" s="65" t="str">
        <f>VLOOKUP(L161,'Đơn đặt'!$C$3:$E$275,2,0)</f>
        <v>12-01-TS</v>
      </c>
      <c r="N161" s="65" t="str">
        <f>VLOOKUP(L161,'Đơn đặt'!$C$3:$E$275,3,0)</f>
        <v>03-2026/TS-AVP/ĐĐH</v>
      </c>
      <c r="O161" s="66">
        <v>46058.0</v>
      </c>
      <c r="P161" s="67" t="s">
        <v>435</v>
      </c>
      <c r="Q161" s="68">
        <v>2000.0</v>
      </c>
      <c r="R161" s="76">
        <v>16258.2</v>
      </c>
      <c r="S161" s="68">
        <v>3.25164E7</v>
      </c>
      <c r="T161" s="77">
        <v>2601312.0</v>
      </c>
      <c r="U161" s="60">
        <f t="shared" si="2"/>
        <v>35117712</v>
      </c>
      <c r="V161" s="70"/>
      <c r="W161" s="23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</row>
    <row r="162" ht="25.5" customHeight="1">
      <c r="A162" s="55">
        <v>46058.0</v>
      </c>
      <c r="B162" s="56" t="s">
        <v>434</v>
      </c>
      <c r="C162" s="56" t="s">
        <v>206</v>
      </c>
      <c r="D162" s="58" t="s">
        <v>207</v>
      </c>
      <c r="E162" s="58" t="s">
        <v>70</v>
      </c>
      <c r="F162" s="56" t="s">
        <v>71</v>
      </c>
      <c r="G162" s="81">
        <v>2430.0</v>
      </c>
      <c r="H162" s="62">
        <v>18134.0</v>
      </c>
      <c r="I162" s="64">
        <v>4.406562E7</v>
      </c>
      <c r="J162" s="64">
        <v>3525250.0</v>
      </c>
      <c r="K162" s="64">
        <v>4.759087E7</v>
      </c>
      <c r="L162" s="65" t="s">
        <v>208</v>
      </c>
      <c r="M162" s="65" t="str">
        <f>VLOOKUP(L162,'Đơn đặt'!$C$3:$E$275,2,0)</f>
        <v>11-04-TS</v>
      </c>
      <c r="N162" s="65" t="str">
        <f>VLOOKUP(L162,'Đơn đặt'!$C$3:$E$275,3,0)</f>
        <v>01-2026/TS-AVP/ĐĐH</v>
      </c>
      <c r="O162" s="66">
        <v>46058.0</v>
      </c>
      <c r="P162" s="67" t="s">
        <v>435</v>
      </c>
      <c r="Q162" s="68">
        <v>2430.0</v>
      </c>
      <c r="R162" s="76">
        <v>17202.8</v>
      </c>
      <c r="S162" s="77">
        <v>4.1802804E7</v>
      </c>
      <c r="T162" s="77">
        <v>3344224.0</v>
      </c>
      <c r="U162" s="60">
        <f t="shared" si="2"/>
        <v>45147028</v>
      </c>
      <c r="V162" s="70"/>
      <c r="W162" s="23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</row>
    <row r="163" ht="25.5" customHeight="1">
      <c r="A163" s="55">
        <v>46058.0</v>
      </c>
      <c r="B163" s="56" t="s">
        <v>438</v>
      </c>
      <c r="C163" s="56" t="s">
        <v>48</v>
      </c>
      <c r="D163" s="58" t="s">
        <v>47</v>
      </c>
      <c r="E163" s="58" t="s">
        <v>70</v>
      </c>
      <c r="F163" s="56" t="s">
        <v>71</v>
      </c>
      <c r="G163" s="60">
        <v>5000.0</v>
      </c>
      <c r="H163" s="62">
        <v>18291.0</v>
      </c>
      <c r="I163" s="64">
        <v>9.1455E7</v>
      </c>
      <c r="J163" s="64">
        <v>7316400.0</v>
      </c>
      <c r="K163" s="64">
        <v>9.87714E7</v>
      </c>
      <c r="L163" s="65" t="s">
        <v>269</v>
      </c>
      <c r="M163" s="65" t="str">
        <f>VLOOKUP(L163,'Đơn đặt'!$C$3:$E$275,2,0)</f>
        <v>12-01-TS</v>
      </c>
      <c r="N163" s="65" t="str">
        <f>VLOOKUP(L163,'Đơn đặt'!$C$3:$E$275,3,0)</f>
        <v>09-2026/TS-AVP/ĐĐH</v>
      </c>
      <c r="O163" s="66">
        <v>46058.0</v>
      </c>
      <c r="P163" s="93" t="s">
        <v>439</v>
      </c>
      <c r="Q163" s="68">
        <v>5000.0</v>
      </c>
      <c r="R163" s="68">
        <v>14482.2</v>
      </c>
      <c r="S163" s="60">
        <f t="shared" ref="S163:S166" si="30">ROUND(Q163*R163,0)</f>
        <v>72411000</v>
      </c>
      <c r="T163" s="60">
        <v>5792881.0</v>
      </c>
      <c r="U163" s="60">
        <f t="shared" si="2"/>
        <v>78203881</v>
      </c>
      <c r="V163" s="70"/>
      <c r="W163" s="23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</row>
    <row r="164" ht="25.5" customHeight="1">
      <c r="A164" s="55">
        <v>46058.0</v>
      </c>
      <c r="B164" s="56" t="s">
        <v>438</v>
      </c>
      <c r="C164" s="56" t="s">
        <v>50</v>
      </c>
      <c r="D164" s="58" t="s">
        <v>49</v>
      </c>
      <c r="E164" s="58" t="s">
        <v>70</v>
      </c>
      <c r="F164" s="56" t="s">
        <v>71</v>
      </c>
      <c r="G164" s="81">
        <v>2000.0</v>
      </c>
      <c r="H164" s="62">
        <v>18291.0</v>
      </c>
      <c r="I164" s="64">
        <v>3.6582E7</v>
      </c>
      <c r="J164" s="64">
        <v>2926560.0</v>
      </c>
      <c r="K164" s="64">
        <v>3.950856E7</v>
      </c>
      <c r="L164" s="65" t="s">
        <v>392</v>
      </c>
      <c r="M164" s="65" t="str">
        <f>VLOOKUP(L164,'Đơn đặt'!$C$3:$E$275,2,0)</f>
        <v>12-01-TS</v>
      </c>
      <c r="N164" s="65" t="str">
        <f>VLOOKUP(L164,'Đơn đặt'!$C$3:$E$275,3,0)</f>
        <v>09-2026/TS-AVP/ĐĐH</v>
      </c>
      <c r="O164" s="66">
        <v>46058.0</v>
      </c>
      <c r="P164" s="93" t="s">
        <v>441</v>
      </c>
      <c r="Q164" s="68">
        <v>2000.0</v>
      </c>
      <c r="R164" s="76">
        <v>14482.2</v>
      </c>
      <c r="S164" s="77">
        <f t="shared" si="30"/>
        <v>28964400</v>
      </c>
      <c r="T164" s="77">
        <f>S164*0.08</f>
        <v>2317152</v>
      </c>
      <c r="U164" s="60">
        <f t="shared" si="2"/>
        <v>31281552</v>
      </c>
      <c r="V164" s="70"/>
      <c r="W164" s="23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</row>
    <row r="165" ht="25.5" customHeight="1">
      <c r="A165" s="78">
        <v>46059.0</v>
      </c>
      <c r="B165" s="79" t="s">
        <v>332</v>
      </c>
      <c r="C165" s="79" t="s">
        <v>110</v>
      </c>
      <c r="D165" s="80" t="s">
        <v>444</v>
      </c>
      <c r="E165" s="58" t="s">
        <v>70</v>
      </c>
      <c r="F165" s="79" t="s">
        <v>112</v>
      </c>
      <c r="G165" s="81">
        <v>4680.0</v>
      </c>
      <c r="H165" s="82">
        <v>28000.0</v>
      </c>
      <c r="I165" s="83">
        <v>1.3104E8</v>
      </c>
      <c r="J165" s="83">
        <v>1.04832E7</v>
      </c>
      <c r="K165" s="83">
        <v>1.415232E8</v>
      </c>
      <c r="L165" s="84" t="s">
        <v>445</v>
      </c>
      <c r="M165" s="84" t="str">
        <f>VLOOKUP(L165,'Đơn đặt'!$C$3:$E$275,2,0)</f>
        <v>01/09/TSC-LT</v>
      </c>
      <c r="N165" s="84" t="str">
        <f>VLOOKUP(L165,'Đơn đặt'!$C$3:$E$275,3,0)</f>
        <v>Hàng SX</v>
      </c>
      <c r="O165" s="78" t="s">
        <v>98</v>
      </c>
      <c r="P165" s="92"/>
      <c r="Q165" s="81">
        <f>G165</f>
        <v>4680</v>
      </c>
      <c r="R165" s="92"/>
      <c r="S165" s="83">
        <f t="shared" si="30"/>
        <v>0</v>
      </c>
      <c r="T165" s="83">
        <f>ROUND(S165*0.08,0)</f>
        <v>0</v>
      </c>
      <c r="U165" s="81">
        <f t="shared" si="2"/>
        <v>0</v>
      </c>
      <c r="V165" s="70"/>
      <c r="W165" s="23"/>
      <c r="X165" s="69"/>
      <c r="Y165" s="69"/>
      <c r="Z165" s="69"/>
      <c r="AA165" s="69"/>
      <c r="AB165" s="69"/>
      <c r="AC165" s="69"/>
      <c r="AD165" s="69"/>
      <c r="AE165" s="69"/>
      <c r="AF165" s="69"/>
      <c r="AG165" s="69"/>
      <c r="AH165" s="69"/>
      <c r="AI165" s="69"/>
      <c r="AJ165" s="69"/>
      <c r="AK165" s="69"/>
      <c r="AL165" s="69"/>
      <c r="AM165" s="69"/>
      <c r="AN165" s="69"/>
      <c r="AO165" s="69"/>
    </row>
    <row r="166" ht="25.5" customHeight="1">
      <c r="A166" s="55">
        <v>46059.0</v>
      </c>
      <c r="B166" s="56" t="s">
        <v>327</v>
      </c>
      <c r="C166" s="56" t="s">
        <v>50</v>
      </c>
      <c r="D166" s="58" t="s">
        <v>49</v>
      </c>
      <c r="E166" s="58" t="s">
        <v>70</v>
      </c>
      <c r="F166" s="56" t="s">
        <v>71</v>
      </c>
      <c r="G166" s="81">
        <v>5000.0</v>
      </c>
      <c r="H166" s="62">
        <v>18291.0</v>
      </c>
      <c r="I166" s="64">
        <v>9.1455E7</v>
      </c>
      <c r="J166" s="64">
        <v>7316400.0</v>
      </c>
      <c r="K166" s="64">
        <v>9.87714E7</v>
      </c>
      <c r="L166" s="65" t="s">
        <v>392</v>
      </c>
      <c r="M166" s="65" t="str">
        <f>VLOOKUP(L166,'Đơn đặt'!$C$3:$E$275,2,0)</f>
        <v>12-01-TS</v>
      </c>
      <c r="N166" s="65" t="str">
        <f>VLOOKUP(L166,'Đơn đặt'!$C$3:$E$275,3,0)</f>
        <v>09-2026/TS-AVP/ĐĐH</v>
      </c>
      <c r="O166" s="66">
        <v>46059.0</v>
      </c>
      <c r="P166" s="93" t="s">
        <v>447</v>
      </c>
      <c r="Q166" s="68">
        <v>5000.0</v>
      </c>
      <c r="R166" s="76">
        <v>14482.2</v>
      </c>
      <c r="S166" s="77">
        <f t="shared" si="30"/>
        <v>72411000</v>
      </c>
      <c r="T166" s="77">
        <f>S166*0.08</f>
        <v>5792880</v>
      </c>
      <c r="U166" s="60">
        <f t="shared" si="2"/>
        <v>78203880</v>
      </c>
      <c r="V166" s="70"/>
      <c r="W166" s="23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</row>
    <row r="167" ht="25.5" customHeight="1">
      <c r="A167" s="55">
        <v>46059.0</v>
      </c>
      <c r="B167" s="56" t="s">
        <v>327</v>
      </c>
      <c r="C167" s="56" t="s">
        <v>77</v>
      </c>
      <c r="D167" s="58" t="s">
        <v>78</v>
      </c>
      <c r="E167" s="58" t="s">
        <v>70</v>
      </c>
      <c r="F167" s="56" t="s">
        <v>71</v>
      </c>
      <c r="G167" s="60">
        <v>1500.0</v>
      </c>
      <c r="H167" s="62">
        <v>21777.0</v>
      </c>
      <c r="I167" s="64">
        <v>3.26655E7</v>
      </c>
      <c r="J167" s="64">
        <v>2613240.0</v>
      </c>
      <c r="K167" s="64">
        <v>3.527874E7</v>
      </c>
      <c r="L167" s="65" t="s">
        <v>322</v>
      </c>
      <c r="M167" s="65" t="str">
        <f>VLOOKUP(L167,'Đơn đặt'!$C$3:$E$275,2,0)</f>
        <v>01-13-TS</v>
      </c>
      <c r="N167" s="65" t="str">
        <f>VLOOKUP(L167,'Đơn đặt'!$C$3:$E$275,3,0)</f>
        <v>16-2026/TS-AVP/ĐĐH</v>
      </c>
      <c r="O167" s="66">
        <v>46059.0</v>
      </c>
      <c r="P167" s="67" t="s">
        <v>449</v>
      </c>
      <c r="Q167" s="68">
        <v>1500.0</v>
      </c>
      <c r="R167" s="76">
        <v>19723.4</v>
      </c>
      <c r="S167" s="77">
        <v>2.95851E7</v>
      </c>
      <c r="T167" s="77">
        <v>2366808.0</v>
      </c>
      <c r="U167" s="60">
        <f t="shared" si="2"/>
        <v>31951908</v>
      </c>
      <c r="V167" s="70"/>
      <c r="W167" s="23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</row>
    <row r="168" ht="25.5" customHeight="1">
      <c r="A168" s="55">
        <v>46059.0</v>
      </c>
      <c r="B168" s="56" t="s">
        <v>450</v>
      </c>
      <c r="C168" s="56" t="s">
        <v>206</v>
      </c>
      <c r="D168" s="58" t="s">
        <v>207</v>
      </c>
      <c r="E168" s="58" t="s">
        <v>70</v>
      </c>
      <c r="F168" s="56" t="s">
        <v>71</v>
      </c>
      <c r="G168" s="60">
        <v>1000.0</v>
      </c>
      <c r="H168" s="62">
        <v>18134.0</v>
      </c>
      <c r="I168" s="64">
        <v>1.8134E7</v>
      </c>
      <c r="J168" s="64">
        <v>1450720.0</v>
      </c>
      <c r="K168" s="64">
        <v>1.958472E7</v>
      </c>
      <c r="L168" s="65" t="s">
        <v>451</v>
      </c>
      <c r="M168" s="65" t="str">
        <f>VLOOKUP(L168,'Đơn đặt'!$C$3:$E$275,2,0)</f>
        <v>01-04-TS</v>
      </c>
      <c r="N168" s="65" t="str">
        <f>VLOOKUP(L168,'Đơn đặt'!$C$3:$E$275,3,0)</f>
        <v>07-2026/TS-AVP/ĐĐH</v>
      </c>
      <c r="O168" s="66">
        <v>46059.0</v>
      </c>
      <c r="P168" s="67" t="s">
        <v>452</v>
      </c>
      <c r="Q168" s="68">
        <v>1000.0</v>
      </c>
      <c r="R168" s="76">
        <v>17202.8</v>
      </c>
      <c r="S168" s="77">
        <v>1.72028E7</v>
      </c>
      <c r="T168" s="77">
        <v>1376224.0</v>
      </c>
      <c r="U168" s="60">
        <f t="shared" si="2"/>
        <v>18579024</v>
      </c>
      <c r="V168" s="70"/>
      <c r="W168" s="23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</row>
    <row r="169" ht="25.5" customHeight="1">
      <c r="A169" s="55">
        <v>46059.0</v>
      </c>
      <c r="B169" s="56" t="s">
        <v>450</v>
      </c>
      <c r="C169" s="56" t="s">
        <v>38</v>
      </c>
      <c r="D169" s="58" t="s">
        <v>36</v>
      </c>
      <c r="E169" s="58" t="s">
        <v>70</v>
      </c>
      <c r="F169" s="56" t="s">
        <v>71</v>
      </c>
      <c r="G169" s="60">
        <v>1000.0</v>
      </c>
      <c r="H169" s="62">
        <v>18953.0</v>
      </c>
      <c r="I169" s="64">
        <v>1.8953E7</v>
      </c>
      <c r="J169" s="64">
        <v>1516240.0</v>
      </c>
      <c r="K169" s="64">
        <v>2.046924E7</v>
      </c>
      <c r="L169" s="65" t="s">
        <v>318</v>
      </c>
      <c r="M169" s="65" t="str">
        <f>VLOOKUP(L169,'Đơn đặt'!$C$3:$E$275,2,0)</f>
        <v>12-01-TS</v>
      </c>
      <c r="N169" s="65" t="str">
        <f>VLOOKUP(L169,'Đơn đặt'!$C$3:$E$275,3,0)</f>
        <v>03-2026/TS-AVP/ĐĐH</v>
      </c>
      <c r="O169" s="66">
        <v>46059.0</v>
      </c>
      <c r="P169" s="67" t="s">
        <v>452</v>
      </c>
      <c r="Q169" s="68">
        <v>1000.0</v>
      </c>
      <c r="R169" s="76">
        <v>18246.6</v>
      </c>
      <c r="S169" s="77">
        <v>1.82466E7</v>
      </c>
      <c r="T169" s="77">
        <v>1459728.0</v>
      </c>
      <c r="U169" s="60">
        <f t="shared" si="2"/>
        <v>19706328</v>
      </c>
      <c r="V169" s="70"/>
      <c r="W169" s="23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</row>
    <row r="170" ht="25.5" customHeight="1">
      <c r="A170" s="55">
        <v>46062.0</v>
      </c>
      <c r="B170" s="56" t="s">
        <v>457</v>
      </c>
      <c r="C170" s="56" t="s">
        <v>119</v>
      </c>
      <c r="D170" s="58" t="s">
        <v>120</v>
      </c>
      <c r="E170" s="58" t="s">
        <v>70</v>
      </c>
      <c r="F170" s="56" t="s">
        <v>71</v>
      </c>
      <c r="G170" s="60">
        <v>880.0</v>
      </c>
      <c r="H170" s="62">
        <v>19310.0</v>
      </c>
      <c r="I170" s="64">
        <v>1.69928E7</v>
      </c>
      <c r="J170" s="64">
        <v>1359424.0</v>
      </c>
      <c r="K170" s="64">
        <v>1.8352224E7</v>
      </c>
      <c r="L170" s="65" t="s">
        <v>228</v>
      </c>
      <c r="M170" s="65" t="str">
        <f>VLOOKUP(L170,'Đơn đặt'!$C$3:$E$275,2,0)</f>
        <v>01-02-TS</v>
      </c>
      <c r="N170" s="65" t="str">
        <f>VLOOKUP(L170,'Đơn đặt'!$C$3:$E$275,3,0)</f>
        <v>04-2026/TS-AVP/ĐĐH</v>
      </c>
      <c r="O170" s="66">
        <v>46062.0</v>
      </c>
      <c r="P170" s="67" t="s">
        <v>458</v>
      </c>
      <c r="Q170" s="68">
        <v>880.0</v>
      </c>
      <c r="R170" s="76">
        <v>17438.0</v>
      </c>
      <c r="S170" s="77">
        <v>1.534544E7</v>
      </c>
      <c r="T170" s="77">
        <v>1227635.0</v>
      </c>
      <c r="U170" s="60">
        <f t="shared" si="2"/>
        <v>16573075</v>
      </c>
      <c r="V170" s="70"/>
      <c r="W170" s="23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</row>
    <row r="171" ht="25.5" customHeight="1">
      <c r="A171" s="55">
        <v>46062.0</v>
      </c>
      <c r="B171" s="56" t="s">
        <v>457</v>
      </c>
      <c r="C171" s="56" t="s">
        <v>206</v>
      </c>
      <c r="D171" s="58" t="s">
        <v>207</v>
      </c>
      <c r="E171" s="58" t="s">
        <v>70</v>
      </c>
      <c r="F171" s="56" t="s">
        <v>71</v>
      </c>
      <c r="G171" s="60">
        <v>2610.0</v>
      </c>
      <c r="H171" s="62">
        <v>18134.0</v>
      </c>
      <c r="I171" s="64">
        <v>4.732974E7</v>
      </c>
      <c r="J171" s="64">
        <v>3786379.0</v>
      </c>
      <c r="K171" s="64">
        <v>5.1116119E7</v>
      </c>
      <c r="L171" s="65" t="s">
        <v>451</v>
      </c>
      <c r="M171" s="65" t="str">
        <f>VLOOKUP(L171,'Đơn đặt'!$C$3:$E$275,2,0)</f>
        <v>01-04-TS</v>
      </c>
      <c r="N171" s="65" t="str">
        <f>VLOOKUP(L171,'Đơn đặt'!$C$3:$E$275,3,0)</f>
        <v>07-2026/TS-AVP/ĐĐH</v>
      </c>
      <c r="O171" s="66">
        <v>46062.0</v>
      </c>
      <c r="P171" s="67" t="s">
        <v>458</v>
      </c>
      <c r="Q171" s="68">
        <v>2610.0</v>
      </c>
      <c r="R171" s="76">
        <v>17202.8</v>
      </c>
      <c r="S171" s="77">
        <v>4.4899308E7</v>
      </c>
      <c r="T171" s="77">
        <v>3591945.0</v>
      </c>
      <c r="U171" s="60">
        <f t="shared" si="2"/>
        <v>48491253</v>
      </c>
      <c r="V171" s="70"/>
      <c r="W171" s="23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</row>
    <row r="172" ht="25.5" customHeight="1">
      <c r="A172" s="55">
        <v>46062.0</v>
      </c>
      <c r="B172" s="56" t="s">
        <v>457</v>
      </c>
      <c r="C172" s="56" t="s">
        <v>329</v>
      </c>
      <c r="D172" s="58" t="s">
        <v>461</v>
      </c>
      <c r="E172" s="58" t="s">
        <v>70</v>
      </c>
      <c r="F172" s="56" t="s">
        <v>71</v>
      </c>
      <c r="G172" s="60">
        <v>610.0</v>
      </c>
      <c r="H172" s="62">
        <v>20024.0</v>
      </c>
      <c r="I172" s="64">
        <v>1.221464E7</v>
      </c>
      <c r="J172" s="64">
        <v>977171.0</v>
      </c>
      <c r="K172" s="64">
        <v>1.3191811E7</v>
      </c>
      <c r="L172" s="65" t="s">
        <v>462</v>
      </c>
      <c r="M172" s="65" t="str">
        <f>VLOOKUP(L172,'Đơn đặt'!$C$3:$E$275,2,0)</f>
        <v>01-14-TS</v>
      </c>
      <c r="N172" s="65" t="str">
        <f>VLOOKUP(L172,'Đơn đặt'!$C$3:$E$275,3,0)</f>
        <v>12-2026/TS-AVP/ĐĐH</v>
      </c>
      <c r="O172" s="66">
        <v>46062.0</v>
      </c>
      <c r="P172" s="67" t="s">
        <v>458</v>
      </c>
      <c r="Q172" s="68">
        <v>610.0</v>
      </c>
      <c r="R172" s="76">
        <v>17900.8</v>
      </c>
      <c r="S172" s="77">
        <v>1.0919488E7</v>
      </c>
      <c r="T172" s="77">
        <v>873559.0</v>
      </c>
      <c r="U172" s="60">
        <f t="shared" si="2"/>
        <v>11793047</v>
      </c>
      <c r="V172" s="70"/>
      <c r="W172" s="23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</row>
    <row r="173" ht="25.5" customHeight="1">
      <c r="A173" s="55">
        <v>46062.0</v>
      </c>
      <c r="B173" s="56" t="s">
        <v>465</v>
      </c>
      <c r="C173" s="56" t="s">
        <v>77</v>
      </c>
      <c r="D173" s="58" t="s">
        <v>78</v>
      </c>
      <c r="E173" s="58" t="s">
        <v>70</v>
      </c>
      <c r="F173" s="56" t="s">
        <v>71</v>
      </c>
      <c r="G173" s="60">
        <v>1685.0</v>
      </c>
      <c r="H173" s="62">
        <v>21777.0</v>
      </c>
      <c r="I173" s="64">
        <v>3.6694245E7</v>
      </c>
      <c r="J173" s="64">
        <v>2935540.0</v>
      </c>
      <c r="K173" s="64">
        <v>3.9629785E7</v>
      </c>
      <c r="L173" s="65" t="s">
        <v>322</v>
      </c>
      <c r="M173" s="65" t="str">
        <f>VLOOKUP(L173,'Đơn đặt'!$C$3:$E$275,2,0)</f>
        <v>01-13-TS</v>
      </c>
      <c r="N173" s="65" t="str">
        <f>VLOOKUP(L173,'Đơn đặt'!$C$3:$E$275,3,0)</f>
        <v>16-2026/TS-AVP/ĐĐH</v>
      </c>
      <c r="O173" s="66">
        <v>46062.0</v>
      </c>
      <c r="P173" s="67" t="s">
        <v>466</v>
      </c>
      <c r="Q173" s="68">
        <v>1685.0</v>
      </c>
      <c r="R173" s="76">
        <v>19723.4</v>
      </c>
      <c r="S173" s="77">
        <v>3.3233929E7</v>
      </c>
      <c r="T173" s="77">
        <v>2658714.0</v>
      </c>
      <c r="U173" s="60">
        <f t="shared" si="2"/>
        <v>35892643</v>
      </c>
      <c r="V173" s="70"/>
      <c r="W173" s="23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</row>
    <row r="174" ht="25.5" customHeight="1">
      <c r="A174" s="55">
        <v>46062.0</v>
      </c>
      <c r="B174" s="56" t="s">
        <v>467</v>
      </c>
      <c r="C174" s="56" t="s">
        <v>38</v>
      </c>
      <c r="D174" s="58" t="s">
        <v>36</v>
      </c>
      <c r="E174" s="58" t="s">
        <v>70</v>
      </c>
      <c r="F174" s="56" t="s">
        <v>71</v>
      </c>
      <c r="G174" s="60">
        <v>1600.0</v>
      </c>
      <c r="H174" s="62">
        <v>18953.0</v>
      </c>
      <c r="I174" s="64">
        <v>3.03248E7</v>
      </c>
      <c r="J174" s="64">
        <v>2425984.0</v>
      </c>
      <c r="K174" s="64">
        <v>3.2750784E7</v>
      </c>
      <c r="L174" s="65" t="s">
        <v>318</v>
      </c>
      <c r="M174" s="65" t="str">
        <f>VLOOKUP(L174,'Đơn đặt'!$C$3:$E$275,2,0)</f>
        <v>12-01-TS</v>
      </c>
      <c r="N174" s="65" t="str">
        <f>VLOOKUP(L174,'Đơn đặt'!$C$3:$E$275,3,0)</f>
        <v>03-2026/TS-AVP/ĐĐH</v>
      </c>
      <c r="O174" s="66">
        <v>46062.0</v>
      </c>
      <c r="P174" s="67" t="s">
        <v>468</v>
      </c>
      <c r="Q174" s="68">
        <v>1600.0</v>
      </c>
      <c r="R174" s="76">
        <v>18246.6</v>
      </c>
      <c r="S174" s="77">
        <v>2.919456E7</v>
      </c>
      <c r="T174" s="77">
        <v>2335565.0</v>
      </c>
      <c r="U174" s="60">
        <f t="shared" si="2"/>
        <v>31530125</v>
      </c>
      <c r="V174" s="70"/>
      <c r="W174" s="23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</row>
    <row r="175" ht="25.5" customHeight="1">
      <c r="A175" s="55">
        <v>46062.0</v>
      </c>
      <c r="B175" s="56" t="s">
        <v>467</v>
      </c>
      <c r="C175" s="56" t="s">
        <v>35</v>
      </c>
      <c r="D175" s="58" t="s">
        <v>34</v>
      </c>
      <c r="E175" s="58" t="s">
        <v>70</v>
      </c>
      <c r="F175" s="56" t="s">
        <v>71</v>
      </c>
      <c r="G175" s="60">
        <v>1500.0</v>
      </c>
      <c r="H175" s="62">
        <v>14900.0</v>
      </c>
      <c r="I175" s="64">
        <v>2.235E7</v>
      </c>
      <c r="J175" s="64">
        <v>1788000.0</v>
      </c>
      <c r="K175" s="64">
        <v>2.4138E7</v>
      </c>
      <c r="L175" s="65" t="s">
        <v>195</v>
      </c>
      <c r="M175" s="65" t="str">
        <f>VLOOKUP(L175,'Đơn đặt'!$C$3:$E$275,2,0)</f>
        <v>12-01-TS</v>
      </c>
      <c r="N175" s="65" t="str">
        <f>VLOOKUP(L175,'Đơn đặt'!$C$3:$E$275,3,0)</f>
        <v>03-2026/TS-AVP/ĐĐH</v>
      </c>
      <c r="O175" s="66">
        <v>46062.0</v>
      </c>
      <c r="P175" s="67" t="s">
        <v>468</v>
      </c>
      <c r="Q175" s="68">
        <v>1500.0</v>
      </c>
      <c r="R175" s="76">
        <v>14140.0</v>
      </c>
      <c r="S175" s="77">
        <v>2.121E7</v>
      </c>
      <c r="T175" s="77">
        <v>1696800.0</v>
      </c>
      <c r="U175" s="60">
        <f t="shared" si="2"/>
        <v>22906800</v>
      </c>
      <c r="V175" s="70"/>
      <c r="W175" s="23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</row>
    <row r="176" ht="25.5" customHeight="1">
      <c r="A176" s="55">
        <v>46062.0</v>
      </c>
      <c r="B176" s="56" t="s">
        <v>467</v>
      </c>
      <c r="C176" s="56" t="s">
        <v>222</v>
      </c>
      <c r="D176" s="58" t="s">
        <v>223</v>
      </c>
      <c r="E176" s="58" t="s">
        <v>70</v>
      </c>
      <c r="F176" s="56" t="s">
        <v>71</v>
      </c>
      <c r="G176" s="60">
        <v>1000.0</v>
      </c>
      <c r="H176" s="62">
        <v>19310.0</v>
      </c>
      <c r="I176" s="64">
        <v>1.931E7</v>
      </c>
      <c r="J176" s="64">
        <v>1544800.0</v>
      </c>
      <c r="K176" s="64">
        <v>2.08548E7</v>
      </c>
      <c r="L176" s="65" t="s">
        <v>471</v>
      </c>
      <c r="M176" s="65" t="str">
        <f>VLOOKUP(L176,'Đơn đặt'!$C$3:$E$275,2,0)</f>
        <v>11-04-TS</v>
      </c>
      <c r="N176" s="65" t="str">
        <f>VLOOKUP(L176,'Đơn đặt'!$C$3:$E$275,3,0)</f>
        <v>01-2026/TS-AVP/ĐĐH</v>
      </c>
      <c r="O176" s="66">
        <v>46062.0</v>
      </c>
      <c r="P176" s="67" t="s">
        <v>468</v>
      </c>
      <c r="Q176" s="68">
        <v>1000.0</v>
      </c>
      <c r="R176" s="76">
        <v>17438.0</v>
      </c>
      <c r="S176" s="77">
        <v>1.7438E7</v>
      </c>
      <c r="T176" s="77">
        <v>1395040.0</v>
      </c>
      <c r="U176" s="60">
        <f t="shared" si="2"/>
        <v>18833040</v>
      </c>
      <c r="V176" s="70"/>
      <c r="W176" s="23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</row>
    <row r="177" ht="25.5" customHeight="1">
      <c r="A177" s="55">
        <v>46062.0</v>
      </c>
      <c r="B177" s="56" t="s">
        <v>467</v>
      </c>
      <c r="C177" s="56" t="s">
        <v>196</v>
      </c>
      <c r="D177" s="58" t="s">
        <v>197</v>
      </c>
      <c r="E177" s="58" t="s">
        <v>70</v>
      </c>
      <c r="F177" s="56" t="s">
        <v>71</v>
      </c>
      <c r="G177" s="60">
        <v>1000.0</v>
      </c>
      <c r="H177" s="62">
        <v>19320.0</v>
      </c>
      <c r="I177" s="64">
        <v>1.932E7</v>
      </c>
      <c r="J177" s="64">
        <v>1545600.0</v>
      </c>
      <c r="K177" s="64">
        <v>2.08656E7</v>
      </c>
      <c r="L177" s="65" t="s">
        <v>240</v>
      </c>
      <c r="M177" s="65" t="str">
        <f>VLOOKUP(L177,'Đơn đặt'!$C$3:$E$275,2,0)</f>
        <v>01-06-TS</v>
      </c>
      <c r="N177" s="65" t="str">
        <f>VLOOKUP(L177,'Đơn đặt'!$C$3:$E$275,3,0)</f>
        <v>08-2026/TS-AVP/ĐĐH</v>
      </c>
      <c r="O177" s="66">
        <v>46062.0</v>
      </c>
      <c r="P177" s="67" t="s">
        <v>468</v>
      </c>
      <c r="Q177" s="68">
        <v>1000.0</v>
      </c>
      <c r="R177" s="76">
        <v>17928.0</v>
      </c>
      <c r="S177" s="77">
        <v>1.7928E7</v>
      </c>
      <c r="T177" s="77">
        <v>1434240.0</v>
      </c>
      <c r="U177" s="60">
        <f t="shared" si="2"/>
        <v>19362240</v>
      </c>
      <c r="V177" s="70"/>
      <c r="W177" s="23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</row>
    <row r="178" ht="25.5" customHeight="1">
      <c r="A178" s="55">
        <v>46062.0</v>
      </c>
      <c r="B178" s="56" t="s">
        <v>472</v>
      </c>
      <c r="C178" s="56" t="s">
        <v>48</v>
      </c>
      <c r="D178" s="58" t="s">
        <v>47</v>
      </c>
      <c r="E178" s="58" t="s">
        <v>70</v>
      </c>
      <c r="F178" s="56" t="s">
        <v>71</v>
      </c>
      <c r="G178" s="60">
        <v>2000.0</v>
      </c>
      <c r="H178" s="62">
        <v>18291.0</v>
      </c>
      <c r="I178" s="64">
        <v>3.6582E7</v>
      </c>
      <c r="J178" s="64">
        <v>2926560.0</v>
      </c>
      <c r="K178" s="64">
        <v>3.950856E7</v>
      </c>
      <c r="L178" s="65" t="s">
        <v>74</v>
      </c>
      <c r="M178" s="65" t="str">
        <f>VLOOKUP(L178,'Đơn đặt'!$C$3:$E$275,2,0)</f>
        <v>11-10-TS</v>
      </c>
      <c r="N178" s="65" t="str">
        <f>VLOOKUP(L178,'Đơn đặt'!$C$3:$E$275,3,0)</f>
        <v>137-2025/TS-AVP/ĐĐH</v>
      </c>
      <c r="O178" s="66">
        <v>46062.0</v>
      </c>
      <c r="P178" s="67" t="s">
        <v>473</v>
      </c>
      <c r="Q178" s="68">
        <v>2000.0</v>
      </c>
      <c r="R178" s="68">
        <v>14482.2</v>
      </c>
      <c r="S178" s="68">
        <v>2.89644E7</v>
      </c>
      <c r="T178" s="68">
        <v>2317152.0</v>
      </c>
      <c r="U178" s="60">
        <f t="shared" si="2"/>
        <v>31281552</v>
      </c>
      <c r="V178" s="70"/>
      <c r="W178" s="23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</row>
    <row r="179" ht="25.5" customHeight="1">
      <c r="A179" s="55">
        <v>46062.0</v>
      </c>
      <c r="B179" s="56" t="s">
        <v>472</v>
      </c>
      <c r="C179" s="56" t="s">
        <v>50</v>
      </c>
      <c r="D179" s="58" t="s">
        <v>49</v>
      </c>
      <c r="E179" s="58" t="s">
        <v>70</v>
      </c>
      <c r="F179" s="56" t="s">
        <v>71</v>
      </c>
      <c r="G179" s="60">
        <v>2000.0</v>
      </c>
      <c r="H179" s="62">
        <v>18291.0</v>
      </c>
      <c r="I179" s="64">
        <v>3.6582E7</v>
      </c>
      <c r="J179" s="64">
        <v>2926560.0</v>
      </c>
      <c r="K179" s="64">
        <v>3.950856E7</v>
      </c>
      <c r="L179" s="65" t="s">
        <v>392</v>
      </c>
      <c r="M179" s="65" t="str">
        <f>VLOOKUP(L179,'Đơn đặt'!$C$3:$E$275,2,0)</f>
        <v>12-01-TS</v>
      </c>
      <c r="N179" s="65" t="str">
        <f>VLOOKUP(L179,'Đơn đặt'!$C$3:$E$275,3,0)</f>
        <v>09-2026/TS-AVP/ĐĐH</v>
      </c>
      <c r="O179" s="66">
        <v>46062.0</v>
      </c>
      <c r="P179" s="67" t="s">
        <v>473</v>
      </c>
      <c r="Q179" s="68">
        <v>2000.0</v>
      </c>
      <c r="R179" s="76">
        <v>14482.2</v>
      </c>
      <c r="S179" s="77">
        <v>2.89644E7</v>
      </c>
      <c r="T179" s="77">
        <v>2317152.0</v>
      </c>
      <c r="U179" s="60">
        <f t="shared" si="2"/>
        <v>31281552</v>
      </c>
      <c r="V179" s="70"/>
      <c r="W179" s="23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</row>
    <row r="180" ht="25.5" customHeight="1">
      <c r="A180" s="55">
        <v>46062.0</v>
      </c>
      <c r="B180" s="56" t="s">
        <v>474</v>
      </c>
      <c r="C180" s="56" t="s">
        <v>38</v>
      </c>
      <c r="D180" s="58" t="s">
        <v>36</v>
      </c>
      <c r="E180" s="58" t="s">
        <v>70</v>
      </c>
      <c r="F180" s="56" t="s">
        <v>71</v>
      </c>
      <c r="G180" s="60">
        <v>400.0</v>
      </c>
      <c r="H180" s="62">
        <v>18953.0</v>
      </c>
      <c r="I180" s="64">
        <v>7581200.0</v>
      </c>
      <c r="J180" s="64">
        <v>606496.0</v>
      </c>
      <c r="K180" s="64">
        <v>8187696.0</v>
      </c>
      <c r="L180" s="65" t="s">
        <v>318</v>
      </c>
      <c r="M180" s="65" t="str">
        <f>VLOOKUP(L180,'Đơn đặt'!$C$3:$E$275,2,0)</f>
        <v>12-01-TS</v>
      </c>
      <c r="N180" s="65" t="str">
        <f>VLOOKUP(L180,'Đơn đặt'!$C$3:$E$275,3,0)</f>
        <v>03-2026/TS-AVP/ĐĐH</v>
      </c>
      <c r="O180" s="66">
        <v>46062.0</v>
      </c>
      <c r="P180" s="67" t="s">
        <v>475</v>
      </c>
      <c r="Q180" s="68">
        <v>400.0</v>
      </c>
      <c r="R180" s="76">
        <v>18246.6</v>
      </c>
      <c r="S180" s="77">
        <v>7298640.0</v>
      </c>
      <c r="T180" s="77">
        <v>583891.0</v>
      </c>
      <c r="U180" s="60">
        <f t="shared" si="2"/>
        <v>7882531</v>
      </c>
      <c r="V180" s="70"/>
      <c r="W180" s="23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</row>
    <row r="181" ht="25.5" customHeight="1">
      <c r="A181" s="55">
        <v>46062.0</v>
      </c>
      <c r="B181" s="56" t="s">
        <v>474</v>
      </c>
      <c r="C181" s="56" t="s">
        <v>206</v>
      </c>
      <c r="D181" s="58" t="s">
        <v>207</v>
      </c>
      <c r="E181" s="58" t="s">
        <v>70</v>
      </c>
      <c r="F181" s="56" t="s">
        <v>71</v>
      </c>
      <c r="G181" s="81">
        <v>2000.0</v>
      </c>
      <c r="H181" s="62">
        <v>18134.0</v>
      </c>
      <c r="I181" s="64">
        <v>3.6268E7</v>
      </c>
      <c r="J181" s="64">
        <v>2901440.0</v>
      </c>
      <c r="K181" s="64">
        <v>3.916944E7</v>
      </c>
      <c r="L181" s="65" t="s">
        <v>208</v>
      </c>
      <c r="M181" s="65" t="str">
        <f>VLOOKUP(L181,'Đơn đặt'!$C$3:$E$275,2,0)</f>
        <v>11-04-TS</v>
      </c>
      <c r="N181" s="65" t="str">
        <f>VLOOKUP(L181,'Đơn đặt'!$C$3:$E$275,3,0)</f>
        <v>01-2026/TS-AVP/ĐĐH</v>
      </c>
      <c r="O181" s="66">
        <v>46062.0</v>
      </c>
      <c r="P181" s="67" t="s">
        <v>475</v>
      </c>
      <c r="Q181" s="68">
        <v>2000.0</v>
      </c>
      <c r="R181" s="76">
        <v>17202.8</v>
      </c>
      <c r="S181" s="77">
        <v>3.44056E7</v>
      </c>
      <c r="T181" s="77">
        <v>2752448.0</v>
      </c>
      <c r="U181" s="60">
        <f t="shared" si="2"/>
        <v>37158048</v>
      </c>
      <c r="V181" s="70"/>
      <c r="W181" s="23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</row>
    <row r="182" ht="25.5" customHeight="1">
      <c r="A182" s="55">
        <v>46062.0</v>
      </c>
      <c r="B182" s="56" t="s">
        <v>474</v>
      </c>
      <c r="C182" s="56" t="s">
        <v>59</v>
      </c>
      <c r="D182" s="58" t="s">
        <v>105</v>
      </c>
      <c r="E182" s="58" t="s">
        <v>70</v>
      </c>
      <c r="F182" s="56" t="s">
        <v>71</v>
      </c>
      <c r="G182" s="60">
        <v>2000.0</v>
      </c>
      <c r="H182" s="62">
        <v>18291.0</v>
      </c>
      <c r="I182" s="64">
        <v>3.6582E7</v>
      </c>
      <c r="J182" s="64">
        <v>2926560.0</v>
      </c>
      <c r="K182" s="64">
        <v>3.950856E7</v>
      </c>
      <c r="L182" s="65" t="s">
        <v>313</v>
      </c>
      <c r="M182" s="65" t="str">
        <f>VLOOKUP(L182,'Đơn đặt'!$C$3:$E$275,2,0)</f>
        <v>12-01-TS</v>
      </c>
      <c r="N182" s="65" t="str">
        <f>VLOOKUP(L182,'Đơn đặt'!$C$3:$E$275,3,0)</f>
        <v>03-2026/TS-AVP/ĐĐH</v>
      </c>
      <c r="O182" s="66">
        <v>46062.0</v>
      </c>
      <c r="P182" s="67" t="s">
        <v>475</v>
      </c>
      <c r="Q182" s="68">
        <v>2000.0</v>
      </c>
      <c r="R182" s="76">
        <v>16258.2</v>
      </c>
      <c r="S182" s="68">
        <v>3.25164E7</v>
      </c>
      <c r="T182" s="77">
        <v>2601312.0</v>
      </c>
      <c r="U182" s="60">
        <f t="shared" si="2"/>
        <v>35117712</v>
      </c>
      <c r="V182" s="70"/>
      <c r="W182" s="23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</row>
    <row r="183" ht="25.5" customHeight="1">
      <c r="A183" s="55">
        <v>46063.0</v>
      </c>
      <c r="B183" s="56" t="s">
        <v>476</v>
      </c>
      <c r="C183" s="56" t="s">
        <v>48</v>
      </c>
      <c r="D183" s="58" t="s">
        <v>47</v>
      </c>
      <c r="E183" s="58" t="s">
        <v>70</v>
      </c>
      <c r="F183" s="56" t="s">
        <v>71</v>
      </c>
      <c r="G183" s="60">
        <v>3000.0</v>
      </c>
      <c r="H183" s="62">
        <v>18291.0</v>
      </c>
      <c r="I183" s="64">
        <v>5.4873E7</v>
      </c>
      <c r="J183" s="64">
        <v>4389840.0</v>
      </c>
      <c r="K183" s="64">
        <v>5.926284E7</v>
      </c>
      <c r="L183" s="65" t="s">
        <v>269</v>
      </c>
      <c r="M183" s="65" t="str">
        <f>VLOOKUP(L183,'Đơn đặt'!$C$3:$E$275,2,0)</f>
        <v>12-01-TS</v>
      </c>
      <c r="N183" s="65" t="str">
        <f>VLOOKUP(L183,'Đơn đặt'!$C$3:$E$275,3,0)</f>
        <v>09-2026/TS-AVP/ĐĐH</v>
      </c>
      <c r="O183" s="66">
        <v>46063.0</v>
      </c>
      <c r="P183" s="67" t="s">
        <v>477</v>
      </c>
      <c r="Q183" s="68">
        <v>3000.0</v>
      </c>
      <c r="R183" s="68">
        <v>14482.2</v>
      </c>
      <c r="S183" s="68">
        <v>4.34466E7</v>
      </c>
      <c r="T183" s="68">
        <v>3475728.0</v>
      </c>
      <c r="U183" s="60">
        <f t="shared" si="2"/>
        <v>46922328</v>
      </c>
      <c r="V183" s="70"/>
      <c r="W183" s="23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</row>
    <row r="184" ht="25.5" customHeight="1">
      <c r="A184" s="55">
        <v>46063.0</v>
      </c>
      <c r="B184" s="56" t="s">
        <v>476</v>
      </c>
      <c r="C184" s="56" t="s">
        <v>50</v>
      </c>
      <c r="D184" s="58" t="s">
        <v>49</v>
      </c>
      <c r="E184" s="58" t="s">
        <v>70</v>
      </c>
      <c r="F184" s="56" t="s">
        <v>71</v>
      </c>
      <c r="G184" s="60">
        <v>2000.0</v>
      </c>
      <c r="H184" s="62">
        <v>18291.0</v>
      </c>
      <c r="I184" s="64">
        <v>3.6582E7</v>
      </c>
      <c r="J184" s="64">
        <v>2926560.0</v>
      </c>
      <c r="K184" s="64">
        <v>3.950856E7</v>
      </c>
      <c r="L184" s="65" t="s">
        <v>392</v>
      </c>
      <c r="M184" s="65" t="str">
        <f>VLOOKUP(L184,'Đơn đặt'!$C$3:$E$275,2,0)</f>
        <v>12-01-TS</v>
      </c>
      <c r="N184" s="65" t="str">
        <f>VLOOKUP(L184,'Đơn đặt'!$C$3:$E$275,3,0)</f>
        <v>09-2026/TS-AVP/ĐĐH</v>
      </c>
      <c r="O184" s="66">
        <v>46063.0</v>
      </c>
      <c r="P184" s="67" t="s">
        <v>477</v>
      </c>
      <c r="Q184" s="68">
        <v>2000.0</v>
      </c>
      <c r="R184" s="76">
        <v>14482.2</v>
      </c>
      <c r="S184" s="77">
        <v>2.89644E7</v>
      </c>
      <c r="T184" s="77">
        <v>2317152.0</v>
      </c>
      <c r="U184" s="60">
        <f t="shared" si="2"/>
        <v>31281552</v>
      </c>
      <c r="V184" s="70"/>
      <c r="W184" s="23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</row>
    <row r="185" ht="25.5" customHeight="1">
      <c r="A185" s="55">
        <v>46063.0</v>
      </c>
      <c r="B185" s="56" t="s">
        <v>480</v>
      </c>
      <c r="C185" s="56" t="s">
        <v>59</v>
      </c>
      <c r="D185" s="58" t="s">
        <v>105</v>
      </c>
      <c r="E185" s="58" t="s">
        <v>70</v>
      </c>
      <c r="F185" s="56" t="s">
        <v>71</v>
      </c>
      <c r="G185" s="60">
        <v>2000.0</v>
      </c>
      <c r="H185" s="62">
        <v>18291.0</v>
      </c>
      <c r="I185" s="64">
        <v>3.6582E7</v>
      </c>
      <c r="J185" s="64">
        <v>2926560.0</v>
      </c>
      <c r="K185" s="64">
        <v>3.950856E7</v>
      </c>
      <c r="L185" s="65" t="s">
        <v>313</v>
      </c>
      <c r="M185" s="65" t="str">
        <f>VLOOKUP(L185,'Đơn đặt'!$C$3:$E$275,2,0)</f>
        <v>12-01-TS</v>
      </c>
      <c r="N185" s="65" t="str">
        <f>VLOOKUP(L185,'Đơn đặt'!$C$3:$E$275,3,0)</f>
        <v>03-2026/TS-AVP/ĐĐH</v>
      </c>
      <c r="O185" s="66">
        <v>46063.0</v>
      </c>
      <c r="P185" s="67" t="s">
        <v>481</v>
      </c>
      <c r="Q185" s="68">
        <v>2000.0</v>
      </c>
      <c r="R185" s="76">
        <v>16258.2</v>
      </c>
      <c r="S185" s="68">
        <v>3.25164E7</v>
      </c>
      <c r="T185" s="77">
        <v>2601312.0</v>
      </c>
      <c r="U185" s="60">
        <f t="shared" si="2"/>
        <v>35117712</v>
      </c>
      <c r="V185" s="70"/>
      <c r="W185" s="23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</row>
    <row r="186" ht="25.5" customHeight="1">
      <c r="A186" s="55">
        <v>46063.0</v>
      </c>
      <c r="B186" s="56" t="s">
        <v>480</v>
      </c>
      <c r="C186" s="56" t="s">
        <v>206</v>
      </c>
      <c r="D186" s="58" t="s">
        <v>207</v>
      </c>
      <c r="E186" s="58" t="s">
        <v>70</v>
      </c>
      <c r="F186" s="56" t="s">
        <v>71</v>
      </c>
      <c r="G186" s="60">
        <v>1880.0</v>
      </c>
      <c r="H186" s="62">
        <v>18134.0</v>
      </c>
      <c r="I186" s="64">
        <v>3.409192E7</v>
      </c>
      <c r="J186" s="64">
        <v>2727354.0</v>
      </c>
      <c r="K186" s="64">
        <v>3.6819274E7</v>
      </c>
      <c r="L186" s="65" t="s">
        <v>451</v>
      </c>
      <c r="M186" s="65" t="str">
        <f>VLOOKUP(L186,'Đơn đặt'!$C$3:$E$275,2,0)</f>
        <v>01-04-TS</v>
      </c>
      <c r="N186" s="65" t="str">
        <f>VLOOKUP(L186,'Đơn đặt'!$C$3:$E$275,3,0)</f>
        <v>07-2026/TS-AVP/ĐĐH</v>
      </c>
      <c r="O186" s="66">
        <v>46063.0</v>
      </c>
      <c r="P186" s="67" t="s">
        <v>481</v>
      </c>
      <c r="Q186" s="68">
        <v>1880.0</v>
      </c>
      <c r="R186" s="76">
        <v>17202.8</v>
      </c>
      <c r="S186" s="77">
        <v>3.2341264E7</v>
      </c>
      <c r="T186" s="77">
        <v>2587301.0</v>
      </c>
      <c r="U186" s="60">
        <f t="shared" si="2"/>
        <v>34928565</v>
      </c>
      <c r="V186" s="70"/>
      <c r="W186" s="23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</row>
    <row r="187" ht="25.5" customHeight="1">
      <c r="A187" s="55">
        <v>46063.0</v>
      </c>
      <c r="B187" s="56" t="s">
        <v>480</v>
      </c>
      <c r="C187" s="56" t="s">
        <v>119</v>
      </c>
      <c r="D187" s="58" t="s">
        <v>120</v>
      </c>
      <c r="E187" s="58" t="s">
        <v>70</v>
      </c>
      <c r="F187" s="56" t="s">
        <v>71</v>
      </c>
      <c r="G187" s="60">
        <v>120.0</v>
      </c>
      <c r="H187" s="62">
        <v>19310.0</v>
      </c>
      <c r="I187" s="64">
        <v>2317200.0</v>
      </c>
      <c r="J187" s="64">
        <v>185376.0</v>
      </c>
      <c r="K187" s="64">
        <v>2502576.0</v>
      </c>
      <c r="L187" s="65" t="s">
        <v>228</v>
      </c>
      <c r="M187" s="65" t="str">
        <f>VLOOKUP(L187,'Đơn đặt'!$C$3:$E$275,2,0)</f>
        <v>01-02-TS</v>
      </c>
      <c r="N187" s="65" t="str">
        <f>VLOOKUP(L187,'Đơn đặt'!$C$3:$E$275,3,0)</f>
        <v>04-2026/TS-AVP/ĐĐH</v>
      </c>
      <c r="O187" s="66">
        <v>46063.0</v>
      </c>
      <c r="P187" s="67" t="s">
        <v>481</v>
      </c>
      <c r="Q187" s="68">
        <v>120.0</v>
      </c>
      <c r="R187" s="76">
        <v>17438.0</v>
      </c>
      <c r="S187" s="77">
        <v>2092560.0</v>
      </c>
      <c r="T187" s="77">
        <v>167405.0</v>
      </c>
      <c r="U187" s="60">
        <f t="shared" si="2"/>
        <v>2259965</v>
      </c>
      <c r="V187" s="70"/>
      <c r="W187" s="23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</row>
    <row r="188" ht="25.5" customHeight="1">
      <c r="A188" s="55">
        <v>46063.0</v>
      </c>
      <c r="B188" s="56" t="s">
        <v>485</v>
      </c>
      <c r="C188" s="56" t="s">
        <v>455</v>
      </c>
      <c r="D188" s="58" t="s">
        <v>486</v>
      </c>
      <c r="E188" s="58" t="s">
        <v>70</v>
      </c>
      <c r="F188" s="56" t="s">
        <v>112</v>
      </c>
      <c r="G188" s="60">
        <v>1000.0</v>
      </c>
      <c r="H188" s="62">
        <v>38000.0</v>
      </c>
      <c r="I188" s="64">
        <v>3.8E7</v>
      </c>
      <c r="J188" s="64">
        <v>3040000.0</v>
      </c>
      <c r="K188" s="64">
        <v>4.104E7</v>
      </c>
      <c r="L188" s="65" t="s">
        <v>487</v>
      </c>
      <c r="M188" s="65" t="str">
        <f>VLOOKUP(L188,'Đơn đặt'!$C$3:$E$275,2,0)</f>
        <v>02-38/TS-LP</v>
      </c>
      <c r="N188" s="65" t="str">
        <f>VLOOKUP(L188,'Đơn đặt'!$C$3:$E$275,3,0)</f>
        <v>25-2026/TS-AVP/ĐĐH</v>
      </c>
      <c r="O188" s="66">
        <v>46063.0</v>
      </c>
      <c r="P188" s="67" t="s">
        <v>488</v>
      </c>
      <c r="Q188" s="68">
        <v>1000.0</v>
      </c>
      <c r="R188" s="76">
        <v>34800.0</v>
      </c>
      <c r="S188" s="77">
        <f t="shared" ref="S188:S189" si="31">ROUND(Q188*R188,0)</f>
        <v>34800000</v>
      </c>
      <c r="T188" s="87">
        <f t="shared" ref="T188:T189" si="32">S188*0.08</f>
        <v>2784000</v>
      </c>
      <c r="U188" s="60">
        <f t="shared" si="2"/>
        <v>37584000</v>
      </c>
      <c r="V188" s="70"/>
      <c r="W188" s="23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</row>
    <row r="189" ht="25.5" customHeight="1">
      <c r="A189" s="55">
        <v>46063.0</v>
      </c>
      <c r="B189" s="56" t="s">
        <v>485</v>
      </c>
      <c r="C189" s="56" t="s">
        <v>1</v>
      </c>
      <c r="D189" s="58" t="s">
        <v>136</v>
      </c>
      <c r="E189" s="58" t="s">
        <v>70</v>
      </c>
      <c r="F189" s="56" t="s">
        <v>112</v>
      </c>
      <c r="G189" s="60">
        <v>1000.0</v>
      </c>
      <c r="H189" s="62">
        <v>38000.0</v>
      </c>
      <c r="I189" s="64">
        <v>3.8E7</v>
      </c>
      <c r="J189" s="64">
        <v>3040000.0</v>
      </c>
      <c r="K189" s="64">
        <v>4.104E7</v>
      </c>
      <c r="L189" s="65" t="s">
        <v>489</v>
      </c>
      <c r="M189" s="65" t="str">
        <f>VLOOKUP(L189,'Đơn đặt'!$C$3:$E$275,2,0)</f>
        <v>02-19/TS-LP</v>
      </c>
      <c r="N189" s="65" t="str">
        <f>VLOOKUP(L189,'Đơn đặt'!$C$3:$E$275,3,0)</f>
        <v>19-2026/TS-AVP/ĐĐH</v>
      </c>
      <c r="O189" s="66">
        <v>46063.0</v>
      </c>
      <c r="P189" s="67" t="s">
        <v>488</v>
      </c>
      <c r="Q189" s="68">
        <v>1000.0</v>
      </c>
      <c r="R189" s="76">
        <v>34800.0</v>
      </c>
      <c r="S189" s="77">
        <f t="shared" si="31"/>
        <v>34800000</v>
      </c>
      <c r="T189" s="87">
        <f t="shared" si="32"/>
        <v>2784000</v>
      </c>
      <c r="U189" s="60">
        <f t="shared" si="2"/>
        <v>37584000</v>
      </c>
      <c r="V189" s="70"/>
      <c r="W189" s="23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</row>
    <row r="190" ht="25.5" customHeight="1">
      <c r="A190" s="55">
        <v>46063.0</v>
      </c>
      <c r="B190" s="56" t="s">
        <v>494</v>
      </c>
      <c r="C190" s="56" t="s">
        <v>14</v>
      </c>
      <c r="D190" s="58" t="s">
        <v>13</v>
      </c>
      <c r="E190" s="58" t="s">
        <v>70</v>
      </c>
      <c r="F190" s="56" t="s">
        <v>71</v>
      </c>
      <c r="G190" s="60">
        <v>1200.0</v>
      </c>
      <c r="H190" s="62">
        <v>19404.0</v>
      </c>
      <c r="I190" s="64">
        <v>2.32848E7</v>
      </c>
      <c r="J190" s="64">
        <v>1862784.0</v>
      </c>
      <c r="K190" s="64">
        <v>2.5147584E7</v>
      </c>
      <c r="L190" s="65" t="s">
        <v>291</v>
      </c>
      <c r="M190" s="65" t="str">
        <f>VLOOKUP(L190,'Đơn đặt'!$C$3:$E$275,2,0)</f>
        <v>12-01-TS</v>
      </c>
      <c r="N190" s="65" t="str">
        <f>VLOOKUP(L190,'Đơn đặt'!$C$3:$E$275,3,0)</f>
        <v>03-2026/TS-AVP/ĐĐH</v>
      </c>
      <c r="O190" s="66">
        <v>46063.0</v>
      </c>
      <c r="P190" s="67" t="s">
        <v>495</v>
      </c>
      <c r="Q190" s="68">
        <v>1200.0</v>
      </c>
      <c r="R190" s="76">
        <v>17776.8</v>
      </c>
      <c r="S190" s="77">
        <v>2.133216E7</v>
      </c>
      <c r="T190" s="77">
        <v>1706573.0</v>
      </c>
      <c r="U190" s="60">
        <f t="shared" si="2"/>
        <v>23038733</v>
      </c>
      <c r="V190" s="70"/>
      <c r="W190" s="23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</row>
    <row r="191" ht="25.5" customHeight="1">
      <c r="A191" s="55">
        <v>46063.0</v>
      </c>
      <c r="B191" s="56" t="s">
        <v>494</v>
      </c>
      <c r="C191" s="56" t="s">
        <v>38</v>
      </c>
      <c r="D191" s="58" t="s">
        <v>36</v>
      </c>
      <c r="E191" s="58" t="s">
        <v>70</v>
      </c>
      <c r="F191" s="56" t="s">
        <v>71</v>
      </c>
      <c r="G191" s="60">
        <v>900.0</v>
      </c>
      <c r="H191" s="62">
        <v>18953.0</v>
      </c>
      <c r="I191" s="64">
        <v>1.70577E7</v>
      </c>
      <c r="J191" s="64">
        <v>1364616.0</v>
      </c>
      <c r="K191" s="64">
        <v>1.8422316E7</v>
      </c>
      <c r="L191" s="65" t="s">
        <v>497</v>
      </c>
      <c r="M191" s="65" t="str">
        <f>VLOOKUP(L191,'Đơn đặt'!$C$3:$E$275,2,0)</f>
        <v>01-14-TS</v>
      </c>
      <c r="N191" s="65" t="str">
        <f>VLOOKUP(L191,'Đơn đặt'!$C$3:$E$275,3,0)</f>
        <v>12-2026/TS-AVP/ĐĐH</v>
      </c>
      <c r="O191" s="66">
        <v>46063.0</v>
      </c>
      <c r="P191" s="67" t="s">
        <v>495</v>
      </c>
      <c r="Q191" s="68">
        <v>900.0</v>
      </c>
      <c r="R191" s="76">
        <v>18246.6</v>
      </c>
      <c r="S191" s="77">
        <v>1.642194E7</v>
      </c>
      <c r="T191" s="77">
        <v>1313755.0</v>
      </c>
      <c r="U191" s="60">
        <f t="shared" si="2"/>
        <v>17735695</v>
      </c>
      <c r="V191" s="70"/>
      <c r="W191" s="23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</row>
    <row r="192" ht="25.5" customHeight="1">
      <c r="A192" s="55">
        <v>46063.0</v>
      </c>
      <c r="B192" s="56" t="s">
        <v>494</v>
      </c>
      <c r="C192" s="56" t="s">
        <v>35</v>
      </c>
      <c r="D192" s="58" t="s">
        <v>34</v>
      </c>
      <c r="E192" s="58" t="s">
        <v>70</v>
      </c>
      <c r="F192" s="56" t="s">
        <v>71</v>
      </c>
      <c r="G192" s="60">
        <v>2920.0</v>
      </c>
      <c r="H192" s="62">
        <v>14900.0</v>
      </c>
      <c r="I192" s="64">
        <v>4.3508E7</v>
      </c>
      <c r="J192" s="64">
        <v>3480640.0</v>
      </c>
      <c r="K192" s="64">
        <v>4.698864E7</v>
      </c>
      <c r="L192" s="65" t="s">
        <v>498</v>
      </c>
      <c r="M192" s="65" t="str">
        <f>VLOOKUP(L192,'Đơn đặt'!$C$3:$E$275,2,0)</f>
        <v>02-03-TS</v>
      </c>
      <c r="N192" s="65" t="str">
        <f>VLOOKUP(L192,'Đơn đặt'!$C$3:$E$275,3,0)</f>
        <v>21-2026/TS-AVP/ĐĐH</v>
      </c>
      <c r="O192" s="66">
        <v>46063.0</v>
      </c>
      <c r="P192" s="67" t="s">
        <v>495</v>
      </c>
      <c r="Q192" s="68">
        <v>2920.0</v>
      </c>
      <c r="R192" s="76">
        <v>14140.0</v>
      </c>
      <c r="S192" s="77">
        <v>4.12888E7</v>
      </c>
      <c r="T192" s="77">
        <v>3303104.0</v>
      </c>
      <c r="U192" s="60">
        <f t="shared" si="2"/>
        <v>44591904</v>
      </c>
      <c r="V192" s="70"/>
      <c r="W192" s="23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</row>
    <row r="193" ht="25.5" customHeight="1">
      <c r="A193" s="55">
        <v>46064.0</v>
      </c>
      <c r="B193" s="56" t="s">
        <v>379</v>
      </c>
      <c r="C193" s="56" t="s">
        <v>6</v>
      </c>
      <c r="D193" s="58" t="s">
        <v>499</v>
      </c>
      <c r="E193" s="58" t="s">
        <v>70</v>
      </c>
      <c r="F193" s="56" t="s">
        <v>500</v>
      </c>
      <c r="G193" s="60">
        <v>600000.0</v>
      </c>
      <c r="H193" s="62">
        <v>78.0</v>
      </c>
      <c r="I193" s="64">
        <v>4.68E7</v>
      </c>
      <c r="J193" s="64">
        <v>3744000.0</v>
      </c>
      <c r="K193" s="64">
        <v>5.0544E7</v>
      </c>
      <c r="L193" s="65" t="s">
        <v>501</v>
      </c>
      <c r="M193" s="65" t="str">
        <f>VLOOKUP(L193,'Đơn đặt'!$C$3:$E$275,2,0)</f>
        <v>02-07/TS-LP</v>
      </c>
      <c r="N193" s="65" t="str">
        <f>VLOOKUP(L193,'Đơn đặt'!$C$3:$E$275,3,0)</f>
        <v>15-2026/TS-AVP/ĐĐH</v>
      </c>
      <c r="O193" s="66">
        <v>46064.0</v>
      </c>
      <c r="P193" s="67" t="s">
        <v>502</v>
      </c>
      <c r="Q193" s="68">
        <v>600000.0</v>
      </c>
      <c r="R193" s="76">
        <v>77.2</v>
      </c>
      <c r="S193" s="77">
        <v>4.632E7</v>
      </c>
      <c r="T193" s="77">
        <v>3705600.0</v>
      </c>
      <c r="U193" s="60">
        <f t="shared" si="2"/>
        <v>50025600</v>
      </c>
      <c r="V193" s="70"/>
      <c r="W193" s="23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</row>
    <row r="194" ht="25.5" customHeight="1">
      <c r="A194" s="55">
        <v>46064.0</v>
      </c>
      <c r="B194" s="56" t="s">
        <v>370</v>
      </c>
      <c r="C194" s="56" t="s">
        <v>59</v>
      </c>
      <c r="D194" s="58" t="s">
        <v>105</v>
      </c>
      <c r="E194" s="58" t="s">
        <v>70</v>
      </c>
      <c r="F194" s="56" t="s">
        <v>71</v>
      </c>
      <c r="G194" s="60">
        <v>910.0</v>
      </c>
      <c r="H194" s="62">
        <v>18291.0</v>
      </c>
      <c r="I194" s="64">
        <v>1.664481E7</v>
      </c>
      <c r="J194" s="64">
        <v>1331585.0</v>
      </c>
      <c r="K194" s="64">
        <v>1.7976395E7</v>
      </c>
      <c r="L194" s="65" t="s">
        <v>313</v>
      </c>
      <c r="M194" s="65" t="str">
        <f>VLOOKUP(L194,'Đơn đặt'!$C$3:$E$275,2,0)</f>
        <v>12-01-TS</v>
      </c>
      <c r="N194" s="65" t="str">
        <f>VLOOKUP(L194,'Đơn đặt'!$C$3:$E$275,3,0)</f>
        <v>03-2026/TS-AVP/ĐĐH</v>
      </c>
      <c r="O194" s="66">
        <v>46064.0</v>
      </c>
      <c r="P194" s="67" t="s">
        <v>505</v>
      </c>
      <c r="Q194" s="68">
        <v>910.0</v>
      </c>
      <c r="R194" s="76">
        <v>16258.2</v>
      </c>
      <c r="S194" s="68">
        <v>1.4794962E7</v>
      </c>
      <c r="T194" s="77">
        <v>1183597.0</v>
      </c>
      <c r="U194" s="60">
        <f t="shared" si="2"/>
        <v>15978559</v>
      </c>
      <c r="V194" s="70"/>
      <c r="W194" s="23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</row>
    <row r="195" ht="25.5" customHeight="1">
      <c r="A195" s="55">
        <v>46064.0</v>
      </c>
      <c r="B195" s="56" t="s">
        <v>370</v>
      </c>
      <c r="C195" s="56" t="s">
        <v>14</v>
      </c>
      <c r="D195" s="58" t="s">
        <v>13</v>
      </c>
      <c r="E195" s="58" t="s">
        <v>70</v>
      </c>
      <c r="F195" s="56" t="s">
        <v>71</v>
      </c>
      <c r="G195" s="60">
        <v>2000.0</v>
      </c>
      <c r="H195" s="62">
        <v>19404.0</v>
      </c>
      <c r="I195" s="64">
        <v>3.8808E7</v>
      </c>
      <c r="J195" s="64">
        <v>3104640.0</v>
      </c>
      <c r="K195" s="64">
        <v>4.191264E7</v>
      </c>
      <c r="L195" s="65" t="s">
        <v>291</v>
      </c>
      <c r="M195" s="65" t="str">
        <f>VLOOKUP(L195,'Đơn đặt'!$C$3:$E$275,2,0)</f>
        <v>12-01-TS</v>
      </c>
      <c r="N195" s="65" t="str">
        <f>VLOOKUP(L195,'Đơn đặt'!$C$3:$E$275,3,0)</f>
        <v>03-2026/TS-AVP/ĐĐH</v>
      </c>
      <c r="O195" s="66">
        <v>46064.0</v>
      </c>
      <c r="P195" s="67" t="s">
        <v>505</v>
      </c>
      <c r="Q195" s="68">
        <v>2000.0</v>
      </c>
      <c r="R195" s="76">
        <v>17776.8</v>
      </c>
      <c r="S195" s="77">
        <v>3.55536E7</v>
      </c>
      <c r="T195" s="77">
        <v>2844288.0</v>
      </c>
      <c r="U195" s="60">
        <f t="shared" si="2"/>
        <v>38397888</v>
      </c>
      <c r="V195" s="70"/>
      <c r="W195" s="23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</row>
    <row r="196" ht="25.5" customHeight="1">
      <c r="A196" s="55">
        <v>46064.0</v>
      </c>
      <c r="B196" s="56" t="s">
        <v>370</v>
      </c>
      <c r="C196" s="56" t="s">
        <v>21</v>
      </c>
      <c r="D196" s="58" t="s">
        <v>371</v>
      </c>
      <c r="E196" s="58" t="s">
        <v>70</v>
      </c>
      <c r="F196" s="56" t="s">
        <v>71</v>
      </c>
      <c r="G196" s="60">
        <v>300.0</v>
      </c>
      <c r="H196" s="62">
        <v>18029.0</v>
      </c>
      <c r="I196" s="64">
        <v>5408700.0</v>
      </c>
      <c r="J196" s="64">
        <v>432696.0</v>
      </c>
      <c r="K196" s="64">
        <v>5841396.0</v>
      </c>
      <c r="L196" s="65" t="s">
        <v>372</v>
      </c>
      <c r="M196" s="65" t="str">
        <f>VLOOKUP(L196,'Đơn đặt'!$C$3:$E$275,2,0)</f>
        <v>01-14-TS</v>
      </c>
      <c r="N196" s="65" t="str">
        <f>VLOOKUP(L196,'Đơn đặt'!$C$3:$E$275,3,0)</f>
        <v>12-2026/TS-AVP/ĐĐH</v>
      </c>
      <c r="O196" s="66">
        <v>46064.0</v>
      </c>
      <c r="P196" s="67" t="s">
        <v>505</v>
      </c>
      <c r="Q196" s="68">
        <v>300.0</v>
      </c>
      <c r="R196" s="76">
        <v>17469.8</v>
      </c>
      <c r="S196" s="77">
        <v>5240940.0</v>
      </c>
      <c r="T196" s="77">
        <v>419275.0</v>
      </c>
      <c r="U196" s="60">
        <f t="shared" si="2"/>
        <v>5660215</v>
      </c>
      <c r="V196" s="70"/>
      <c r="W196" s="23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</row>
    <row r="197" ht="25.5" customHeight="1">
      <c r="A197" s="55">
        <v>46064.0</v>
      </c>
      <c r="B197" s="56" t="s">
        <v>370</v>
      </c>
      <c r="C197" s="56" t="s">
        <v>387</v>
      </c>
      <c r="D197" s="58" t="s">
        <v>506</v>
      </c>
      <c r="E197" s="58" t="s">
        <v>70</v>
      </c>
      <c r="F197" s="56" t="s">
        <v>71</v>
      </c>
      <c r="G197" s="60">
        <v>120.0</v>
      </c>
      <c r="H197" s="62">
        <v>19404.0</v>
      </c>
      <c r="I197" s="64">
        <v>2328480.0</v>
      </c>
      <c r="J197" s="64">
        <v>186278.0</v>
      </c>
      <c r="K197" s="64">
        <v>2514758.0</v>
      </c>
      <c r="L197" s="65" t="s">
        <v>507</v>
      </c>
      <c r="M197" s="65" t="str">
        <f>VLOOKUP(L197,'Đơn đặt'!$C$3:$E$275,2,0)</f>
        <v>02-01-TS</v>
      </c>
      <c r="N197" s="65" t="str">
        <f>VLOOKUP(L197,'Đơn đặt'!$C$3:$E$275,3,0)</f>
        <v>20-2026/TS-AVP/ĐĐH</v>
      </c>
      <c r="O197" s="66">
        <v>46064.0</v>
      </c>
      <c r="P197" s="67" t="s">
        <v>505</v>
      </c>
      <c r="Q197" s="68">
        <v>120.0</v>
      </c>
      <c r="R197" s="76">
        <v>18336.8</v>
      </c>
      <c r="S197" s="77">
        <v>2200416.0</v>
      </c>
      <c r="T197" s="77">
        <v>176033.0</v>
      </c>
      <c r="U197" s="60">
        <f t="shared" si="2"/>
        <v>2376449</v>
      </c>
      <c r="V197" s="70"/>
      <c r="W197" s="23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</row>
    <row r="198" ht="25.5" customHeight="1">
      <c r="A198" s="55">
        <v>46064.0</v>
      </c>
      <c r="B198" s="56" t="s">
        <v>508</v>
      </c>
      <c r="C198" s="56" t="s">
        <v>55</v>
      </c>
      <c r="D198" s="58" t="s">
        <v>53</v>
      </c>
      <c r="E198" s="58" t="s">
        <v>70</v>
      </c>
      <c r="F198" s="56" t="s">
        <v>71</v>
      </c>
      <c r="G198" s="60">
        <v>4500.0</v>
      </c>
      <c r="H198" s="62">
        <v>20024.0</v>
      </c>
      <c r="I198" s="64">
        <v>9.0108E7</v>
      </c>
      <c r="J198" s="64">
        <v>7208640.0</v>
      </c>
      <c r="K198" s="64">
        <v>9.731664E7</v>
      </c>
      <c r="L198" s="65" t="s">
        <v>233</v>
      </c>
      <c r="M198" s="65" t="str">
        <f>VLOOKUP(L198,'Đơn đặt'!$C$3:$E$275,2,0)</f>
        <v>12-01-TS</v>
      </c>
      <c r="N198" s="65" t="str">
        <f>VLOOKUP(L198,'Đơn đặt'!$C$3:$E$275,3,0)</f>
        <v>146-2025/TS-AVP/ĐĐH</v>
      </c>
      <c r="O198" s="66">
        <v>46064.0</v>
      </c>
      <c r="P198" s="67" t="s">
        <v>509</v>
      </c>
      <c r="Q198" s="68">
        <v>4500.0</v>
      </c>
      <c r="R198" s="76">
        <v>16180.8</v>
      </c>
      <c r="S198" s="77">
        <v>7.28136E7</v>
      </c>
      <c r="T198" s="77">
        <v>5825088.0</v>
      </c>
      <c r="U198" s="60">
        <f t="shared" si="2"/>
        <v>78638688</v>
      </c>
      <c r="V198" s="70"/>
      <c r="W198" s="23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</row>
    <row r="199" ht="25.5" customHeight="1">
      <c r="A199" s="55">
        <v>46064.0</v>
      </c>
      <c r="B199" s="56" t="s">
        <v>510</v>
      </c>
      <c r="C199" s="56" t="s">
        <v>59</v>
      </c>
      <c r="D199" s="58" t="s">
        <v>105</v>
      </c>
      <c r="E199" s="58" t="s">
        <v>70</v>
      </c>
      <c r="F199" s="56" t="s">
        <v>71</v>
      </c>
      <c r="G199" s="60">
        <v>1090.0</v>
      </c>
      <c r="H199" s="62">
        <v>18291.0</v>
      </c>
      <c r="I199" s="64">
        <v>1.993719E7</v>
      </c>
      <c r="J199" s="64">
        <v>1594975.0</v>
      </c>
      <c r="K199" s="64">
        <v>2.1532165E7</v>
      </c>
      <c r="L199" s="65" t="s">
        <v>313</v>
      </c>
      <c r="M199" s="65" t="str">
        <f>VLOOKUP(L199,'Đơn đặt'!$C$3:$E$275,2,0)</f>
        <v>12-01-TS</v>
      </c>
      <c r="N199" s="65" t="str">
        <f>VLOOKUP(L199,'Đơn đặt'!$C$3:$E$275,3,0)</f>
        <v>03-2026/TS-AVP/ĐĐH</v>
      </c>
      <c r="O199" s="66">
        <v>46064.0</v>
      </c>
      <c r="P199" s="67" t="s">
        <v>514</v>
      </c>
      <c r="Q199" s="68">
        <v>1090.0</v>
      </c>
      <c r="R199" s="76">
        <v>16258.2</v>
      </c>
      <c r="S199" s="68">
        <v>1.7721438E7</v>
      </c>
      <c r="T199" s="77">
        <v>1417715.0</v>
      </c>
      <c r="U199" s="60">
        <f t="shared" si="2"/>
        <v>19139153</v>
      </c>
      <c r="V199" s="70"/>
      <c r="W199" s="23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</row>
    <row r="200" ht="25.5" customHeight="1">
      <c r="A200" s="55">
        <v>46064.0</v>
      </c>
      <c r="B200" s="56" t="s">
        <v>510</v>
      </c>
      <c r="C200" s="56" t="s">
        <v>196</v>
      </c>
      <c r="D200" s="58" t="s">
        <v>197</v>
      </c>
      <c r="E200" s="58" t="s">
        <v>70</v>
      </c>
      <c r="F200" s="56" t="s">
        <v>71</v>
      </c>
      <c r="G200" s="60">
        <v>190.0</v>
      </c>
      <c r="H200" s="62">
        <v>19320.0</v>
      </c>
      <c r="I200" s="64">
        <v>3670800.0</v>
      </c>
      <c r="J200" s="64">
        <v>293664.0</v>
      </c>
      <c r="K200" s="64">
        <v>3964464.0</v>
      </c>
      <c r="L200" s="65" t="s">
        <v>515</v>
      </c>
      <c r="M200" s="65" t="str">
        <f>VLOOKUP(L200,'Đơn đặt'!$C$3:$E$275,2,0)</f>
        <v>02-10-TS</v>
      </c>
      <c r="N200" s="65" t="str">
        <f>VLOOKUP(L200,'Đơn đặt'!$C$3:$E$275,3,0)</f>
        <v>26-2026/TS-AVP/ĐĐH</v>
      </c>
      <c r="O200" s="66">
        <v>46064.0</v>
      </c>
      <c r="P200" s="67" t="s">
        <v>514</v>
      </c>
      <c r="Q200" s="68">
        <v>190.0</v>
      </c>
      <c r="R200" s="76">
        <v>17928.0</v>
      </c>
      <c r="S200" s="77">
        <v>3406320.0</v>
      </c>
      <c r="T200" s="77">
        <v>272506.0</v>
      </c>
      <c r="U200" s="60">
        <f t="shared" si="2"/>
        <v>3678826</v>
      </c>
      <c r="V200" s="70"/>
      <c r="W200" s="23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</row>
    <row r="201" ht="25.5" customHeight="1">
      <c r="A201" s="55">
        <v>46064.0</v>
      </c>
      <c r="B201" s="56" t="s">
        <v>510</v>
      </c>
      <c r="C201" s="56" t="s">
        <v>266</v>
      </c>
      <c r="D201" s="58" t="s">
        <v>516</v>
      </c>
      <c r="E201" s="58" t="s">
        <v>70</v>
      </c>
      <c r="F201" s="56" t="s">
        <v>71</v>
      </c>
      <c r="G201" s="60">
        <v>115.0</v>
      </c>
      <c r="H201" s="62">
        <v>17325.0</v>
      </c>
      <c r="I201" s="64">
        <v>1992375.0</v>
      </c>
      <c r="J201" s="64">
        <v>159390.0</v>
      </c>
      <c r="K201" s="64">
        <v>2151765.0</v>
      </c>
      <c r="L201" s="65" t="s">
        <v>517</v>
      </c>
      <c r="M201" s="65" t="str">
        <f>VLOOKUP(L201,'Đơn đặt'!$C$3:$E$275,2,0)</f>
        <v>01-04-TS</v>
      </c>
      <c r="N201" s="65" t="str">
        <f>VLOOKUP(L201,'Đơn đặt'!$C$3:$E$275,3,0)</f>
        <v>07-2026/TS-AVP/ĐĐH</v>
      </c>
      <c r="O201" s="66">
        <v>46064.0</v>
      </c>
      <c r="P201" s="67" t="s">
        <v>514</v>
      </c>
      <c r="Q201" s="68">
        <v>115.0</v>
      </c>
      <c r="R201" s="76">
        <v>16625.0</v>
      </c>
      <c r="S201" s="77">
        <v>1911875.0</v>
      </c>
      <c r="T201" s="77">
        <v>152950.0</v>
      </c>
      <c r="U201" s="60">
        <f t="shared" si="2"/>
        <v>2064825</v>
      </c>
      <c r="V201" s="70"/>
      <c r="W201" s="23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</row>
    <row r="202" ht="25.5" customHeight="1">
      <c r="A202" s="55">
        <v>46064.0</v>
      </c>
      <c r="B202" s="56" t="s">
        <v>510</v>
      </c>
      <c r="C202" s="56" t="s">
        <v>38</v>
      </c>
      <c r="D202" s="58" t="s">
        <v>36</v>
      </c>
      <c r="E202" s="58" t="s">
        <v>70</v>
      </c>
      <c r="F202" s="56" t="s">
        <v>71</v>
      </c>
      <c r="G202" s="60">
        <v>1310.0</v>
      </c>
      <c r="H202" s="62">
        <v>18953.0</v>
      </c>
      <c r="I202" s="64">
        <v>2.482843E7</v>
      </c>
      <c r="J202" s="64">
        <v>1986274.0</v>
      </c>
      <c r="K202" s="64">
        <v>2.6814704E7</v>
      </c>
      <c r="L202" s="65" t="s">
        <v>497</v>
      </c>
      <c r="M202" s="65" t="str">
        <f>VLOOKUP(L202,'Đơn đặt'!$C$3:$E$275,2,0)</f>
        <v>01-14-TS</v>
      </c>
      <c r="N202" s="65" t="str">
        <f>VLOOKUP(L202,'Đơn đặt'!$C$3:$E$275,3,0)</f>
        <v>12-2026/TS-AVP/ĐĐH</v>
      </c>
      <c r="O202" s="66">
        <v>46064.0</v>
      </c>
      <c r="P202" s="67" t="s">
        <v>514</v>
      </c>
      <c r="Q202" s="68">
        <v>1310.0</v>
      </c>
      <c r="R202" s="76">
        <v>18246.6</v>
      </c>
      <c r="S202" s="77">
        <v>2.3903046E7</v>
      </c>
      <c r="T202" s="77">
        <v>1912244.0</v>
      </c>
      <c r="U202" s="60">
        <f t="shared" si="2"/>
        <v>25815290</v>
      </c>
      <c r="V202" s="70"/>
      <c r="W202" s="23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</row>
    <row r="203" ht="25.5" customHeight="1">
      <c r="A203" s="55">
        <v>46064.0</v>
      </c>
      <c r="B203" s="56" t="s">
        <v>510</v>
      </c>
      <c r="C203" s="56" t="s">
        <v>206</v>
      </c>
      <c r="D203" s="58" t="s">
        <v>207</v>
      </c>
      <c r="E203" s="58" t="s">
        <v>70</v>
      </c>
      <c r="F203" s="56" t="s">
        <v>71</v>
      </c>
      <c r="G203" s="60">
        <v>1600.0</v>
      </c>
      <c r="H203" s="62">
        <v>18134.0</v>
      </c>
      <c r="I203" s="64">
        <v>2.90144E7</v>
      </c>
      <c r="J203" s="64">
        <v>2321153.0</v>
      </c>
      <c r="K203" s="64">
        <v>3.1335553E7</v>
      </c>
      <c r="L203" s="65" t="s">
        <v>451</v>
      </c>
      <c r="M203" s="65" t="str">
        <f>VLOOKUP(L203,'Đơn đặt'!$C$3:$E$275,2,0)</f>
        <v>01-04-TS</v>
      </c>
      <c r="N203" s="65" t="str">
        <f>VLOOKUP(L203,'Đơn đặt'!$C$3:$E$275,3,0)</f>
        <v>07-2026/TS-AVP/ĐĐH</v>
      </c>
      <c r="O203" s="66">
        <v>46064.0</v>
      </c>
      <c r="P203" s="67" t="s">
        <v>514</v>
      </c>
      <c r="Q203" s="68">
        <v>1600.0</v>
      </c>
      <c r="R203" s="76">
        <v>17202.8</v>
      </c>
      <c r="S203" s="77">
        <v>2.752448E7</v>
      </c>
      <c r="T203" s="77">
        <v>2201958.0</v>
      </c>
      <c r="U203" s="60">
        <f t="shared" si="2"/>
        <v>29726438</v>
      </c>
      <c r="V203" s="70"/>
      <c r="W203" s="23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</row>
    <row r="204" ht="25.5" customHeight="1">
      <c r="A204" s="55">
        <v>46064.0</v>
      </c>
      <c r="B204" s="56" t="s">
        <v>522</v>
      </c>
      <c r="C204" s="56" t="s">
        <v>48</v>
      </c>
      <c r="D204" s="58" t="s">
        <v>47</v>
      </c>
      <c r="E204" s="58" t="s">
        <v>70</v>
      </c>
      <c r="F204" s="56" t="s">
        <v>71</v>
      </c>
      <c r="G204" s="60">
        <v>6000.0</v>
      </c>
      <c r="H204" s="62">
        <v>18291.0</v>
      </c>
      <c r="I204" s="64">
        <v>1.09746E8</v>
      </c>
      <c r="J204" s="64">
        <v>8779680.0</v>
      </c>
      <c r="K204" s="64">
        <v>1.1852568E8</v>
      </c>
      <c r="L204" s="65" t="s">
        <v>269</v>
      </c>
      <c r="M204" s="65" t="str">
        <f>VLOOKUP(L204,'Đơn đặt'!$C$3:$E$275,2,0)</f>
        <v>12-01-TS</v>
      </c>
      <c r="N204" s="65" t="str">
        <f>VLOOKUP(L204,'Đơn đặt'!$C$3:$E$275,3,0)</f>
        <v>09-2026/TS-AVP/ĐĐH</v>
      </c>
      <c r="O204" s="66">
        <v>46064.0</v>
      </c>
      <c r="P204" s="67" t="s">
        <v>524</v>
      </c>
      <c r="Q204" s="68">
        <v>6000.0</v>
      </c>
      <c r="R204" s="68">
        <v>14482.2</v>
      </c>
      <c r="S204" s="68">
        <v>8.68932E7</v>
      </c>
      <c r="T204" s="68">
        <v>6951456.0</v>
      </c>
      <c r="U204" s="60">
        <f t="shared" si="2"/>
        <v>93844656</v>
      </c>
      <c r="V204" s="70"/>
      <c r="W204" s="23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</row>
    <row r="205" ht="25.5" customHeight="1">
      <c r="A205" s="55">
        <v>46064.0</v>
      </c>
      <c r="B205" s="56" t="s">
        <v>522</v>
      </c>
      <c r="C205" s="56" t="s">
        <v>77</v>
      </c>
      <c r="D205" s="58" t="s">
        <v>78</v>
      </c>
      <c r="E205" s="58" t="s">
        <v>70</v>
      </c>
      <c r="F205" s="56" t="s">
        <v>71</v>
      </c>
      <c r="G205" s="60">
        <v>1410.0</v>
      </c>
      <c r="H205" s="62">
        <v>21777.0</v>
      </c>
      <c r="I205" s="64">
        <v>3.070557E7</v>
      </c>
      <c r="J205" s="64">
        <v>2456446.0</v>
      </c>
      <c r="K205" s="64">
        <v>3.3162016E7</v>
      </c>
      <c r="L205" s="65" t="s">
        <v>322</v>
      </c>
      <c r="M205" s="65" t="str">
        <f>VLOOKUP(L205,'Đơn đặt'!$C$3:$E$275,2,0)</f>
        <v>01-13-TS</v>
      </c>
      <c r="N205" s="65" t="str">
        <f>VLOOKUP(L205,'Đơn đặt'!$C$3:$E$275,3,0)</f>
        <v>16-2026/TS-AVP/ĐĐH</v>
      </c>
      <c r="O205" s="66">
        <v>46064.0</v>
      </c>
      <c r="P205" s="67" t="s">
        <v>524</v>
      </c>
      <c r="Q205" s="68">
        <v>1410.0</v>
      </c>
      <c r="R205" s="76">
        <v>19723.4</v>
      </c>
      <c r="S205" s="77">
        <v>2.7809994E7</v>
      </c>
      <c r="T205" s="77">
        <v>2224800.0</v>
      </c>
      <c r="U205" s="60">
        <f t="shared" si="2"/>
        <v>30034794</v>
      </c>
      <c r="V205" s="70"/>
      <c r="W205" s="23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</row>
    <row r="206" ht="25.5" customHeight="1">
      <c r="A206" s="55">
        <v>46065.0</v>
      </c>
      <c r="B206" s="56" t="s">
        <v>525</v>
      </c>
      <c r="C206" s="56" t="s">
        <v>48</v>
      </c>
      <c r="D206" s="58" t="s">
        <v>47</v>
      </c>
      <c r="E206" s="58" t="s">
        <v>70</v>
      </c>
      <c r="F206" s="56" t="s">
        <v>71</v>
      </c>
      <c r="G206" s="60">
        <v>8000.0</v>
      </c>
      <c r="H206" s="62">
        <v>18291.0</v>
      </c>
      <c r="I206" s="64">
        <v>1.46328E8</v>
      </c>
      <c r="J206" s="64">
        <v>1.170624E7</v>
      </c>
      <c r="K206" s="64">
        <v>1.5803424E8</v>
      </c>
      <c r="L206" s="65" t="s">
        <v>269</v>
      </c>
      <c r="M206" s="65" t="str">
        <f>VLOOKUP(L206,'Đơn đặt'!$C$3:$E$275,2,0)</f>
        <v>12-01-TS</v>
      </c>
      <c r="N206" s="65" t="str">
        <f>VLOOKUP(L206,'Đơn đặt'!$C$3:$E$275,3,0)</f>
        <v>09-2026/TS-AVP/ĐĐH</v>
      </c>
      <c r="O206" s="66">
        <v>46065.0</v>
      </c>
      <c r="P206" s="67" t="s">
        <v>526</v>
      </c>
      <c r="Q206" s="68">
        <v>8000.0</v>
      </c>
      <c r="R206" s="68">
        <v>14482.2</v>
      </c>
      <c r="S206" s="60">
        <f>ROUND(Q206*R206,0)</f>
        <v>115857600</v>
      </c>
      <c r="T206" s="60">
        <f>ROUND(S206*0.08,0)</f>
        <v>9268608</v>
      </c>
      <c r="U206" s="60">
        <f t="shared" si="2"/>
        <v>125126208</v>
      </c>
      <c r="V206" s="70"/>
      <c r="W206" s="23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</row>
    <row r="207" ht="25.5" customHeight="1">
      <c r="A207" s="55">
        <v>46065.0</v>
      </c>
      <c r="B207" s="56" t="s">
        <v>525</v>
      </c>
      <c r="C207" s="56" t="s">
        <v>77</v>
      </c>
      <c r="D207" s="58" t="s">
        <v>78</v>
      </c>
      <c r="E207" s="58" t="s">
        <v>70</v>
      </c>
      <c r="F207" s="56" t="s">
        <v>71</v>
      </c>
      <c r="G207" s="60">
        <v>1590.0</v>
      </c>
      <c r="H207" s="62">
        <v>21777.0</v>
      </c>
      <c r="I207" s="64">
        <v>3.462543E7</v>
      </c>
      <c r="J207" s="64">
        <v>2770034.0</v>
      </c>
      <c r="K207" s="64">
        <v>3.7395464E7</v>
      </c>
      <c r="L207" s="65" t="s">
        <v>322</v>
      </c>
      <c r="M207" s="65" t="str">
        <f>VLOOKUP(L207,'Đơn đặt'!$C$3:$E$275,2,0)</f>
        <v>01-13-TS</v>
      </c>
      <c r="N207" s="65" t="str">
        <f>VLOOKUP(L207,'Đơn đặt'!$C$3:$E$275,3,0)</f>
        <v>16-2026/TS-AVP/ĐĐH</v>
      </c>
      <c r="O207" s="66">
        <v>46065.0</v>
      </c>
      <c r="P207" s="67" t="s">
        <v>528</v>
      </c>
      <c r="Q207" s="68">
        <v>1590.0</v>
      </c>
      <c r="R207" s="76">
        <v>19723.4</v>
      </c>
      <c r="S207" s="77">
        <v>3.1360206E7</v>
      </c>
      <c r="T207" s="77">
        <v>2508816.0</v>
      </c>
      <c r="U207" s="60">
        <f t="shared" si="2"/>
        <v>33869022</v>
      </c>
      <c r="V207" s="70"/>
      <c r="W207" s="23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</row>
    <row r="208" ht="25.5" customHeight="1">
      <c r="A208" s="55">
        <v>46065.0</v>
      </c>
      <c r="B208" s="56" t="s">
        <v>529</v>
      </c>
      <c r="C208" s="56" t="s">
        <v>14</v>
      </c>
      <c r="D208" s="58" t="s">
        <v>13</v>
      </c>
      <c r="E208" s="58" t="s">
        <v>70</v>
      </c>
      <c r="F208" s="56" t="s">
        <v>71</v>
      </c>
      <c r="G208" s="60">
        <v>800.0</v>
      </c>
      <c r="H208" s="62">
        <v>19404.0</v>
      </c>
      <c r="I208" s="64">
        <v>1.55232E7</v>
      </c>
      <c r="J208" s="64">
        <v>1241856.0</v>
      </c>
      <c r="K208" s="64">
        <v>1.6765056E7</v>
      </c>
      <c r="L208" s="65" t="s">
        <v>291</v>
      </c>
      <c r="M208" s="65" t="str">
        <f>VLOOKUP(L208,'Đơn đặt'!$C$3:$E$275,2,0)</f>
        <v>12-01-TS</v>
      </c>
      <c r="N208" s="65" t="str">
        <f>VLOOKUP(L208,'Đơn đặt'!$C$3:$E$275,3,0)</f>
        <v>03-2026/TS-AVP/ĐĐH</v>
      </c>
      <c r="O208" s="66">
        <v>46065.0</v>
      </c>
      <c r="P208" s="67" t="s">
        <v>530</v>
      </c>
      <c r="Q208" s="68">
        <v>800.0</v>
      </c>
      <c r="R208" s="76">
        <v>17776.8</v>
      </c>
      <c r="S208" s="77">
        <v>1.422144E7</v>
      </c>
      <c r="T208" s="77">
        <v>1137716.0</v>
      </c>
      <c r="U208" s="60">
        <f t="shared" si="2"/>
        <v>15359156</v>
      </c>
      <c r="V208" s="70"/>
      <c r="W208" s="23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</row>
    <row r="209" ht="25.5" customHeight="1">
      <c r="A209" s="55">
        <v>46065.0</v>
      </c>
      <c r="B209" s="56" t="s">
        <v>529</v>
      </c>
      <c r="C209" s="56" t="s">
        <v>206</v>
      </c>
      <c r="D209" s="58" t="s">
        <v>207</v>
      </c>
      <c r="E209" s="58" t="s">
        <v>70</v>
      </c>
      <c r="F209" s="56" t="s">
        <v>71</v>
      </c>
      <c r="G209" s="60">
        <v>520.0</v>
      </c>
      <c r="H209" s="62">
        <v>18134.0</v>
      </c>
      <c r="I209" s="64">
        <v>9429680.0</v>
      </c>
      <c r="J209" s="64">
        <v>754374.0</v>
      </c>
      <c r="K209" s="64">
        <v>1.0184054E7</v>
      </c>
      <c r="L209" s="65" t="s">
        <v>451</v>
      </c>
      <c r="M209" s="65" t="str">
        <f>VLOOKUP(L209,'Đơn đặt'!$C$3:$E$275,2,0)</f>
        <v>01-04-TS</v>
      </c>
      <c r="N209" s="65" t="str">
        <f>VLOOKUP(L209,'Đơn đặt'!$C$3:$E$275,3,0)</f>
        <v>07-2026/TS-AVP/ĐĐH</v>
      </c>
      <c r="O209" s="66">
        <v>46065.0</v>
      </c>
      <c r="P209" s="67" t="s">
        <v>530</v>
      </c>
      <c r="Q209" s="68">
        <v>520.0</v>
      </c>
      <c r="R209" s="76">
        <v>17202.8</v>
      </c>
      <c r="S209" s="77">
        <v>8945456.0</v>
      </c>
      <c r="T209" s="77">
        <v>715636.0</v>
      </c>
      <c r="U209" s="60">
        <f t="shared" si="2"/>
        <v>9661092</v>
      </c>
      <c r="V209" s="70"/>
      <c r="W209" s="23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</row>
    <row r="210" ht="25.5" customHeight="1">
      <c r="A210" s="78">
        <v>46065.0</v>
      </c>
      <c r="B210" s="79" t="s">
        <v>531</v>
      </c>
      <c r="C210" s="56" t="s">
        <v>145</v>
      </c>
      <c r="D210" s="80" t="s">
        <v>146</v>
      </c>
      <c r="E210" s="58" t="s">
        <v>248</v>
      </c>
      <c r="F210" s="56" t="s">
        <v>95</v>
      </c>
      <c r="G210" s="81">
        <v>60.0</v>
      </c>
      <c r="H210" s="62">
        <v>493671.0</v>
      </c>
      <c r="I210" s="64">
        <v>2.962026E7</v>
      </c>
      <c r="J210" s="64">
        <v>2369621.0</v>
      </c>
      <c r="K210" s="64">
        <v>3.1989881E7</v>
      </c>
      <c r="L210" s="91" t="s">
        <v>532</v>
      </c>
      <c r="M210" s="65">
        <f>VLOOKUP(L210,'Đơn đặt'!$C$3:$E$275,2,0)</f>
        <v>128</v>
      </c>
      <c r="N210" s="65" t="str">
        <f>VLOOKUP(L210,'Đơn đặt'!$C$3:$E$275,3,0)</f>
        <v>Hàng SX</v>
      </c>
      <c r="O210" s="78" t="s">
        <v>98</v>
      </c>
      <c r="P210" s="92"/>
      <c r="Q210" s="81">
        <f t="shared" ref="Q210:Q212" si="33">G210</f>
        <v>60</v>
      </c>
      <c r="R210" s="92"/>
      <c r="S210" s="83">
        <f t="shared" ref="S210:S212" si="34">ROUND(Q210*R210,0)</f>
        <v>0</v>
      </c>
      <c r="T210" s="83">
        <f t="shared" ref="T210:T212" si="35">ROUND(S210*0.08,0)</f>
        <v>0</v>
      </c>
      <c r="U210" s="81">
        <f t="shared" si="2"/>
        <v>0</v>
      </c>
      <c r="V210" s="70"/>
      <c r="W210" s="23"/>
      <c r="X210" s="69"/>
      <c r="Y210" s="69"/>
      <c r="Z210" s="69"/>
      <c r="AA210" s="69"/>
      <c r="AB210" s="69"/>
      <c r="AC210" s="69"/>
      <c r="AD210" s="69"/>
      <c r="AE210" s="69"/>
      <c r="AF210" s="69"/>
      <c r="AG210" s="69"/>
      <c r="AH210" s="69"/>
      <c r="AI210" s="69"/>
      <c r="AJ210" s="69"/>
      <c r="AK210" s="69"/>
      <c r="AL210" s="69"/>
      <c r="AM210" s="69"/>
      <c r="AN210" s="69"/>
      <c r="AO210" s="69"/>
    </row>
    <row r="211" ht="25.5" customHeight="1">
      <c r="A211" s="78">
        <v>46065.0</v>
      </c>
      <c r="B211" s="79" t="s">
        <v>531</v>
      </c>
      <c r="C211" s="56" t="s">
        <v>148</v>
      </c>
      <c r="D211" s="80" t="s">
        <v>149</v>
      </c>
      <c r="E211" s="58" t="s">
        <v>248</v>
      </c>
      <c r="F211" s="56" t="s">
        <v>95</v>
      </c>
      <c r="G211" s="81">
        <v>360.0</v>
      </c>
      <c r="H211" s="62">
        <v>366012.0</v>
      </c>
      <c r="I211" s="64">
        <v>1.3176432E8</v>
      </c>
      <c r="J211" s="64">
        <v>1.0541146E7</v>
      </c>
      <c r="K211" s="64">
        <v>1.42305466E8</v>
      </c>
      <c r="L211" s="91" t="s">
        <v>533</v>
      </c>
      <c r="M211" s="65">
        <f>VLOOKUP(L211,'Đơn đặt'!$C$3:$E$275,2,0)</f>
        <v>128</v>
      </c>
      <c r="N211" s="65" t="str">
        <f>VLOOKUP(L211,'Đơn đặt'!$C$3:$E$275,3,0)</f>
        <v>Hàng SX</v>
      </c>
      <c r="O211" s="78" t="s">
        <v>98</v>
      </c>
      <c r="P211" s="92"/>
      <c r="Q211" s="81">
        <f t="shared" si="33"/>
        <v>360</v>
      </c>
      <c r="R211" s="92"/>
      <c r="S211" s="83">
        <f t="shared" si="34"/>
        <v>0</v>
      </c>
      <c r="T211" s="83">
        <f t="shared" si="35"/>
        <v>0</v>
      </c>
      <c r="U211" s="81">
        <f t="shared" si="2"/>
        <v>0</v>
      </c>
      <c r="V211" s="70"/>
      <c r="W211" s="23"/>
      <c r="X211" s="69"/>
      <c r="Y211" s="69"/>
      <c r="Z211" s="69"/>
      <c r="AA211" s="69"/>
      <c r="AB211" s="69"/>
      <c r="AC211" s="69"/>
      <c r="AD211" s="69"/>
      <c r="AE211" s="69"/>
      <c r="AF211" s="69"/>
      <c r="AG211" s="69"/>
      <c r="AH211" s="69"/>
      <c r="AI211" s="69"/>
      <c r="AJ211" s="69"/>
      <c r="AK211" s="69"/>
      <c r="AL211" s="69"/>
      <c r="AM211" s="69"/>
      <c r="AN211" s="69"/>
      <c r="AO211" s="69"/>
    </row>
    <row r="212" ht="25.5" customHeight="1">
      <c r="A212" s="78">
        <v>46065.0</v>
      </c>
      <c r="B212" s="79" t="s">
        <v>531</v>
      </c>
      <c r="C212" s="56" t="s">
        <v>155</v>
      </c>
      <c r="D212" s="80" t="s">
        <v>156</v>
      </c>
      <c r="E212" s="58" t="s">
        <v>248</v>
      </c>
      <c r="F212" s="56" t="s">
        <v>95</v>
      </c>
      <c r="G212" s="81">
        <v>30.0</v>
      </c>
      <c r="H212" s="62">
        <v>472952.0</v>
      </c>
      <c r="I212" s="64">
        <v>1.418856E7</v>
      </c>
      <c r="J212" s="64">
        <v>1135084.0</v>
      </c>
      <c r="K212" s="64">
        <v>1.5323644E7</v>
      </c>
      <c r="L212" s="91" t="s">
        <v>534</v>
      </c>
      <c r="M212" s="65">
        <f>VLOOKUP(L212,'Đơn đặt'!$C$3:$E$275,2,0)</f>
        <v>128</v>
      </c>
      <c r="N212" s="65" t="str">
        <f>VLOOKUP(L212,'Đơn đặt'!$C$3:$E$275,3,0)</f>
        <v>Hàng SX</v>
      </c>
      <c r="O212" s="78" t="s">
        <v>98</v>
      </c>
      <c r="P212" s="92"/>
      <c r="Q212" s="81">
        <f t="shared" si="33"/>
        <v>30</v>
      </c>
      <c r="R212" s="92"/>
      <c r="S212" s="83">
        <f t="shared" si="34"/>
        <v>0</v>
      </c>
      <c r="T212" s="83">
        <f t="shared" si="35"/>
        <v>0</v>
      </c>
      <c r="U212" s="81">
        <f t="shared" si="2"/>
        <v>0</v>
      </c>
      <c r="V212" s="70"/>
      <c r="W212" s="23"/>
      <c r="X212" s="69"/>
      <c r="Y212" s="69"/>
      <c r="Z212" s="69"/>
      <c r="AA212" s="69"/>
      <c r="AB212" s="69"/>
      <c r="AC212" s="69"/>
      <c r="AD212" s="69"/>
      <c r="AE212" s="69"/>
      <c r="AF212" s="69"/>
      <c r="AG212" s="69"/>
      <c r="AH212" s="69"/>
      <c r="AI212" s="69"/>
      <c r="AJ212" s="69"/>
      <c r="AK212" s="69"/>
      <c r="AL212" s="69"/>
      <c r="AM212" s="69"/>
      <c r="AN212" s="69"/>
      <c r="AO212" s="69"/>
    </row>
    <row r="213" ht="25.5" customHeight="1">
      <c r="A213" s="55">
        <v>46066.0</v>
      </c>
      <c r="B213" s="56" t="s">
        <v>535</v>
      </c>
      <c r="C213" s="56" t="s">
        <v>48</v>
      </c>
      <c r="D213" s="58" t="s">
        <v>47</v>
      </c>
      <c r="E213" s="58" t="s">
        <v>70</v>
      </c>
      <c r="F213" s="56" t="s">
        <v>71</v>
      </c>
      <c r="G213" s="60">
        <v>2000.0</v>
      </c>
      <c r="H213" s="62">
        <v>18291.0</v>
      </c>
      <c r="I213" s="64">
        <v>3.6582E7</v>
      </c>
      <c r="J213" s="64">
        <v>2926560.0</v>
      </c>
      <c r="K213" s="64">
        <v>3.950856E7</v>
      </c>
      <c r="L213" s="65" t="s">
        <v>536</v>
      </c>
      <c r="M213" s="65" t="str">
        <f>VLOOKUP(L213,'Đơn đặt'!$C$3:$E$275,2,0)</f>
        <v>01-14-TS</v>
      </c>
      <c r="N213" s="65" t="str">
        <f>VLOOKUP(L213,'Đơn đặt'!$C$3:$E$275,3,0)</f>
        <v>11-2026/TS-AVP/ĐĐH</v>
      </c>
      <c r="O213" s="66">
        <v>46066.0</v>
      </c>
      <c r="P213" s="67" t="s">
        <v>537</v>
      </c>
      <c r="Q213" s="68">
        <v>2000.0</v>
      </c>
      <c r="R213" s="68">
        <v>14482.2</v>
      </c>
      <c r="S213" s="68">
        <v>2.89644E7</v>
      </c>
      <c r="T213" s="68">
        <v>2317152.0</v>
      </c>
      <c r="U213" s="60">
        <f t="shared" si="2"/>
        <v>31281552</v>
      </c>
      <c r="V213" s="70"/>
      <c r="W213" s="23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</row>
    <row r="214" ht="25.5" customHeight="1">
      <c r="A214" s="55">
        <v>46077.0</v>
      </c>
      <c r="B214" s="56" t="s">
        <v>538</v>
      </c>
      <c r="C214" s="56" t="s">
        <v>55</v>
      </c>
      <c r="D214" s="58" t="s">
        <v>53</v>
      </c>
      <c r="E214" s="58" t="s">
        <v>70</v>
      </c>
      <c r="F214" s="56" t="s">
        <v>71</v>
      </c>
      <c r="G214" s="60">
        <v>3000.0</v>
      </c>
      <c r="H214" s="62">
        <v>20024.0</v>
      </c>
      <c r="I214" s="64">
        <v>6.0072E7</v>
      </c>
      <c r="J214" s="64">
        <v>4805760.0</v>
      </c>
      <c r="K214" s="64">
        <v>6.487776E7</v>
      </c>
      <c r="L214" s="65" t="s">
        <v>233</v>
      </c>
      <c r="M214" s="65" t="str">
        <f>VLOOKUP(L214,'Đơn đặt'!$C$3:$E$275,2,0)</f>
        <v>12-01-TS</v>
      </c>
      <c r="N214" s="65" t="str">
        <f>VLOOKUP(L214,'Đơn đặt'!$C$3:$E$275,3,0)</f>
        <v>146-2025/TS-AVP/ĐĐH</v>
      </c>
      <c r="O214" s="66">
        <v>46077.0</v>
      </c>
      <c r="P214" s="67" t="s">
        <v>539</v>
      </c>
      <c r="Q214" s="68">
        <v>1000.0</v>
      </c>
      <c r="R214" s="76">
        <v>16180.8</v>
      </c>
      <c r="S214" s="77">
        <v>1.61808E7</v>
      </c>
      <c r="T214" s="77">
        <v>1294464.0</v>
      </c>
      <c r="U214" s="60">
        <f t="shared" si="2"/>
        <v>17475264</v>
      </c>
      <c r="V214" s="70"/>
      <c r="W214" s="23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</row>
    <row r="215" ht="25.5" customHeight="1">
      <c r="A215" s="55">
        <v>46077.0</v>
      </c>
      <c r="B215" s="56" t="s">
        <v>538</v>
      </c>
      <c r="C215" s="56" t="s">
        <v>55</v>
      </c>
      <c r="D215" s="58" t="s">
        <v>53</v>
      </c>
      <c r="E215" s="58"/>
      <c r="F215" s="56"/>
      <c r="G215" s="60"/>
      <c r="H215" s="62"/>
      <c r="I215" s="64"/>
      <c r="J215" s="64"/>
      <c r="K215" s="64"/>
      <c r="L215" s="65" t="s">
        <v>233</v>
      </c>
      <c r="M215" s="65" t="str">
        <f>VLOOKUP(L215,'Đơn đặt'!$C$3:$E$275,2,0)</f>
        <v>12-01-TS</v>
      </c>
      <c r="N215" s="65" t="str">
        <f>VLOOKUP(L215,'Đơn đặt'!$C$3:$E$275,3,0)</f>
        <v>146-2025/TS-AVP/ĐĐH</v>
      </c>
      <c r="O215" s="66">
        <v>46077.0</v>
      </c>
      <c r="P215" s="67" t="s">
        <v>540</v>
      </c>
      <c r="Q215" s="68">
        <v>2000.0</v>
      </c>
      <c r="R215" s="76">
        <v>16788.8</v>
      </c>
      <c r="S215" s="77">
        <v>3.35776E7</v>
      </c>
      <c r="T215" s="77">
        <v>2686208.0</v>
      </c>
      <c r="U215" s="60">
        <f t="shared" si="2"/>
        <v>36263808</v>
      </c>
      <c r="V215" s="70"/>
      <c r="W215" s="23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</row>
    <row r="216" ht="25.5" customHeight="1">
      <c r="A216" s="55">
        <v>46077.0</v>
      </c>
      <c r="B216" s="56" t="s">
        <v>541</v>
      </c>
      <c r="C216" s="56" t="s">
        <v>9</v>
      </c>
      <c r="D216" s="58" t="s">
        <v>361</v>
      </c>
      <c r="E216" s="58" t="s">
        <v>70</v>
      </c>
      <c r="F216" s="56" t="s">
        <v>500</v>
      </c>
      <c r="G216" s="60">
        <v>1000000.0</v>
      </c>
      <c r="H216" s="62">
        <v>85.0</v>
      </c>
      <c r="I216" s="64">
        <v>8.5E7</v>
      </c>
      <c r="J216" s="64">
        <v>6800000.0</v>
      </c>
      <c r="K216" s="64">
        <v>9.18E7</v>
      </c>
      <c r="L216" s="65" t="s">
        <v>542</v>
      </c>
      <c r="M216" s="65" t="str">
        <f>VLOOKUP(L216,'Đơn đặt'!$C$3:$E$275,2,0)</f>
        <v>02-07/TS-LP</v>
      </c>
      <c r="N216" s="65" t="str">
        <f>VLOOKUP(L216,'Đơn đặt'!$C$3:$E$275,3,0)</f>
        <v>15-2026/TS-AVP/ĐĐH</v>
      </c>
      <c r="O216" s="66">
        <v>46077.0</v>
      </c>
      <c r="P216" s="67" t="s">
        <v>543</v>
      </c>
      <c r="Q216" s="68">
        <v>1000000.0</v>
      </c>
      <c r="R216" s="76">
        <v>78.6</v>
      </c>
      <c r="S216" s="77">
        <v>7.86E7</v>
      </c>
      <c r="T216" s="77">
        <v>6288000.0</v>
      </c>
      <c r="U216" s="60">
        <f t="shared" si="2"/>
        <v>84888000</v>
      </c>
      <c r="V216" s="70"/>
      <c r="W216" s="23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</row>
    <row r="217" ht="25.5" customHeight="1">
      <c r="A217" s="55">
        <v>46077.0</v>
      </c>
      <c r="B217" s="56" t="s">
        <v>541</v>
      </c>
      <c r="C217" s="56" t="s">
        <v>353</v>
      </c>
      <c r="D217" s="58" t="s">
        <v>544</v>
      </c>
      <c r="E217" s="58" t="s">
        <v>70</v>
      </c>
      <c r="F217" s="56" t="s">
        <v>500</v>
      </c>
      <c r="G217" s="60">
        <v>200000.0</v>
      </c>
      <c r="H217" s="62">
        <v>77.38</v>
      </c>
      <c r="I217" s="64">
        <v>1.5476E7</v>
      </c>
      <c r="J217" s="64">
        <v>1238080.0</v>
      </c>
      <c r="K217" s="64">
        <v>1.671408E7</v>
      </c>
      <c r="L217" s="65" t="s">
        <v>545</v>
      </c>
      <c r="M217" s="65" t="str">
        <f>VLOOKUP(L217,'Đơn đặt'!$C$3:$E$275,2,0)</f>
        <v>02-07/TS-LP</v>
      </c>
      <c r="N217" s="65" t="str">
        <f>VLOOKUP(L217,'Đơn đặt'!$C$3:$E$275,3,0)</f>
        <v>15-2026/TS-AVP/ĐĐH</v>
      </c>
      <c r="O217" s="66">
        <v>46077.0</v>
      </c>
      <c r="P217" s="67" t="s">
        <v>543</v>
      </c>
      <c r="Q217" s="68">
        <v>200000.0</v>
      </c>
      <c r="R217" s="76">
        <v>77.08</v>
      </c>
      <c r="S217" s="77">
        <v>1.5416E7</v>
      </c>
      <c r="T217" s="77">
        <v>1233280.0</v>
      </c>
      <c r="U217" s="60">
        <f t="shared" si="2"/>
        <v>16649280</v>
      </c>
      <c r="V217" s="70"/>
      <c r="W217" s="23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</row>
    <row r="218" ht="25.5" customHeight="1">
      <c r="A218" s="55">
        <v>46077.0</v>
      </c>
      <c r="B218" s="56" t="s">
        <v>546</v>
      </c>
      <c r="C218" s="56" t="s">
        <v>206</v>
      </c>
      <c r="D218" s="58" t="s">
        <v>207</v>
      </c>
      <c r="E218" s="58" t="s">
        <v>70</v>
      </c>
      <c r="F218" s="56" t="s">
        <v>71</v>
      </c>
      <c r="G218" s="60">
        <v>2000.0</v>
      </c>
      <c r="H218" s="62">
        <v>18134.0</v>
      </c>
      <c r="I218" s="64">
        <v>3.6268E7</v>
      </c>
      <c r="J218" s="64">
        <v>2901440.0</v>
      </c>
      <c r="K218" s="64">
        <v>3.916944E7</v>
      </c>
      <c r="L218" s="65" t="s">
        <v>451</v>
      </c>
      <c r="M218" s="65" t="str">
        <f>VLOOKUP(L218,'Đơn đặt'!$C$3:$E$275,2,0)</f>
        <v>01-04-TS</v>
      </c>
      <c r="N218" s="65" t="str">
        <f>VLOOKUP(L218,'Đơn đặt'!$C$3:$E$275,3,0)</f>
        <v>07-2026/TS-AVP/ĐĐH</v>
      </c>
      <c r="O218" s="66">
        <v>46077.0</v>
      </c>
      <c r="P218" s="67" t="s">
        <v>547</v>
      </c>
      <c r="Q218" s="68">
        <v>2000.0</v>
      </c>
      <c r="R218" s="76">
        <v>17202.8</v>
      </c>
      <c r="S218" s="77">
        <v>3.44056E7</v>
      </c>
      <c r="T218" s="77">
        <v>2752448.0</v>
      </c>
      <c r="U218" s="60">
        <f t="shared" si="2"/>
        <v>37158048</v>
      </c>
      <c r="V218" s="70"/>
      <c r="W218" s="23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</row>
    <row r="219" ht="25.5" customHeight="1">
      <c r="A219" s="55">
        <v>46077.0</v>
      </c>
      <c r="B219" s="56" t="s">
        <v>393</v>
      </c>
      <c r="C219" s="56" t="s">
        <v>59</v>
      </c>
      <c r="D219" s="58" t="s">
        <v>105</v>
      </c>
      <c r="E219" s="58" t="s">
        <v>70</v>
      </c>
      <c r="F219" s="56" t="s">
        <v>71</v>
      </c>
      <c r="G219" s="60">
        <v>3000.0</v>
      </c>
      <c r="H219" s="62">
        <v>18291.0</v>
      </c>
      <c r="I219" s="64">
        <v>5.4873E7</v>
      </c>
      <c r="J219" s="64">
        <v>4389840.0</v>
      </c>
      <c r="K219" s="64">
        <v>5.926284E7</v>
      </c>
      <c r="L219" s="65" t="s">
        <v>548</v>
      </c>
      <c r="M219" s="65" t="str">
        <f>VLOOKUP(L219,'Đơn đặt'!$C$3:$E$275,2,0)</f>
        <v>01-14-TS</v>
      </c>
      <c r="N219" s="65" t="str">
        <f>VLOOKUP(L219,'Đơn đặt'!$C$3:$E$275,3,0)</f>
        <v>12-2026/TS-AVP/ĐĐH</v>
      </c>
      <c r="O219" s="66">
        <v>46077.0</v>
      </c>
      <c r="P219" s="67" t="s">
        <v>549</v>
      </c>
      <c r="Q219" s="68">
        <v>3000.0</v>
      </c>
      <c r="R219" s="76">
        <v>16258.2</v>
      </c>
      <c r="S219" s="68">
        <v>4.87746E7</v>
      </c>
      <c r="T219" s="77">
        <v>3901968.0</v>
      </c>
      <c r="U219" s="60">
        <f t="shared" si="2"/>
        <v>52676568</v>
      </c>
      <c r="V219" s="70"/>
      <c r="W219" s="23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</row>
    <row r="220" ht="25.5" customHeight="1">
      <c r="A220" s="55">
        <v>46077.0</v>
      </c>
      <c r="B220" s="56" t="s">
        <v>393</v>
      </c>
      <c r="C220" s="56" t="s">
        <v>14</v>
      </c>
      <c r="D220" s="58" t="s">
        <v>13</v>
      </c>
      <c r="E220" s="58" t="s">
        <v>70</v>
      </c>
      <c r="F220" s="56" t="s">
        <v>71</v>
      </c>
      <c r="G220" s="60">
        <v>1000.0</v>
      </c>
      <c r="H220" s="62">
        <v>19404.0</v>
      </c>
      <c r="I220" s="64">
        <v>1.9404E7</v>
      </c>
      <c r="J220" s="64">
        <v>1552320.0</v>
      </c>
      <c r="K220" s="64">
        <v>2.095632E7</v>
      </c>
      <c r="L220" s="65" t="s">
        <v>291</v>
      </c>
      <c r="M220" s="65" t="str">
        <f>VLOOKUP(L220,'Đơn đặt'!$C$3:$E$275,2,0)</f>
        <v>12-01-TS</v>
      </c>
      <c r="N220" s="65" t="str">
        <f>VLOOKUP(L220,'Đơn đặt'!$C$3:$E$275,3,0)</f>
        <v>03-2026/TS-AVP/ĐĐH</v>
      </c>
      <c r="O220" s="66">
        <v>46077.0</v>
      </c>
      <c r="P220" s="67" t="s">
        <v>549</v>
      </c>
      <c r="Q220" s="68">
        <v>1000.0</v>
      </c>
      <c r="R220" s="76">
        <v>17776.8</v>
      </c>
      <c r="S220" s="77">
        <v>1.77768E7</v>
      </c>
      <c r="T220" s="77">
        <v>1422144.0</v>
      </c>
      <c r="U220" s="60">
        <f t="shared" si="2"/>
        <v>19198944</v>
      </c>
      <c r="V220" s="70"/>
      <c r="W220" s="23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</row>
    <row r="221" ht="25.5" customHeight="1">
      <c r="A221" s="55">
        <v>46077.0</v>
      </c>
      <c r="B221" s="56" t="s">
        <v>394</v>
      </c>
      <c r="C221" s="56" t="s">
        <v>48</v>
      </c>
      <c r="D221" s="58" t="s">
        <v>47</v>
      </c>
      <c r="E221" s="58" t="s">
        <v>70</v>
      </c>
      <c r="F221" s="56" t="s">
        <v>71</v>
      </c>
      <c r="G221" s="60">
        <v>5000.0</v>
      </c>
      <c r="H221" s="62">
        <v>18291.0</v>
      </c>
      <c r="I221" s="64">
        <v>9.1455E7</v>
      </c>
      <c r="J221" s="64">
        <v>7316400.0</v>
      </c>
      <c r="K221" s="64">
        <v>9.87714E7</v>
      </c>
      <c r="L221" s="65" t="s">
        <v>269</v>
      </c>
      <c r="M221" s="65" t="str">
        <f>VLOOKUP(L221,'Đơn đặt'!$C$3:$E$275,2,0)</f>
        <v>12-01-TS</v>
      </c>
      <c r="N221" s="65" t="str">
        <f>VLOOKUP(L221,'Đơn đặt'!$C$3:$E$275,3,0)</f>
        <v>09-2026/TS-AVP/ĐĐH</v>
      </c>
      <c r="O221" s="66">
        <v>46077.0</v>
      </c>
      <c r="P221" s="67" t="s">
        <v>550</v>
      </c>
      <c r="Q221" s="68">
        <v>5000.0</v>
      </c>
      <c r="R221" s="68">
        <v>14482.2</v>
      </c>
      <c r="S221" s="68">
        <v>7.2411E7</v>
      </c>
      <c r="T221" s="68">
        <v>5792880.0</v>
      </c>
      <c r="U221" s="60">
        <f t="shared" si="2"/>
        <v>78203880</v>
      </c>
      <c r="V221" s="70"/>
      <c r="W221" s="23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</row>
    <row r="222" ht="25.5" customHeight="1">
      <c r="A222" s="55">
        <v>46077.0</v>
      </c>
      <c r="B222" s="56" t="s">
        <v>394</v>
      </c>
      <c r="C222" s="56" t="s">
        <v>50</v>
      </c>
      <c r="D222" s="58" t="s">
        <v>49</v>
      </c>
      <c r="E222" s="58" t="s">
        <v>70</v>
      </c>
      <c r="F222" s="56" t="s">
        <v>71</v>
      </c>
      <c r="G222" s="60">
        <v>2000.0</v>
      </c>
      <c r="H222" s="62">
        <v>18291.0</v>
      </c>
      <c r="I222" s="64">
        <v>3.6582E7</v>
      </c>
      <c r="J222" s="64">
        <v>2926560.0</v>
      </c>
      <c r="K222" s="64">
        <v>3.950856E7</v>
      </c>
      <c r="L222" s="65" t="s">
        <v>392</v>
      </c>
      <c r="M222" s="65" t="str">
        <f>VLOOKUP(L222,'Đơn đặt'!$C$3:$E$275,2,0)</f>
        <v>12-01-TS</v>
      </c>
      <c r="N222" s="65" t="str">
        <f>VLOOKUP(L222,'Đơn đặt'!$C$3:$E$275,3,0)</f>
        <v>09-2026/TS-AVP/ĐĐH</v>
      </c>
      <c r="O222" s="66">
        <v>46077.0</v>
      </c>
      <c r="P222" s="67" t="s">
        <v>550</v>
      </c>
      <c r="Q222" s="68">
        <v>2000.0</v>
      </c>
      <c r="R222" s="76">
        <v>14482.2</v>
      </c>
      <c r="S222" s="77">
        <v>2.89644E7</v>
      </c>
      <c r="T222" s="77">
        <v>2317152.0</v>
      </c>
      <c r="U222" s="60">
        <f t="shared" si="2"/>
        <v>31281552</v>
      </c>
      <c r="V222" s="70"/>
      <c r="W222" s="23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</row>
    <row r="223" ht="25.5" customHeight="1">
      <c r="A223" s="55">
        <v>46078.0</v>
      </c>
      <c r="B223" s="56" t="s">
        <v>551</v>
      </c>
      <c r="C223" s="56" t="s">
        <v>21</v>
      </c>
      <c r="D223" s="58" t="s">
        <v>371</v>
      </c>
      <c r="E223" s="58" t="s">
        <v>70</v>
      </c>
      <c r="F223" s="56" t="s">
        <v>71</v>
      </c>
      <c r="G223" s="60">
        <v>750.0</v>
      </c>
      <c r="H223" s="62">
        <v>18029.0</v>
      </c>
      <c r="I223" s="64">
        <v>1.352175E7</v>
      </c>
      <c r="J223" s="64">
        <v>1081740.0</v>
      </c>
      <c r="K223" s="64">
        <v>1.460349E7</v>
      </c>
      <c r="L223" s="65" t="s">
        <v>552</v>
      </c>
      <c r="M223" s="65" t="str">
        <f>VLOOKUP(L223,'Đơn đặt'!$C$3:$E$275,2,0)</f>
        <v>02-03-TS</v>
      </c>
      <c r="N223" s="65" t="str">
        <f>VLOOKUP(L223,'Đơn đặt'!$C$3:$E$275,3,0)</f>
        <v>21-2026/TS-AVP/ĐĐH</v>
      </c>
      <c r="O223" s="66">
        <v>46078.0</v>
      </c>
      <c r="P223" s="67" t="s">
        <v>553</v>
      </c>
      <c r="Q223" s="68">
        <v>750.0</v>
      </c>
      <c r="R223" s="76">
        <v>17469.8</v>
      </c>
      <c r="S223" s="77">
        <v>1.310235E7</v>
      </c>
      <c r="T223" s="77">
        <v>1048188.0</v>
      </c>
      <c r="U223" s="60">
        <f t="shared" si="2"/>
        <v>14150538</v>
      </c>
      <c r="V223" s="70"/>
      <c r="W223" s="23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</row>
    <row r="224" ht="25.5" customHeight="1">
      <c r="A224" s="55">
        <v>46078.0</v>
      </c>
      <c r="B224" s="56" t="s">
        <v>551</v>
      </c>
      <c r="C224" s="56" t="s">
        <v>247</v>
      </c>
      <c r="D224" s="58" t="s">
        <v>380</v>
      </c>
      <c r="E224" s="58" t="s">
        <v>70</v>
      </c>
      <c r="F224" s="56" t="s">
        <v>71</v>
      </c>
      <c r="G224" s="60">
        <v>400.0</v>
      </c>
      <c r="H224" s="62">
        <v>18365.0</v>
      </c>
      <c r="I224" s="64">
        <f t="shared" ref="I224:I225" si="36">ROUND(G224*H224,0)</f>
        <v>7346000</v>
      </c>
      <c r="J224" s="64">
        <f t="shared" ref="J224:J225" si="37">ROUND(I224*0.08,0)</f>
        <v>587680</v>
      </c>
      <c r="K224" s="64">
        <f t="shared" ref="K224:K225" si="38">I224+J224</f>
        <v>7933680</v>
      </c>
      <c r="L224" s="65" t="s">
        <v>381</v>
      </c>
      <c r="M224" s="65" t="str">
        <f>VLOOKUP(L224,'Đơn đặt'!$C$3:$E$275,2,0)</f>
        <v>12-01-TS</v>
      </c>
      <c r="N224" s="65" t="str">
        <f>VLOOKUP(L224,'Đơn đặt'!$C$3:$E$275,3,0)</f>
        <v>03-2026/TS-AVP/ĐĐH</v>
      </c>
      <c r="O224" s="66">
        <v>46078.0</v>
      </c>
      <c r="P224" s="67" t="s">
        <v>553</v>
      </c>
      <c r="Q224" s="68">
        <v>400.0</v>
      </c>
      <c r="R224" s="76">
        <v>17569.0</v>
      </c>
      <c r="S224" s="64">
        <f t="shared" ref="S224:S225" si="39">ROUND(Q224*R224,0)</f>
        <v>7027600</v>
      </c>
      <c r="T224" s="64">
        <f t="shared" ref="T224:T225" si="40">ROUND(S224*0.08,0)</f>
        <v>562208</v>
      </c>
      <c r="U224" s="60">
        <f t="shared" si="2"/>
        <v>7589808</v>
      </c>
      <c r="V224" s="70"/>
      <c r="W224" s="23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</row>
    <row r="225" ht="25.5" customHeight="1">
      <c r="A225" s="55">
        <v>46078.0</v>
      </c>
      <c r="B225" s="56" t="s">
        <v>551</v>
      </c>
      <c r="C225" s="56" t="s">
        <v>247</v>
      </c>
      <c r="D225" s="58" t="s">
        <v>380</v>
      </c>
      <c r="E225" s="58" t="s">
        <v>70</v>
      </c>
      <c r="F225" s="56" t="s">
        <v>71</v>
      </c>
      <c r="G225" s="60">
        <v>100.0</v>
      </c>
      <c r="H225" s="62">
        <v>18365.0</v>
      </c>
      <c r="I225" s="64">
        <f t="shared" si="36"/>
        <v>1836500</v>
      </c>
      <c r="J225" s="64">
        <f t="shared" si="37"/>
        <v>146920</v>
      </c>
      <c r="K225" s="64">
        <f t="shared" si="38"/>
        <v>1983420</v>
      </c>
      <c r="L225" s="65" t="s">
        <v>554</v>
      </c>
      <c r="M225" s="65" t="str">
        <f>VLOOKUP(L225,'Đơn đặt'!$C$3:$E$275,2,0)</f>
        <v>01-14-TS</v>
      </c>
      <c r="N225" s="65" t="str">
        <f>VLOOKUP(L225,'Đơn đặt'!$C$3:$E$275,3,0)</f>
        <v>12-2026/TS-AVP/ĐĐH</v>
      </c>
      <c r="O225" s="66">
        <v>46078.0</v>
      </c>
      <c r="P225" s="67" t="s">
        <v>553</v>
      </c>
      <c r="Q225" s="68">
        <v>100.0</v>
      </c>
      <c r="R225" s="76">
        <v>17569.0</v>
      </c>
      <c r="S225" s="64">
        <f t="shared" si="39"/>
        <v>1756900</v>
      </c>
      <c r="T225" s="64">
        <f t="shared" si="40"/>
        <v>140552</v>
      </c>
      <c r="U225" s="60">
        <f t="shared" si="2"/>
        <v>1897452</v>
      </c>
      <c r="V225" s="70"/>
      <c r="W225" s="23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</row>
    <row r="226" ht="25.5" customHeight="1">
      <c r="A226" s="55">
        <v>46078.0</v>
      </c>
      <c r="B226" s="56" t="s">
        <v>551</v>
      </c>
      <c r="C226" s="56" t="s">
        <v>419</v>
      </c>
      <c r="D226" s="58" t="s">
        <v>555</v>
      </c>
      <c r="E226" s="58" t="s">
        <v>70</v>
      </c>
      <c r="F226" s="56" t="s">
        <v>71</v>
      </c>
      <c r="G226" s="60">
        <v>400.0</v>
      </c>
      <c r="H226" s="62">
        <v>20024.0</v>
      </c>
      <c r="I226" s="64">
        <v>8009600.0</v>
      </c>
      <c r="J226" s="64">
        <v>640768.0</v>
      </c>
      <c r="K226" s="64">
        <v>8650368.0</v>
      </c>
      <c r="L226" s="65" t="s">
        <v>556</v>
      </c>
      <c r="M226" s="65" t="str">
        <f>VLOOKUP(L226,'Đơn đặt'!$C$3:$E$275,2,0)</f>
        <v>02-03-TS</v>
      </c>
      <c r="N226" s="65" t="str">
        <f>VLOOKUP(L226,'Đơn đặt'!$C$3:$E$275,3,0)</f>
        <v>21-2026/TS-AVP/ĐĐH</v>
      </c>
      <c r="O226" s="66">
        <v>46078.0</v>
      </c>
      <c r="P226" s="67" t="s">
        <v>553</v>
      </c>
      <c r="Q226" s="68">
        <v>400.0</v>
      </c>
      <c r="R226" s="76">
        <v>17900.8</v>
      </c>
      <c r="S226" s="77">
        <v>7160320.0</v>
      </c>
      <c r="T226" s="77">
        <v>572826.0</v>
      </c>
      <c r="U226" s="60">
        <f t="shared" si="2"/>
        <v>7733146</v>
      </c>
      <c r="V226" s="70"/>
      <c r="W226" s="23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</row>
    <row r="227" ht="25.5" customHeight="1">
      <c r="A227" s="55">
        <v>46078.0</v>
      </c>
      <c r="B227" s="56" t="s">
        <v>551</v>
      </c>
      <c r="C227" s="56" t="s">
        <v>329</v>
      </c>
      <c r="D227" s="58" t="s">
        <v>461</v>
      </c>
      <c r="E227" s="58" t="s">
        <v>70</v>
      </c>
      <c r="F227" s="56" t="s">
        <v>71</v>
      </c>
      <c r="G227" s="60">
        <v>330.0</v>
      </c>
      <c r="H227" s="62">
        <v>20024.0</v>
      </c>
      <c r="I227" s="64">
        <v>6607920.0</v>
      </c>
      <c r="J227" s="64">
        <v>528634.0</v>
      </c>
      <c r="K227" s="64">
        <v>7136554.0</v>
      </c>
      <c r="L227" s="65" t="s">
        <v>462</v>
      </c>
      <c r="M227" s="65" t="str">
        <f>VLOOKUP(L227,'Đơn đặt'!$C$3:$E$275,2,0)</f>
        <v>01-14-TS</v>
      </c>
      <c r="N227" s="65" t="str">
        <f>VLOOKUP(L227,'Đơn đặt'!$C$3:$E$275,3,0)</f>
        <v>12-2026/TS-AVP/ĐĐH</v>
      </c>
      <c r="O227" s="66">
        <v>46078.0</v>
      </c>
      <c r="P227" s="67" t="s">
        <v>553</v>
      </c>
      <c r="Q227" s="68">
        <v>330.0</v>
      </c>
      <c r="R227" s="76">
        <v>17900.8</v>
      </c>
      <c r="S227" s="77">
        <v>5907264.0</v>
      </c>
      <c r="T227" s="77">
        <v>472581.0</v>
      </c>
      <c r="U227" s="60">
        <f t="shared" si="2"/>
        <v>6379845</v>
      </c>
      <c r="V227" s="70"/>
      <c r="W227" s="23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</row>
    <row r="228" ht="25.5" customHeight="1">
      <c r="A228" s="55">
        <v>46078.0</v>
      </c>
      <c r="B228" s="56" t="s">
        <v>551</v>
      </c>
      <c r="C228" s="56" t="s">
        <v>119</v>
      </c>
      <c r="D228" s="58" t="s">
        <v>120</v>
      </c>
      <c r="E228" s="58" t="s">
        <v>70</v>
      </c>
      <c r="F228" s="56" t="s">
        <v>71</v>
      </c>
      <c r="G228" s="60">
        <v>2000.0</v>
      </c>
      <c r="H228" s="62">
        <v>19310.0</v>
      </c>
      <c r="I228" s="64">
        <v>3.862E7</v>
      </c>
      <c r="J228" s="64">
        <v>3089600.0</v>
      </c>
      <c r="K228" s="64">
        <v>4.17096E7</v>
      </c>
      <c r="L228" s="65" t="s">
        <v>228</v>
      </c>
      <c r="M228" s="65" t="str">
        <f>VLOOKUP(L228,'Đơn đặt'!$C$3:$E$275,2,0)</f>
        <v>01-02-TS</v>
      </c>
      <c r="N228" s="65" t="str">
        <f>VLOOKUP(L228,'Đơn đặt'!$C$3:$E$275,3,0)</f>
        <v>04-2026/TS-AVP/ĐĐH</v>
      </c>
      <c r="O228" s="66">
        <v>46078.0</v>
      </c>
      <c r="P228" s="67" t="s">
        <v>553</v>
      </c>
      <c r="Q228" s="68">
        <v>2000.0</v>
      </c>
      <c r="R228" s="76">
        <v>17438.0</v>
      </c>
      <c r="S228" s="77">
        <v>3.4876E7</v>
      </c>
      <c r="T228" s="77">
        <v>2790080.0</v>
      </c>
      <c r="U228" s="60">
        <f t="shared" si="2"/>
        <v>37666080</v>
      </c>
      <c r="V228" s="70"/>
      <c r="W228" s="23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</row>
    <row r="229" ht="25.5" customHeight="1">
      <c r="A229" s="55">
        <v>46078.0</v>
      </c>
      <c r="B229" s="56" t="s">
        <v>557</v>
      </c>
      <c r="C229" s="56" t="s">
        <v>3</v>
      </c>
      <c r="D229" s="58" t="s">
        <v>164</v>
      </c>
      <c r="E229" s="58" t="s">
        <v>70</v>
      </c>
      <c r="F229" s="56" t="s">
        <v>112</v>
      </c>
      <c r="G229" s="60">
        <v>6000.0</v>
      </c>
      <c r="H229" s="62">
        <v>38000.0</v>
      </c>
      <c r="I229" s="64">
        <v>2.28E8</v>
      </c>
      <c r="J229" s="64">
        <v>1.824E7</v>
      </c>
      <c r="K229" s="64">
        <v>2.4624E8</v>
      </c>
      <c r="L229" s="65" t="s">
        <v>558</v>
      </c>
      <c r="M229" s="65" t="str">
        <f>VLOOKUP(L229,'Đơn đặt'!$C$3:$E$275,2,0)</f>
        <v>02-19/TS-LP</v>
      </c>
      <c r="N229" s="65" t="str">
        <f>VLOOKUP(L229,'Đơn đặt'!$C$3:$E$275,3,0)</f>
        <v>18-2026/TS-AVP/ĐĐH</v>
      </c>
      <c r="O229" s="66">
        <v>46078.0</v>
      </c>
      <c r="P229" s="67" t="s">
        <v>559</v>
      </c>
      <c r="Q229" s="68">
        <v>6000.0</v>
      </c>
      <c r="R229" s="76">
        <v>34800.0</v>
      </c>
      <c r="S229" s="77">
        <v>2.088E8</v>
      </c>
      <c r="T229" s="77">
        <v>1.6704E7</v>
      </c>
      <c r="U229" s="60">
        <f t="shared" si="2"/>
        <v>225504000</v>
      </c>
      <c r="V229" s="70"/>
      <c r="W229" s="23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</row>
    <row r="230" ht="25.5" customHeight="1">
      <c r="A230" s="78">
        <v>46078.0</v>
      </c>
      <c r="B230" s="79" t="s">
        <v>560</v>
      </c>
      <c r="C230" s="56" t="s">
        <v>92</v>
      </c>
      <c r="D230" s="80" t="s">
        <v>93</v>
      </c>
      <c r="E230" s="58" t="s">
        <v>94</v>
      </c>
      <c r="F230" s="56" t="s">
        <v>95</v>
      </c>
      <c r="G230" s="81">
        <v>208.0</v>
      </c>
      <c r="H230" s="62">
        <v>502740.0</v>
      </c>
      <c r="I230" s="64">
        <v>1.0456992E8</v>
      </c>
      <c r="J230" s="64">
        <v>8365594.0</v>
      </c>
      <c r="K230" s="64">
        <v>1.12935514E8</v>
      </c>
      <c r="L230" s="65" t="s">
        <v>398</v>
      </c>
      <c r="M230" s="65" t="str">
        <f>VLOOKUP(L230,'Đơn đặt'!$C$3:$E$275,2,0)</f>
        <v>09-01/2026</v>
      </c>
      <c r="N230" s="65" t="str">
        <f>VLOOKUP(L230,'Đơn đặt'!$C$3:$E$275,3,0)</f>
        <v>Hàng SX</v>
      </c>
      <c r="O230" s="78" t="s">
        <v>98</v>
      </c>
      <c r="P230" s="92"/>
      <c r="Q230" s="81">
        <f>G230</f>
        <v>208</v>
      </c>
      <c r="R230" s="92"/>
      <c r="S230" s="83">
        <f>ROUND(Q230*R230,0)</f>
        <v>0</v>
      </c>
      <c r="T230" s="83">
        <f>ROUND(S230*0.08,0)</f>
        <v>0</v>
      </c>
      <c r="U230" s="81">
        <f t="shared" si="2"/>
        <v>0</v>
      </c>
      <c r="V230" s="70"/>
      <c r="W230" s="23"/>
      <c r="X230" s="69"/>
      <c r="Y230" s="69"/>
      <c r="Z230" s="69"/>
      <c r="AA230" s="69"/>
      <c r="AB230" s="69"/>
      <c r="AC230" s="69"/>
      <c r="AD230" s="69"/>
      <c r="AE230" s="69"/>
      <c r="AF230" s="69"/>
      <c r="AG230" s="69"/>
      <c r="AH230" s="69"/>
      <c r="AI230" s="69"/>
      <c r="AJ230" s="69"/>
      <c r="AK230" s="69"/>
      <c r="AL230" s="69"/>
      <c r="AM230" s="69"/>
      <c r="AN230" s="69"/>
      <c r="AO230" s="69"/>
    </row>
    <row r="231" ht="25.5" customHeight="1">
      <c r="A231" s="55">
        <v>46078.0</v>
      </c>
      <c r="B231" s="56" t="s">
        <v>563</v>
      </c>
      <c r="C231" s="56" t="s">
        <v>14</v>
      </c>
      <c r="D231" s="58" t="s">
        <v>13</v>
      </c>
      <c r="E231" s="58" t="s">
        <v>70</v>
      </c>
      <c r="F231" s="56" t="s">
        <v>71</v>
      </c>
      <c r="G231" s="60">
        <v>2450.0</v>
      </c>
      <c r="H231" s="62">
        <v>19404.0</v>
      </c>
      <c r="I231" s="64">
        <v>4.75398E7</v>
      </c>
      <c r="J231" s="64">
        <v>3803184.0</v>
      </c>
      <c r="K231" s="64">
        <v>5.1342984E7</v>
      </c>
      <c r="L231" s="65" t="s">
        <v>564</v>
      </c>
      <c r="M231" s="65" t="str">
        <f>VLOOKUP(L231,'Đơn đặt'!$C$3:$E$275,2,0)</f>
        <v>01-14-TS</v>
      </c>
      <c r="N231" s="65" t="str">
        <f>VLOOKUP(L231,'Đơn đặt'!$C$3:$E$275,3,0)</f>
        <v>12-2026/TS-AVP/ĐĐH</v>
      </c>
      <c r="O231" s="66">
        <v>46078.0</v>
      </c>
      <c r="P231" s="67" t="s">
        <v>567</v>
      </c>
      <c r="Q231" s="68">
        <v>2450.0</v>
      </c>
      <c r="R231" s="76">
        <v>17776.8</v>
      </c>
      <c r="S231" s="77">
        <v>4.355316E7</v>
      </c>
      <c r="T231" s="77">
        <v>3484253.0</v>
      </c>
      <c r="U231" s="60">
        <f t="shared" si="2"/>
        <v>47037413</v>
      </c>
      <c r="V231" s="70"/>
      <c r="W231" s="23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</row>
    <row r="232" ht="25.5" customHeight="1">
      <c r="A232" s="55">
        <v>46078.0</v>
      </c>
      <c r="B232" s="56" t="s">
        <v>563</v>
      </c>
      <c r="C232" s="56" t="s">
        <v>222</v>
      </c>
      <c r="D232" s="58" t="s">
        <v>223</v>
      </c>
      <c r="E232" s="58" t="s">
        <v>70</v>
      </c>
      <c r="F232" s="56" t="s">
        <v>71</v>
      </c>
      <c r="G232" s="60">
        <v>2270.0</v>
      </c>
      <c r="H232" s="62">
        <v>19310.0</v>
      </c>
      <c r="I232" s="64">
        <v>4.38337E7</v>
      </c>
      <c r="J232" s="64">
        <v>3506696.0</v>
      </c>
      <c r="K232" s="64">
        <v>4.7340396E7</v>
      </c>
      <c r="L232" s="65" t="s">
        <v>471</v>
      </c>
      <c r="M232" s="65" t="str">
        <f>VLOOKUP(L232,'Đơn đặt'!$C$3:$E$275,2,0)</f>
        <v>11-04-TS</v>
      </c>
      <c r="N232" s="65" t="str">
        <f>VLOOKUP(L232,'Đơn đặt'!$C$3:$E$275,3,0)</f>
        <v>01-2026/TS-AVP/ĐĐH</v>
      </c>
      <c r="O232" s="66">
        <v>46078.0</v>
      </c>
      <c r="P232" s="67" t="s">
        <v>567</v>
      </c>
      <c r="Q232" s="68">
        <v>2270.0</v>
      </c>
      <c r="R232" s="76">
        <v>17438.0</v>
      </c>
      <c r="S232" s="77">
        <v>3.958426E7</v>
      </c>
      <c r="T232" s="77">
        <v>3166741.0</v>
      </c>
      <c r="U232" s="60">
        <f t="shared" si="2"/>
        <v>42751001</v>
      </c>
      <c r="V232" s="70"/>
      <c r="W232" s="23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</row>
    <row r="233" ht="25.5" customHeight="1">
      <c r="A233" s="55">
        <v>46078.0</v>
      </c>
      <c r="B233" s="56" t="s">
        <v>563</v>
      </c>
      <c r="C233" s="56" t="s">
        <v>428</v>
      </c>
      <c r="D233" s="58" t="s">
        <v>429</v>
      </c>
      <c r="E233" s="58" t="s">
        <v>70</v>
      </c>
      <c r="F233" s="56" t="s">
        <v>71</v>
      </c>
      <c r="G233" s="60">
        <v>100.0</v>
      </c>
      <c r="H233" s="62">
        <v>18827.0</v>
      </c>
      <c r="I233" s="64">
        <v>1882700.0</v>
      </c>
      <c r="J233" s="64">
        <v>150616.0</v>
      </c>
      <c r="K233" s="64">
        <v>2033316.0</v>
      </c>
      <c r="L233" s="91" t="s">
        <v>568</v>
      </c>
      <c r="M233" s="65" t="str">
        <f>VLOOKUP(L233,'Đơn đặt'!$C$3:$E$275,2,0)</f>
        <v>02-03-TS</v>
      </c>
      <c r="N233" s="65" t="str">
        <f>VLOOKUP(L233,'Đơn đặt'!$C$3:$E$275,3,0)</f>
        <v>21-2026/TS-AVP/ĐĐH</v>
      </c>
      <c r="O233" s="66">
        <v>46078.0</v>
      </c>
      <c r="P233" s="67" t="s">
        <v>553</v>
      </c>
      <c r="Q233" s="68">
        <v>100.0</v>
      </c>
      <c r="R233" s="76">
        <v>17581.4</v>
      </c>
      <c r="S233" s="77">
        <v>1758140.0</v>
      </c>
      <c r="T233" s="77">
        <v>140651.0</v>
      </c>
      <c r="U233" s="60">
        <f t="shared" si="2"/>
        <v>1898791</v>
      </c>
      <c r="V233" s="70"/>
      <c r="W233" s="23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</row>
    <row r="234" ht="25.5" customHeight="1">
      <c r="A234" s="55">
        <v>46078.0</v>
      </c>
      <c r="B234" s="56" t="s">
        <v>407</v>
      </c>
      <c r="C234" s="56" t="s">
        <v>35</v>
      </c>
      <c r="D234" s="58" t="s">
        <v>34</v>
      </c>
      <c r="E234" s="58" t="s">
        <v>70</v>
      </c>
      <c r="F234" s="56" t="s">
        <v>71</v>
      </c>
      <c r="G234" s="60">
        <v>920.0</v>
      </c>
      <c r="H234" s="62">
        <v>14900.0</v>
      </c>
      <c r="I234" s="64">
        <v>1.3708E7</v>
      </c>
      <c r="J234" s="64">
        <v>1096640.0</v>
      </c>
      <c r="K234" s="64">
        <v>1.480464E7</v>
      </c>
      <c r="L234" s="91" t="s">
        <v>569</v>
      </c>
      <c r="M234" s="65" t="str">
        <f>VLOOKUP(L234,'Đơn đặt'!$C$3:$E$275,2,0)</f>
        <v>01-14-TS</v>
      </c>
      <c r="N234" s="65" t="str">
        <f>VLOOKUP(L234,'Đơn đặt'!$C$3:$E$275,3,0)</f>
        <v>12-2026/TS-AVP/ĐĐH</v>
      </c>
      <c r="O234" s="66">
        <v>46078.0</v>
      </c>
      <c r="P234" s="67" t="s">
        <v>570</v>
      </c>
      <c r="Q234" s="68">
        <v>920.0</v>
      </c>
      <c r="R234" s="76">
        <v>14140.0</v>
      </c>
      <c r="S234" s="77">
        <v>1.30088E7</v>
      </c>
      <c r="T234" s="77">
        <v>1040704.0</v>
      </c>
      <c r="U234" s="60">
        <f t="shared" si="2"/>
        <v>14049504</v>
      </c>
      <c r="V234" s="70"/>
      <c r="W234" s="23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</row>
    <row r="235" ht="25.5" customHeight="1">
      <c r="A235" s="55">
        <v>46078.0</v>
      </c>
      <c r="B235" s="56" t="s">
        <v>407</v>
      </c>
      <c r="C235" s="56" t="s">
        <v>266</v>
      </c>
      <c r="D235" s="58" t="s">
        <v>516</v>
      </c>
      <c r="E235" s="58" t="s">
        <v>70</v>
      </c>
      <c r="F235" s="56" t="s">
        <v>71</v>
      </c>
      <c r="G235" s="60">
        <v>1000.0</v>
      </c>
      <c r="H235" s="62">
        <v>17325.0</v>
      </c>
      <c r="I235" s="64">
        <v>1.7325E7</v>
      </c>
      <c r="J235" s="64">
        <v>1386000.0</v>
      </c>
      <c r="K235" s="64">
        <v>1.8711E7</v>
      </c>
      <c r="L235" s="65" t="s">
        <v>517</v>
      </c>
      <c r="M235" s="65" t="str">
        <f>VLOOKUP(L235,'Đơn đặt'!$C$3:$E$275,2,0)</f>
        <v>01-04-TS</v>
      </c>
      <c r="N235" s="65" t="str">
        <f>VLOOKUP(L235,'Đơn đặt'!$C$3:$E$275,3,0)</f>
        <v>07-2026/TS-AVP/ĐĐH</v>
      </c>
      <c r="O235" s="66">
        <v>46078.0</v>
      </c>
      <c r="P235" s="67" t="s">
        <v>570</v>
      </c>
      <c r="Q235" s="68">
        <v>1000.0</v>
      </c>
      <c r="R235" s="76">
        <v>16625.0</v>
      </c>
      <c r="S235" s="77">
        <v>1.6625E7</v>
      </c>
      <c r="T235" s="77">
        <v>1330000.0</v>
      </c>
      <c r="U235" s="60">
        <f t="shared" si="2"/>
        <v>17955000</v>
      </c>
      <c r="V235" s="70"/>
      <c r="W235" s="23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</row>
    <row r="236" ht="25.5" customHeight="1">
      <c r="A236" s="55">
        <v>46078.0</v>
      </c>
      <c r="B236" s="56" t="s">
        <v>396</v>
      </c>
      <c r="C236" s="56" t="s">
        <v>50</v>
      </c>
      <c r="D236" s="58" t="s">
        <v>49</v>
      </c>
      <c r="E236" s="58" t="s">
        <v>70</v>
      </c>
      <c r="F236" s="56" t="s">
        <v>71</v>
      </c>
      <c r="G236" s="60">
        <v>2000.0</v>
      </c>
      <c r="H236" s="62">
        <v>18291.0</v>
      </c>
      <c r="I236" s="64">
        <v>3.6582E7</v>
      </c>
      <c r="J236" s="64">
        <v>2926560.0</v>
      </c>
      <c r="K236" s="64">
        <v>3.950856E7</v>
      </c>
      <c r="L236" s="65" t="s">
        <v>392</v>
      </c>
      <c r="M236" s="65" t="str">
        <f>VLOOKUP(L236,'Đơn đặt'!$C$3:$E$275,2,0)</f>
        <v>12-01-TS</v>
      </c>
      <c r="N236" s="65" t="str">
        <f>VLOOKUP(L236,'Đơn đặt'!$C$3:$E$275,3,0)</f>
        <v>09-2026/TS-AVP/ĐĐH</v>
      </c>
      <c r="O236" s="66">
        <v>46078.0</v>
      </c>
      <c r="P236" s="67" t="s">
        <v>572</v>
      </c>
      <c r="Q236" s="68">
        <v>2000.0</v>
      </c>
      <c r="R236" s="76">
        <v>14482.2</v>
      </c>
      <c r="S236" s="77">
        <v>2.89644E7</v>
      </c>
      <c r="T236" s="77">
        <v>2317152.0</v>
      </c>
      <c r="U236" s="60">
        <f t="shared" si="2"/>
        <v>31281552</v>
      </c>
      <c r="V236" s="70"/>
      <c r="W236" s="23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</row>
    <row r="237" ht="25.5" customHeight="1">
      <c r="A237" s="55">
        <v>46079.0</v>
      </c>
      <c r="B237" s="56" t="s">
        <v>577</v>
      </c>
      <c r="C237" s="56" t="s">
        <v>11</v>
      </c>
      <c r="D237" s="58" t="s">
        <v>10</v>
      </c>
      <c r="E237" s="58" t="s">
        <v>70</v>
      </c>
      <c r="F237" s="56" t="s">
        <v>500</v>
      </c>
      <c r="G237" s="60">
        <v>45000.0</v>
      </c>
      <c r="H237" s="62">
        <v>876.0</v>
      </c>
      <c r="I237" s="64">
        <v>3.942E7</v>
      </c>
      <c r="J237" s="64">
        <v>3153600.0</v>
      </c>
      <c r="K237" s="64">
        <v>4.25736E7</v>
      </c>
      <c r="L237" s="65" t="s">
        <v>578</v>
      </c>
      <c r="M237" s="65" t="str">
        <f>VLOOKUP(L237,'Đơn đặt'!$C$3:$E$275,2,0)</f>
        <v>02-07/TS-LP</v>
      </c>
      <c r="N237" s="65" t="str">
        <f>VLOOKUP(L237,'Đơn đặt'!$C$3:$E$275,3,0)</f>
        <v>14-2026/TS-AVP/ĐĐH</v>
      </c>
      <c r="O237" s="66">
        <v>46079.0</v>
      </c>
      <c r="P237" s="67" t="s">
        <v>579</v>
      </c>
      <c r="Q237" s="68">
        <v>45000.0</v>
      </c>
      <c r="R237" s="76">
        <v>831.2</v>
      </c>
      <c r="S237" s="77">
        <v>3.7404E7</v>
      </c>
      <c r="T237" s="77">
        <v>2992320.0</v>
      </c>
      <c r="U237" s="60">
        <f t="shared" si="2"/>
        <v>40396320</v>
      </c>
      <c r="V237" s="70"/>
      <c r="W237" s="23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</row>
    <row r="238" ht="25.5" customHeight="1">
      <c r="A238" s="55">
        <v>46079.0</v>
      </c>
      <c r="B238" s="56" t="s">
        <v>577</v>
      </c>
      <c r="C238" s="56" t="s">
        <v>344</v>
      </c>
      <c r="D238" s="58" t="s">
        <v>582</v>
      </c>
      <c r="E238" s="58" t="s">
        <v>70</v>
      </c>
      <c r="F238" s="56" t="s">
        <v>500</v>
      </c>
      <c r="G238" s="60">
        <v>17000.0</v>
      </c>
      <c r="H238" s="62">
        <v>876.0</v>
      </c>
      <c r="I238" s="64">
        <v>1.4892E7</v>
      </c>
      <c r="J238" s="64">
        <v>1191360.0</v>
      </c>
      <c r="K238" s="64">
        <v>1.608336E7</v>
      </c>
      <c r="L238" s="65" t="s">
        <v>583</v>
      </c>
      <c r="M238" s="65" t="str">
        <f>VLOOKUP(L238,'Đơn đặt'!$C$3:$E$275,2,0)</f>
        <v>02-07/TS-LP</v>
      </c>
      <c r="N238" s="65" t="str">
        <f>VLOOKUP(L238,'Đơn đặt'!$C$3:$E$275,3,0)</f>
        <v>14-2026/TS-AVP/ĐĐH</v>
      </c>
      <c r="O238" s="66">
        <v>46079.0</v>
      </c>
      <c r="P238" s="67" t="s">
        <v>579</v>
      </c>
      <c r="Q238" s="68">
        <v>17000.0</v>
      </c>
      <c r="R238" s="76">
        <v>831.2</v>
      </c>
      <c r="S238" s="77">
        <v>1.41304E7</v>
      </c>
      <c r="T238" s="77">
        <v>1130432.0</v>
      </c>
      <c r="U238" s="60">
        <f t="shared" si="2"/>
        <v>15260832</v>
      </c>
      <c r="V238" s="70"/>
      <c r="W238" s="23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</row>
    <row r="239" ht="25.5" customHeight="1">
      <c r="A239" s="55">
        <v>46079.0</v>
      </c>
      <c r="B239" s="56" t="s">
        <v>577</v>
      </c>
      <c r="C239" s="56" t="s">
        <v>348</v>
      </c>
      <c r="D239" s="58" t="s">
        <v>349</v>
      </c>
      <c r="E239" s="58" t="s">
        <v>70</v>
      </c>
      <c r="F239" s="56" t="s">
        <v>500</v>
      </c>
      <c r="G239" s="60">
        <v>24000.0</v>
      </c>
      <c r="H239" s="62">
        <v>876.0</v>
      </c>
      <c r="I239" s="64">
        <v>2.1024E7</v>
      </c>
      <c r="J239" s="64">
        <v>1681920.0</v>
      </c>
      <c r="K239" s="64">
        <v>2.270592E7</v>
      </c>
      <c r="L239" s="65" t="s">
        <v>584</v>
      </c>
      <c r="M239" s="65" t="str">
        <f>VLOOKUP(L239,'Đơn đặt'!$C$3:$E$275,2,0)</f>
        <v>02-07/TS-LP</v>
      </c>
      <c r="N239" s="65" t="str">
        <f>VLOOKUP(L239,'Đơn đặt'!$C$3:$E$275,3,0)</f>
        <v>14-2026/TS-AVP/ĐĐH</v>
      </c>
      <c r="O239" s="66">
        <v>46079.0</v>
      </c>
      <c r="P239" s="67" t="s">
        <v>579</v>
      </c>
      <c r="Q239" s="68">
        <v>24000.0</v>
      </c>
      <c r="R239" s="76">
        <v>831.2</v>
      </c>
      <c r="S239" s="77">
        <v>1.99488E7</v>
      </c>
      <c r="T239" s="77">
        <v>1595904.0</v>
      </c>
      <c r="U239" s="60">
        <f t="shared" si="2"/>
        <v>21544704</v>
      </c>
      <c r="V239" s="70"/>
      <c r="W239" s="23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</row>
    <row r="240" ht="25.5" customHeight="1">
      <c r="A240" s="55">
        <v>46079.0</v>
      </c>
      <c r="B240" s="56" t="s">
        <v>585</v>
      </c>
      <c r="C240" s="56" t="s">
        <v>48</v>
      </c>
      <c r="D240" s="58" t="s">
        <v>47</v>
      </c>
      <c r="E240" s="58" t="s">
        <v>70</v>
      </c>
      <c r="F240" s="56" t="s">
        <v>71</v>
      </c>
      <c r="G240" s="60">
        <v>3000.0</v>
      </c>
      <c r="H240" s="62">
        <v>18291.0</v>
      </c>
      <c r="I240" s="64">
        <v>5.4873E7</v>
      </c>
      <c r="J240" s="64">
        <v>4389840.0</v>
      </c>
      <c r="K240" s="64">
        <v>5.926284E7</v>
      </c>
      <c r="L240" s="65" t="s">
        <v>536</v>
      </c>
      <c r="M240" s="65" t="str">
        <f>VLOOKUP(L240,'Đơn đặt'!$C$3:$E$275,2,0)</f>
        <v>01-14-TS</v>
      </c>
      <c r="N240" s="65" t="str">
        <f>VLOOKUP(L240,'Đơn đặt'!$C$3:$E$275,3,0)</f>
        <v>11-2026/TS-AVP/ĐĐH</v>
      </c>
      <c r="O240" s="66">
        <v>46079.0</v>
      </c>
      <c r="P240" s="67" t="s">
        <v>588</v>
      </c>
      <c r="Q240" s="68">
        <v>3000.0</v>
      </c>
      <c r="R240" s="68">
        <v>14482.2</v>
      </c>
      <c r="S240" s="68">
        <v>4.34466E7</v>
      </c>
      <c r="T240" s="68">
        <v>3475728.0</v>
      </c>
      <c r="U240" s="60">
        <f t="shared" si="2"/>
        <v>46922328</v>
      </c>
      <c r="V240" s="70"/>
      <c r="W240" s="23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</row>
    <row r="241" ht="25.5" customHeight="1">
      <c r="A241" s="55">
        <v>46079.0</v>
      </c>
      <c r="B241" s="56" t="s">
        <v>585</v>
      </c>
      <c r="C241" s="56" t="s">
        <v>50</v>
      </c>
      <c r="D241" s="58" t="s">
        <v>49</v>
      </c>
      <c r="E241" s="58" t="s">
        <v>70</v>
      </c>
      <c r="F241" s="56" t="s">
        <v>71</v>
      </c>
      <c r="G241" s="60">
        <v>2620.0</v>
      </c>
      <c r="H241" s="62">
        <v>18291.0</v>
      </c>
      <c r="I241" s="64">
        <v>4.792242E7</v>
      </c>
      <c r="J241" s="64">
        <v>3833794.0</v>
      </c>
      <c r="K241" s="64">
        <v>5.1756214E7</v>
      </c>
      <c r="L241" s="65" t="s">
        <v>589</v>
      </c>
      <c r="M241" s="65" t="str">
        <f>VLOOKUP(L241,'Đơn đặt'!$C$3:$E$275,2,0)</f>
        <v>01-14-TS</v>
      </c>
      <c r="N241" s="65" t="str">
        <f>VLOOKUP(L241,'Đơn đặt'!$C$3:$E$275,3,0)</f>
        <v>11-2026/TS-AVP/ĐĐH</v>
      </c>
      <c r="O241" s="66">
        <v>46079.0</v>
      </c>
      <c r="P241" s="93" t="s">
        <v>590</v>
      </c>
      <c r="Q241" s="90">
        <v>2620.0</v>
      </c>
      <c r="R241" s="76">
        <v>14482.2</v>
      </c>
      <c r="S241" s="77">
        <f>ROUND(Q241*R241,0)</f>
        <v>37943364</v>
      </c>
      <c r="T241" s="77">
        <v>3035470.0</v>
      </c>
      <c r="U241" s="60">
        <f t="shared" si="2"/>
        <v>40978834</v>
      </c>
      <c r="V241" s="70"/>
      <c r="W241" s="23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</row>
    <row r="242" ht="25.5" customHeight="1">
      <c r="A242" s="55">
        <v>46079.0</v>
      </c>
      <c r="B242" s="56" t="s">
        <v>585</v>
      </c>
      <c r="C242" s="56" t="s">
        <v>436</v>
      </c>
      <c r="D242" s="58" t="s">
        <v>437</v>
      </c>
      <c r="E242" s="58" t="s">
        <v>70</v>
      </c>
      <c r="F242" s="56" t="s">
        <v>71</v>
      </c>
      <c r="G242" s="60">
        <v>200.0</v>
      </c>
      <c r="H242" s="62">
        <v>19016.0</v>
      </c>
      <c r="I242" s="64">
        <v>3803200.0</v>
      </c>
      <c r="J242" s="64">
        <v>304256.0</v>
      </c>
      <c r="K242" s="64">
        <v>4107456.0</v>
      </c>
      <c r="L242" s="65" t="s">
        <v>593</v>
      </c>
      <c r="M242" s="65" t="str">
        <f>VLOOKUP(L242,'Đơn đặt'!$C$3:$E$275,2,0)</f>
        <v>02-03-TS</v>
      </c>
      <c r="N242" s="65" t="str">
        <f>VLOOKUP(L242,'Đơn đặt'!$C$3:$E$275,3,0)</f>
        <v>22-2026/TS-AVP/ĐĐH</v>
      </c>
      <c r="O242" s="66">
        <v>46079.0</v>
      </c>
      <c r="P242" s="67" t="s">
        <v>588</v>
      </c>
      <c r="Q242" s="68">
        <v>200.0</v>
      </c>
      <c r="R242" s="76">
        <v>17051.2</v>
      </c>
      <c r="S242" s="77">
        <v>3410240.0</v>
      </c>
      <c r="T242" s="77">
        <v>272819.0</v>
      </c>
      <c r="U242" s="60">
        <f t="shared" si="2"/>
        <v>3683059</v>
      </c>
      <c r="V242" s="70"/>
      <c r="W242" s="23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</row>
    <row r="243" ht="25.5" customHeight="1">
      <c r="A243" s="55">
        <v>46079.0</v>
      </c>
      <c r="B243" s="56" t="s">
        <v>585</v>
      </c>
      <c r="C243" s="56" t="s">
        <v>77</v>
      </c>
      <c r="D243" s="58" t="s">
        <v>78</v>
      </c>
      <c r="E243" s="58" t="s">
        <v>70</v>
      </c>
      <c r="F243" s="56" t="s">
        <v>71</v>
      </c>
      <c r="G243" s="60">
        <v>2325.0</v>
      </c>
      <c r="H243" s="62">
        <v>21777.0</v>
      </c>
      <c r="I243" s="64">
        <v>5.0631525E7</v>
      </c>
      <c r="J243" s="64">
        <v>4050522.0</v>
      </c>
      <c r="K243" s="64">
        <v>5.4682047E7</v>
      </c>
      <c r="L243" s="65" t="s">
        <v>594</v>
      </c>
      <c r="M243" s="65" t="str">
        <f>VLOOKUP(L243,'Đơn đặt'!$C$3:$E$275,2,0)</f>
        <v>02-12-TS</v>
      </c>
      <c r="N243" s="65" t="str">
        <f>VLOOKUP(L243,'Đơn đặt'!$C$3:$E$275,3,0)</f>
        <v>29-2026/TS-AVP/ĐĐH</v>
      </c>
      <c r="O243" s="66">
        <v>46079.0</v>
      </c>
      <c r="P243" s="67" t="s">
        <v>588</v>
      </c>
      <c r="Q243" s="68">
        <v>2325.0</v>
      </c>
      <c r="R243" s="76">
        <v>19723.4</v>
      </c>
      <c r="S243" s="77">
        <v>4.5856905E7</v>
      </c>
      <c r="T243" s="77">
        <v>3668552.0</v>
      </c>
      <c r="U243" s="60">
        <f t="shared" si="2"/>
        <v>49525457</v>
      </c>
      <c r="V243" s="70"/>
      <c r="W243" s="23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</row>
    <row r="244" ht="25.5" customHeight="1">
      <c r="A244" s="55">
        <v>46079.0</v>
      </c>
      <c r="B244" s="56" t="s">
        <v>597</v>
      </c>
      <c r="C244" s="56" t="s">
        <v>3</v>
      </c>
      <c r="D244" s="58" t="s">
        <v>164</v>
      </c>
      <c r="E244" s="58" t="s">
        <v>70</v>
      </c>
      <c r="F244" s="56" t="s">
        <v>112</v>
      </c>
      <c r="G244" s="60">
        <v>1980.0</v>
      </c>
      <c r="H244" s="62">
        <v>38000.0</v>
      </c>
      <c r="I244" s="64">
        <v>7.524E7</v>
      </c>
      <c r="J244" s="64">
        <v>6019200.0</v>
      </c>
      <c r="K244" s="64">
        <v>8.12592E7</v>
      </c>
      <c r="L244" s="65" t="s">
        <v>598</v>
      </c>
      <c r="M244" s="65" t="str">
        <f>VLOOKUP(L244,'Đơn đặt'!$C$3:$E$275,2,0)</f>
        <v>02-19/TS-LP</v>
      </c>
      <c r="N244" s="65" t="str">
        <f>VLOOKUP(L244,'Đơn đặt'!$C$3:$E$275,3,0)</f>
        <v>19-2026/TS-AVP/ĐĐH</v>
      </c>
      <c r="O244" s="66">
        <v>46079.0</v>
      </c>
      <c r="P244" s="67" t="s">
        <v>599</v>
      </c>
      <c r="Q244" s="68">
        <v>1980.0</v>
      </c>
      <c r="R244" s="76">
        <v>34800.0</v>
      </c>
      <c r="S244" s="77">
        <f t="shared" ref="S244:S246" si="41">ROUND(Q244*R244,0)</f>
        <v>68904000</v>
      </c>
      <c r="T244" s="87">
        <f t="shared" ref="T244:T245" si="42">S244*0.08</f>
        <v>5512320</v>
      </c>
      <c r="U244" s="60">
        <f t="shared" si="2"/>
        <v>74416320</v>
      </c>
      <c r="V244" s="70"/>
      <c r="W244" s="23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</row>
    <row r="245" ht="25.5" customHeight="1">
      <c r="A245" s="55">
        <v>46079.0</v>
      </c>
      <c r="B245" s="56" t="s">
        <v>597</v>
      </c>
      <c r="C245" s="56" t="s">
        <v>140</v>
      </c>
      <c r="D245" s="58" t="s">
        <v>141</v>
      </c>
      <c r="E245" s="58" t="s">
        <v>70</v>
      </c>
      <c r="F245" s="56" t="s">
        <v>112</v>
      </c>
      <c r="G245" s="60">
        <v>2990.0</v>
      </c>
      <c r="H245" s="62">
        <v>38000.0</v>
      </c>
      <c r="I245" s="64">
        <v>1.1362E8</v>
      </c>
      <c r="J245" s="64">
        <v>9089600.0</v>
      </c>
      <c r="K245" s="64">
        <v>1.227096E8</v>
      </c>
      <c r="L245" s="65" t="s">
        <v>602</v>
      </c>
      <c r="M245" s="65" t="str">
        <f>VLOOKUP(L245,'Đơn đặt'!$C$3:$E$275,2,0)</f>
        <v>02-19/TS-LP</v>
      </c>
      <c r="N245" s="65" t="str">
        <f>VLOOKUP(L245,'Đơn đặt'!$C$3:$E$275,3,0)</f>
        <v>19-2026/TS-AVP/ĐĐH</v>
      </c>
      <c r="O245" s="66">
        <v>46079.0</v>
      </c>
      <c r="P245" s="67" t="s">
        <v>599</v>
      </c>
      <c r="Q245" s="68">
        <v>2990.0</v>
      </c>
      <c r="R245" s="76">
        <v>34800.0</v>
      </c>
      <c r="S245" s="77">
        <f t="shared" si="41"/>
        <v>104052000</v>
      </c>
      <c r="T245" s="87">
        <f t="shared" si="42"/>
        <v>8324160</v>
      </c>
      <c r="U245" s="60">
        <f t="shared" si="2"/>
        <v>112376160</v>
      </c>
      <c r="V245" s="70"/>
      <c r="W245" s="23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</row>
    <row r="246" ht="25.5" customHeight="1">
      <c r="A246" s="78">
        <v>46079.0</v>
      </c>
      <c r="B246" s="79" t="s">
        <v>603</v>
      </c>
      <c r="C246" s="56" t="s">
        <v>148</v>
      </c>
      <c r="D246" s="80" t="s">
        <v>149</v>
      </c>
      <c r="E246" s="58" t="s">
        <v>248</v>
      </c>
      <c r="F246" s="56" t="s">
        <v>95</v>
      </c>
      <c r="G246" s="81">
        <v>540.0</v>
      </c>
      <c r="H246" s="62">
        <v>366012.0</v>
      </c>
      <c r="I246" s="64">
        <v>1.9764648E8</v>
      </c>
      <c r="J246" s="64">
        <v>1.5811718E7</v>
      </c>
      <c r="K246" s="64">
        <v>2.13458198E8</v>
      </c>
      <c r="L246" s="91" t="s">
        <v>533</v>
      </c>
      <c r="M246" s="65">
        <f>VLOOKUP(L246,'Đơn đặt'!$C$3:$E$275,2,0)</f>
        <v>128</v>
      </c>
      <c r="N246" s="65" t="str">
        <f>VLOOKUP(L246,'Đơn đặt'!$C$3:$E$275,3,0)</f>
        <v>Hàng SX</v>
      </c>
      <c r="O246" s="78" t="s">
        <v>98</v>
      </c>
      <c r="P246" s="92"/>
      <c r="Q246" s="81">
        <f>G246</f>
        <v>540</v>
      </c>
      <c r="R246" s="92"/>
      <c r="S246" s="83">
        <f t="shared" si="41"/>
        <v>0</v>
      </c>
      <c r="T246" s="83">
        <f>ROUND(S246*0.08,0)</f>
        <v>0</v>
      </c>
      <c r="U246" s="81">
        <f t="shared" si="2"/>
        <v>0</v>
      </c>
      <c r="V246" s="70"/>
      <c r="W246" s="23"/>
      <c r="X246" s="69"/>
      <c r="Y246" s="69"/>
      <c r="Z246" s="69"/>
      <c r="AA246" s="69"/>
      <c r="AB246" s="69"/>
      <c r="AC246" s="69"/>
      <c r="AD246" s="69"/>
      <c r="AE246" s="69"/>
      <c r="AF246" s="69"/>
      <c r="AG246" s="69"/>
      <c r="AH246" s="69"/>
      <c r="AI246" s="69"/>
      <c r="AJ246" s="69"/>
      <c r="AK246" s="69"/>
      <c r="AL246" s="69"/>
      <c r="AM246" s="69"/>
      <c r="AN246" s="69"/>
      <c r="AO246" s="69"/>
    </row>
    <row r="247" ht="25.5" customHeight="1">
      <c r="A247" s="55">
        <v>46080.0</v>
      </c>
      <c r="B247" s="56" t="s">
        <v>422</v>
      </c>
      <c r="C247" s="56" t="s">
        <v>59</v>
      </c>
      <c r="D247" s="58" t="s">
        <v>105</v>
      </c>
      <c r="E247" s="58" t="s">
        <v>70</v>
      </c>
      <c r="F247" s="56" t="s">
        <v>71</v>
      </c>
      <c r="G247" s="60">
        <v>1720.0</v>
      </c>
      <c r="H247" s="62">
        <v>18291.0</v>
      </c>
      <c r="I247" s="64">
        <v>3.146052E7</v>
      </c>
      <c r="J247" s="64">
        <v>2516842.0</v>
      </c>
      <c r="K247" s="64">
        <v>3.3977362E7</v>
      </c>
      <c r="L247" s="65" t="s">
        <v>548</v>
      </c>
      <c r="M247" s="65" t="str">
        <f>VLOOKUP(L247,'Đơn đặt'!$C$3:$E$275,2,0)</f>
        <v>01-14-TS</v>
      </c>
      <c r="N247" s="65" t="str">
        <f>VLOOKUP(L247,'Đơn đặt'!$C$3:$E$275,3,0)</f>
        <v>12-2026/TS-AVP/ĐĐH</v>
      </c>
      <c r="O247" s="66">
        <v>46080.0</v>
      </c>
      <c r="P247" s="67" t="s">
        <v>605</v>
      </c>
      <c r="Q247" s="68">
        <v>1720.0</v>
      </c>
      <c r="R247" s="76">
        <v>16258.2</v>
      </c>
      <c r="S247" s="68">
        <v>2.7964104E7</v>
      </c>
      <c r="T247" s="77">
        <v>2237128.0</v>
      </c>
      <c r="U247" s="60">
        <f t="shared" si="2"/>
        <v>30201232</v>
      </c>
      <c r="V247" s="70"/>
      <c r="W247" s="23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</row>
    <row r="248" ht="25.5" customHeight="1">
      <c r="A248" s="55">
        <v>46080.0</v>
      </c>
      <c r="B248" s="56" t="s">
        <v>422</v>
      </c>
      <c r="C248" s="56" t="s">
        <v>38</v>
      </c>
      <c r="D248" s="58" t="s">
        <v>36</v>
      </c>
      <c r="E248" s="58" t="s">
        <v>70</v>
      </c>
      <c r="F248" s="56" t="s">
        <v>71</v>
      </c>
      <c r="G248" s="60">
        <v>2000.0</v>
      </c>
      <c r="H248" s="62">
        <v>18953.0</v>
      </c>
      <c r="I248" s="64">
        <v>3.7906E7</v>
      </c>
      <c r="J248" s="64">
        <v>3032480.0</v>
      </c>
      <c r="K248" s="64">
        <v>4.093848E7</v>
      </c>
      <c r="L248" s="65" t="s">
        <v>318</v>
      </c>
      <c r="M248" s="65" t="str">
        <f>VLOOKUP(L248,'Đơn đặt'!$C$3:$E$275,2,0)</f>
        <v>12-01-TS</v>
      </c>
      <c r="N248" s="65" t="str">
        <f>VLOOKUP(L248,'Đơn đặt'!$C$3:$E$275,3,0)</f>
        <v>03-2026/TS-AVP/ĐĐH</v>
      </c>
      <c r="O248" s="66">
        <v>46080.0</v>
      </c>
      <c r="P248" s="93" t="s">
        <v>608</v>
      </c>
      <c r="Q248" s="90">
        <v>2000.0</v>
      </c>
      <c r="R248" s="76">
        <v>18246.6</v>
      </c>
      <c r="S248" s="64">
        <f>ROUND(Q248*R248,0)</f>
        <v>36493200</v>
      </c>
      <c r="T248" s="64">
        <v>2919457.0</v>
      </c>
      <c r="U248" s="60">
        <f t="shared" si="2"/>
        <v>39412657</v>
      </c>
      <c r="V248" s="70"/>
      <c r="W248" s="23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</row>
    <row r="249" ht="25.5" customHeight="1">
      <c r="A249" s="55">
        <v>46080.0</v>
      </c>
      <c r="B249" s="56" t="s">
        <v>426</v>
      </c>
      <c r="C249" s="56" t="s">
        <v>41</v>
      </c>
      <c r="D249" s="58" t="s">
        <v>40</v>
      </c>
      <c r="E249" s="58" t="s">
        <v>70</v>
      </c>
      <c r="F249" s="56" t="s">
        <v>71</v>
      </c>
      <c r="G249" s="60">
        <v>2300.0</v>
      </c>
      <c r="H249" s="62">
        <v>20024.0</v>
      </c>
      <c r="I249" s="64">
        <v>4.60552E7</v>
      </c>
      <c r="J249" s="64">
        <v>3684416.0</v>
      </c>
      <c r="K249" s="64">
        <v>4.9739616E7</v>
      </c>
      <c r="L249" s="65" t="s">
        <v>87</v>
      </c>
      <c r="M249" s="65" t="str">
        <f>VLOOKUP(L249,'Đơn đặt'!$C$3:$E$275,2,0)</f>
        <v>12-01-TS</v>
      </c>
      <c r="N249" s="65" t="str">
        <f>VLOOKUP(L249,'Đơn đặt'!$C$3:$E$275,3,0)</f>
        <v>03-2026/TS-AVP/ĐĐH</v>
      </c>
      <c r="O249" s="66">
        <v>46080.0</v>
      </c>
      <c r="P249" s="67" t="s">
        <v>609</v>
      </c>
      <c r="Q249" s="68">
        <v>2300.0</v>
      </c>
      <c r="R249" s="76">
        <v>17900.8</v>
      </c>
      <c r="S249" s="77">
        <v>4.117184E7</v>
      </c>
      <c r="T249" s="77">
        <v>3293747.0</v>
      </c>
      <c r="U249" s="60">
        <f t="shared" si="2"/>
        <v>44465587</v>
      </c>
      <c r="V249" s="70"/>
      <c r="W249" s="23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</row>
    <row r="250" ht="25.5" customHeight="1">
      <c r="A250" s="55">
        <v>46080.0</v>
      </c>
      <c r="B250" s="56" t="s">
        <v>426</v>
      </c>
      <c r="C250" s="56" t="s">
        <v>244</v>
      </c>
      <c r="D250" s="58" t="s">
        <v>245</v>
      </c>
      <c r="E250" s="58" t="s">
        <v>70</v>
      </c>
      <c r="F250" s="56" t="s">
        <v>71</v>
      </c>
      <c r="G250" s="60">
        <v>970.0</v>
      </c>
      <c r="H250" s="62">
        <v>18953.0</v>
      </c>
      <c r="I250" s="64">
        <v>1.838441E7</v>
      </c>
      <c r="J250" s="64">
        <v>1470753.0</v>
      </c>
      <c r="K250" s="64">
        <v>1.9855163E7</v>
      </c>
      <c r="L250" s="65" t="s">
        <v>610</v>
      </c>
      <c r="M250" s="65" t="str">
        <f>VLOOKUP(L250,'Đơn đặt'!$C$3:$E$275,2,0)</f>
        <v>12-01-TS</v>
      </c>
      <c r="N250" s="65" t="str">
        <f>VLOOKUP(L250,'Đơn đặt'!$C$3:$E$275,3,0)</f>
        <v>03-2026/TS-AVP/ĐĐH</v>
      </c>
      <c r="O250" s="66">
        <v>46080.0</v>
      </c>
      <c r="P250" s="67" t="s">
        <v>609</v>
      </c>
      <c r="Q250" s="68">
        <v>970.0</v>
      </c>
      <c r="R250" s="76">
        <v>18246.6</v>
      </c>
      <c r="S250" s="77">
        <v>1.7699202E7</v>
      </c>
      <c r="T250" s="77">
        <v>1415936.0</v>
      </c>
      <c r="U250" s="60">
        <f t="shared" si="2"/>
        <v>19115138</v>
      </c>
      <c r="V250" s="70"/>
      <c r="W250" s="23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</row>
    <row r="251" ht="25.5" customHeight="1">
      <c r="A251" s="55">
        <v>46080.0</v>
      </c>
      <c r="B251" s="56" t="s">
        <v>611</v>
      </c>
      <c r="C251" s="56" t="s">
        <v>59</v>
      </c>
      <c r="D251" s="58" t="s">
        <v>105</v>
      </c>
      <c r="E251" s="58" t="s">
        <v>70</v>
      </c>
      <c r="F251" s="56" t="s">
        <v>71</v>
      </c>
      <c r="G251" s="60">
        <v>280.0</v>
      </c>
      <c r="H251" s="62">
        <v>18291.0</v>
      </c>
      <c r="I251" s="64">
        <v>5121480.0</v>
      </c>
      <c r="J251" s="64">
        <v>409718.0</v>
      </c>
      <c r="K251" s="64">
        <v>5531198.0</v>
      </c>
      <c r="L251" s="65" t="s">
        <v>548</v>
      </c>
      <c r="M251" s="65" t="str">
        <f>VLOOKUP(L251,'Đơn đặt'!$C$3:$E$275,2,0)</f>
        <v>01-14-TS</v>
      </c>
      <c r="N251" s="65" t="str">
        <f>VLOOKUP(L251,'Đơn đặt'!$C$3:$E$275,3,0)</f>
        <v>12-2026/TS-AVP/ĐĐH</v>
      </c>
      <c r="O251" s="66">
        <v>46080.0</v>
      </c>
      <c r="P251" s="67" t="s">
        <v>612</v>
      </c>
      <c r="Q251" s="68">
        <v>280.0</v>
      </c>
      <c r="R251" s="76">
        <v>16258.2</v>
      </c>
      <c r="S251" s="68">
        <v>4552296.0</v>
      </c>
      <c r="T251" s="77">
        <v>364184.0</v>
      </c>
      <c r="U251" s="60">
        <f t="shared" si="2"/>
        <v>4916480</v>
      </c>
      <c r="V251" s="70"/>
      <c r="W251" s="23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</row>
    <row r="252" ht="25.5" customHeight="1">
      <c r="A252" s="55">
        <v>46080.0</v>
      </c>
      <c r="B252" s="56" t="s">
        <v>611</v>
      </c>
      <c r="C252" s="56" t="s">
        <v>29</v>
      </c>
      <c r="D252" s="58" t="s">
        <v>28</v>
      </c>
      <c r="E252" s="58" t="s">
        <v>70</v>
      </c>
      <c r="F252" s="56" t="s">
        <v>71</v>
      </c>
      <c r="G252" s="60">
        <v>1000.0</v>
      </c>
      <c r="H252" s="62">
        <v>19152.0</v>
      </c>
      <c r="I252" s="64">
        <v>1.9152E7</v>
      </c>
      <c r="J252" s="64">
        <v>1532160.0</v>
      </c>
      <c r="K252" s="64">
        <v>2.068416E7</v>
      </c>
      <c r="L252" s="65" t="s">
        <v>613</v>
      </c>
      <c r="M252" s="65" t="str">
        <f>VLOOKUP(L252,'Đơn đặt'!$C$3:$E$275,2,0)</f>
        <v>02-03-TS</v>
      </c>
      <c r="N252" s="65" t="str">
        <f>VLOOKUP(L252,'Đơn đặt'!$C$3:$E$275,3,0)</f>
        <v>21-2026/TS-AVP/ĐĐH</v>
      </c>
      <c r="O252" s="66">
        <v>46080.0</v>
      </c>
      <c r="P252" s="67" t="s">
        <v>612</v>
      </c>
      <c r="Q252" s="68">
        <v>1000.0</v>
      </c>
      <c r="R252" s="76">
        <v>19118.4</v>
      </c>
      <c r="S252" s="77">
        <v>1.91184E7</v>
      </c>
      <c r="T252" s="77">
        <v>1529472.0</v>
      </c>
      <c r="U252" s="60">
        <f t="shared" si="2"/>
        <v>20647872</v>
      </c>
      <c r="V252" s="70"/>
      <c r="W252" s="23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</row>
    <row r="253" ht="25.5" customHeight="1">
      <c r="A253" s="55">
        <v>46080.0</v>
      </c>
      <c r="B253" s="56" t="s">
        <v>611</v>
      </c>
      <c r="C253" s="56" t="s">
        <v>247</v>
      </c>
      <c r="D253" s="58" t="s">
        <v>380</v>
      </c>
      <c r="E253" s="58" t="s">
        <v>70</v>
      </c>
      <c r="F253" s="56" t="s">
        <v>71</v>
      </c>
      <c r="G253" s="60">
        <v>200.0</v>
      </c>
      <c r="H253" s="62">
        <v>18365.0</v>
      </c>
      <c r="I253" s="64">
        <v>3673000.0</v>
      </c>
      <c r="J253" s="64">
        <v>293840.0</v>
      </c>
      <c r="K253" s="64">
        <v>3966840.0</v>
      </c>
      <c r="L253" s="65" t="s">
        <v>554</v>
      </c>
      <c r="M253" s="65" t="str">
        <f>VLOOKUP(L253,'Đơn đặt'!$C$3:$E$275,2,0)</f>
        <v>01-14-TS</v>
      </c>
      <c r="N253" s="65" t="str">
        <f>VLOOKUP(L253,'Đơn đặt'!$C$3:$E$275,3,0)</f>
        <v>12-2026/TS-AVP/ĐĐH</v>
      </c>
      <c r="O253" s="66">
        <v>46080.0</v>
      </c>
      <c r="P253" s="67" t="s">
        <v>612</v>
      </c>
      <c r="Q253" s="68">
        <v>200.0</v>
      </c>
      <c r="R253" s="76">
        <v>17569.0</v>
      </c>
      <c r="S253" s="77">
        <v>3513800.0</v>
      </c>
      <c r="T253" s="77">
        <v>281104.0</v>
      </c>
      <c r="U253" s="60">
        <f t="shared" si="2"/>
        <v>3794904</v>
      </c>
      <c r="V253" s="70"/>
      <c r="W253" s="23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</row>
    <row r="254" ht="25.5" customHeight="1">
      <c r="A254" s="55">
        <v>46080.0</v>
      </c>
      <c r="B254" s="56" t="s">
        <v>614</v>
      </c>
      <c r="C254" s="56" t="s">
        <v>247</v>
      </c>
      <c r="D254" s="58" t="s">
        <v>380</v>
      </c>
      <c r="E254" s="58" t="s">
        <v>70</v>
      </c>
      <c r="F254" s="56" t="s">
        <v>71</v>
      </c>
      <c r="G254" s="60">
        <v>950.0</v>
      </c>
      <c r="H254" s="62">
        <v>18365.0</v>
      </c>
      <c r="I254" s="64">
        <v>1.744675E7</v>
      </c>
      <c r="J254" s="64">
        <v>1395740.0</v>
      </c>
      <c r="K254" s="64">
        <v>1.884249E7</v>
      </c>
      <c r="L254" s="65" t="s">
        <v>554</v>
      </c>
      <c r="M254" s="65" t="str">
        <f>VLOOKUP(L254,'Đơn đặt'!$C$3:$E$275,2,0)</f>
        <v>01-14-TS</v>
      </c>
      <c r="N254" s="65" t="str">
        <f>VLOOKUP(L254,'Đơn đặt'!$C$3:$E$275,3,0)</f>
        <v>12-2026/TS-AVP/ĐĐH</v>
      </c>
      <c r="O254" s="66">
        <v>46080.0</v>
      </c>
      <c r="P254" s="67" t="s">
        <v>615</v>
      </c>
      <c r="Q254" s="68">
        <v>950.0</v>
      </c>
      <c r="R254" s="76">
        <v>17569.0</v>
      </c>
      <c r="S254" s="77">
        <v>1.669055E7</v>
      </c>
      <c r="T254" s="77">
        <v>1335244.0</v>
      </c>
      <c r="U254" s="60">
        <f t="shared" si="2"/>
        <v>18025794</v>
      </c>
      <c r="V254" s="70"/>
      <c r="W254" s="23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</row>
    <row r="255" ht="25.5" customHeight="1">
      <c r="A255" s="55">
        <v>46080.0</v>
      </c>
      <c r="B255" s="56" t="s">
        <v>614</v>
      </c>
      <c r="C255" s="56" t="s">
        <v>17</v>
      </c>
      <c r="D255" s="58" t="s">
        <v>16</v>
      </c>
      <c r="E255" s="58" t="s">
        <v>70</v>
      </c>
      <c r="F255" s="56" t="s">
        <v>71</v>
      </c>
      <c r="G255" s="60">
        <v>1230.0</v>
      </c>
      <c r="H255" s="62">
        <v>18365.0</v>
      </c>
      <c r="I255" s="64">
        <v>2.258895E7</v>
      </c>
      <c r="J255" s="64">
        <v>1807116.0</v>
      </c>
      <c r="K255" s="64">
        <v>2.4396066E7</v>
      </c>
      <c r="L255" s="65" t="s">
        <v>616</v>
      </c>
      <c r="M255" s="65" t="str">
        <f>VLOOKUP(L255,'Đơn đặt'!$C$3:$E$275,2,0)</f>
        <v>02-03-TS</v>
      </c>
      <c r="N255" s="65" t="str">
        <f>VLOOKUP(L255,'Đơn đặt'!$C$3:$E$275,3,0)</f>
        <v>21-2026/TS-AVP/ĐĐH</v>
      </c>
      <c r="O255" s="66">
        <v>46080.0</v>
      </c>
      <c r="P255" s="67" t="s">
        <v>615</v>
      </c>
      <c r="Q255" s="68">
        <v>1230.0</v>
      </c>
      <c r="R255" s="76">
        <v>17569.0</v>
      </c>
      <c r="S255" s="77">
        <v>2.160987E7</v>
      </c>
      <c r="T255" s="77">
        <v>1728790.0</v>
      </c>
      <c r="U255" s="60">
        <f t="shared" si="2"/>
        <v>23338660</v>
      </c>
      <c r="V255" s="70"/>
      <c r="W255" s="23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</row>
    <row r="256" ht="25.5" customHeight="1">
      <c r="A256" s="78">
        <v>46080.0</v>
      </c>
      <c r="B256" s="79" t="s">
        <v>617</v>
      </c>
      <c r="C256" s="79" t="s">
        <v>110</v>
      </c>
      <c r="D256" s="80" t="s">
        <v>444</v>
      </c>
      <c r="E256" s="58" t="s">
        <v>70</v>
      </c>
      <c r="F256" s="79" t="s">
        <v>112</v>
      </c>
      <c r="G256" s="81">
        <v>4680.0</v>
      </c>
      <c r="H256" s="82">
        <v>28000.0</v>
      </c>
      <c r="I256" s="83">
        <v>1.3104E8</v>
      </c>
      <c r="J256" s="83">
        <v>1.04832E7</v>
      </c>
      <c r="K256" s="83">
        <v>1.415232E8</v>
      </c>
      <c r="L256" s="84" t="s">
        <v>445</v>
      </c>
      <c r="M256" s="84" t="str">
        <f>VLOOKUP(L256,'Đơn đặt'!$C$3:$E$275,2,0)</f>
        <v>01/09/TSC-LT</v>
      </c>
      <c r="N256" s="84" t="str">
        <f>VLOOKUP(L256,'Đơn đặt'!$C$3:$E$275,3,0)</f>
        <v>Hàng SX</v>
      </c>
      <c r="O256" s="78" t="s">
        <v>98</v>
      </c>
      <c r="P256" s="92"/>
      <c r="Q256" s="81">
        <f>G256</f>
        <v>4680</v>
      </c>
      <c r="R256" s="92"/>
      <c r="S256" s="83">
        <f>ROUND(Q256*R256,0)</f>
        <v>0</v>
      </c>
      <c r="T256" s="83">
        <f>ROUND(S256*0.08,0)</f>
        <v>0</v>
      </c>
      <c r="U256" s="81">
        <f t="shared" si="2"/>
        <v>0</v>
      </c>
      <c r="V256" s="70"/>
      <c r="W256" s="23"/>
      <c r="X256" s="69"/>
      <c r="Y256" s="69"/>
      <c r="Z256" s="69"/>
      <c r="AA256" s="69"/>
      <c r="AB256" s="69"/>
      <c r="AC256" s="69"/>
      <c r="AD256" s="69"/>
      <c r="AE256" s="69"/>
      <c r="AF256" s="69"/>
      <c r="AG256" s="69"/>
      <c r="AH256" s="69"/>
      <c r="AI256" s="69"/>
      <c r="AJ256" s="69"/>
      <c r="AK256" s="69"/>
      <c r="AL256" s="69"/>
      <c r="AM256" s="69"/>
      <c r="AN256" s="69"/>
      <c r="AO256" s="69"/>
    </row>
    <row r="257" ht="25.5" customHeight="1">
      <c r="A257" s="55">
        <v>46080.0</v>
      </c>
      <c r="B257" s="56" t="s">
        <v>619</v>
      </c>
      <c r="C257" s="56" t="s">
        <v>419</v>
      </c>
      <c r="D257" s="58" t="s">
        <v>555</v>
      </c>
      <c r="E257" s="58" t="s">
        <v>70</v>
      </c>
      <c r="F257" s="56" t="s">
        <v>71</v>
      </c>
      <c r="G257" s="60">
        <v>30.0</v>
      </c>
      <c r="H257" s="62">
        <v>20024.0</v>
      </c>
      <c r="I257" s="64">
        <v>600720.0</v>
      </c>
      <c r="J257" s="64">
        <v>48058.0</v>
      </c>
      <c r="K257" s="64">
        <v>648778.0</v>
      </c>
      <c r="L257" s="65" t="s">
        <v>556</v>
      </c>
      <c r="M257" s="65" t="str">
        <f>VLOOKUP(L257,'Đơn đặt'!$C$3:$E$275,2,0)</f>
        <v>02-03-TS</v>
      </c>
      <c r="N257" s="65" t="str">
        <f>VLOOKUP(L257,'Đơn đặt'!$C$3:$E$275,3,0)</f>
        <v>21-2026/TS-AVP/ĐĐH</v>
      </c>
      <c r="O257" s="66">
        <v>46080.0</v>
      </c>
      <c r="P257" s="67" t="s">
        <v>615</v>
      </c>
      <c r="Q257" s="68">
        <v>30.0</v>
      </c>
      <c r="R257" s="76">
        <v>17900.8</v>
      </c>
      <c r="S257" s="77">
        <v>537024.0</v>
      </c>
      <c r="T257" s="77">
        <v>42961.0</v>
      </c>
      <c r="U257" s="60">
        <f t="shared" si="2"/>
        <v>579985</v>
      </c>
      <c r="V257" s="70"/>
      <c r="W257" s="23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</row>
    <row r="258" ht="25.5" customHeight="1">
      <c r="A258" s="55">
        <v>46080.0</v>
      </c>
      <c r="B258" s="56" t="s">
        <v>619</v>
      </c>
      <c r="C258" s="56" t="s">
        <v>423</v>
      </c>
      <c r="D258" s="58" t="s">
        <v>424</v>
      </c>
      <c r="E258" s="58" t="s">
        <v>70</v>
      </c>
      <c r="F258" s="56" t="s">
        <v>71</v>
      </c>
      <c r="G258" s="60">
        <v>350.0</v>
      </c>
      <c r="H258" s="62">
        <v>18365.0</v>
      </c>
      <c r="I258" s="64">
        <v>6427750.0</v>
      </c>
      <c r="J258" s="64">
        <v>514220.0</v>
      </c>
      <c r="K258" s="64">
        <v>6941970.0</v>
      </c>
      <c r="L258" s="91" t="s">
        <v>620</v>
      </c>
      <c r="M258" s="65" t="str">
        <f>VLOOKUP(L258,'Đơn đặt'!$C$3:$E$275,2,0)</f>
        <v>02-03-TS</v>
      </c>
      <c r="N258" s="65" t="str">
        <f>VLOOKUP(L258,'Đơn đặt'!$C$3:$E$275,3,0)</f>
        <v>21-2026/TS-AVP/ĐĐH</v>
      </c>
      <c r="O258" s="66">
        <v>46080.0</v>
      </c>
      <c r="P258" s="67" t="s">
        <v>615</v>
      </c>
      <c r="Q258" s="68">
        <v>350.0</v>
      </c>
      <c r="R258" s="76">
        <v>17489.0</v>
      </c>
      <c r="S258" s="77">
        <v>6121150.0</v>
      </c>
      <c r="T258" s="77">
        <v>489692.0</v>
      </c>
      <c r="U258" s="60">
        <f t="shared" si="2"/>
        <v>6610842</v>
      </c>
      <c r="V258" s="70"/>
      <c r="W258" s="23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</row>
    <row r="259" ht="25.5" customHeight="1">
      <c r="A259" s="55">
        <v>46080.0</v>
      </c>
      <c r="B259" s="56" t="s">
        <v>619</v>
      </c>
      <c r="C259" s="56" t="s">
        <v>425</v>
      </c>
      <c r="D259" s="58" t="s">
        <v>427</v>
      </c>
      <c r="E259" s="58" t="s">
        <v>70</v>
      </c>
      <c r="F259" s="56" t="s">
        <v>71</v>
      </c>
      <c r="G259" s="60">
        <v>150.0</v>
      </c>
      <c r="H259" s="62">
        <v>21074.0</v>
      </c>
      <c r="I259" s="64">
        <v>3161100.0</v>
      </c>
      <c r="J259" s="64">
        <v>252888.0</v>
      </c>
      <c r="K259" s="64">
        <v>3413988.0</v>
      </c>
      <c r="L259" s="65" t="s">
        <v>623</v>
      </c>
      <c r="M259" s="65" t="str">
        <f>VLOOKUP(L259,'Đơn đặt'!$C$3:$E$275,2,0)</f>
        <v>02-03-TS</v>
      </c>
      <c r="N259" s="65" t="str">
        <f>VLOOKUP(L259,'Đơn đặt'!$C$3:$E$275,3,0)</f>
        <v>21-2026/TS-AVP/ĐĐH</v>
      </c>
      <c r="O259" s="66">
        <v>46080.0</v>
      </c>
      <c r="P259" s="67" t="s">
        <v>615</v>
      </c>
      <c r="Q259" s="68">
        <v>150.0</v>
      </c>
      <c r="R259" s="76">
        <v>20118.8</v>
      </c>
      <c r="S259" s="77">
        <v>3017820.0</v>
      </c>
      <c r="T259" s="77">
        <v>241426.0</v>
      </c>
      <c r="U259" s="60">
        <f t="shared" si="2"/>
        <v>3259246</v>
      </c>
      <c r="V259" s="70"/>
      <c r="W259" s="23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</row>
    <row r="260" ht="25.5" customHeight="1">
      <c r="A260" s="55">
        <v>46080.0</v>
      </c>
      <c r="B260" s="56" t="s">
        <v>619</v>
      </c>
      <c r="C260" s="56" t="s">
        <v>414</v>
      </c>
      <c r="D260" s="58" t="s">
        <v>415</v>
      </c>
      <c r="E260" s="58" t="s">
        <v>70</v>
      </c>
      <c r="F260" s="56" t="s">
        <v>71</v>
      </c>
      <c r="G260" s="60">
        <v>570.0</v>
      </c>
      <c r="H260" s="62">
        <v>20202.0</v>
      </c>
      <c r="I260" s="64">
        <v>1.151514E7</v>
      </c>
      <c r="J260" s="64">
        <v>921211.0</v>
      </c>
      <c r="K260" s="64">
        <v>1.2436351E7</v>
      </c>
      <c r="L260" s="65" t="s">
        <v>624</v>
      </c>
      <c r="M260" s="65" t="str">
        <f>VLOOKUP(L260,'Đơn đặt'!$C$3:$E$275,2,0)</f>
        <v>02-03-TS</v>
      </c>
      <c r="N260" s="65" t="str">
        <f>VLOOKUP(L260,'Đơn đặt'!$C$3:$E$275,3,0)</f>
        <v>21-2026/TS-AVP/ĐĐH</v>
      </c>
      <c r="O260" s="66">
        <v>46080.0</v>
      </c>
      <c r="P260" s="67" t="s">
        <v>615</v>
      </c>
      <c r="Q260" s="68">
        <v>570.0</v>
      </c>
      <c r="R260" s="76">
        <v>17936.4</v>
      </c>
      <c r="S260" s="77">
        <v>1.0223748E7</v>
      </c>
      <c r="T260" s="77">
        <v>817900.0</v>
      </c>
      <c r="U260" s="60">
        <f t="shared" si="2"/>
        <v>11041648</v>
      </c>
      <c r="V260" s="70"/>
      <c r="W260" s="23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</row>
    <row r="261" ht="25.5" customHeight="1">
      <c r="A261" s="55">
        <v>46080.0</v>
      </c>
      <c r="B261" s="56" t="s">
        <v>435</v>
      </c>
      <c r="C261" s="56" t="s">
        <v>3</v>
      </c>
      <c r="D261" s="58" t="s">
        <v>164</v>
      </c>
      <c r="E261" s="58" t="s">
        <v>70</v>
      </c>
      <c r="F261" s="56" t="s">
        <v>112</v>
      </c>
      <c r="G261" s="60">
        <v>6000.0</v>
      </c>
      <c r="H261" s="62">
        <v>38000.0</v>
      </c>
      <c r="I261" s="64">
        <v>2.28E8</v>
      </c>
      <c r="J261" s="64">
        <v>1.824E7</v>
      </c>
      <c r="K261" s="64">
        <v>2.4624E8</v>
      </c>
      <c r="L261" s="65" t="s">
        <v>558</v>
      </c>
      <c r="M261" s="65" t="str">
        <f>VLOOKUP(L261,'Đơn đặt'!$C$3:$E$275,2,0)</f>
        <v>02-19/TS-LP</v>
      </c>
      <c r="N261" s="65" t="str">
        <f>VLOOKUP(L261,'Đơn đặt'!$C$3:$E$275,3,0)</f>
        <v>18-2026/TS-AVP/ĐĐH</v>
      </c>
      <c r="O261" s="66">
        <v>46080.0</v>
      </c>
      <c r="P261" s="67" t="s">
        <v>625</v>
      </c>
      <c r="Q261" s="68">
        <v>6000.0</v>
      </c>
      <c r="R261" s="76">
        <v>34800.0</v>
      </c>
      <c r="S261" s="77">
        <v>2.088E8</v>
      </c>
      <c r="T261" s="77">
        <v>1.6704E7</v>
      </c>
      <c r="U261" s="60">
        <f t="shared" si="2"/>
        <v>225504000</v>
      </c>
      <c r="V261" s="70"/>
      <c r="W261" s="23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</row>
    <row r="262" ht="25.5" customHeight="1">
      <c r="A262" s="55">
        <v>46081.0</v>
      </c>
      <c r="B262" s="56" t="s">
        <v>452</v>
      </c>
      <c r="C262" s="56" t="s">
        <v>295</v>
      </c>
      <c r="D262" s="58" t="s">
        <v>341</v>
      </c>
      <c r="E262" s="58" t="s">
        <v>70</v>
      </c>
      <c r="F262" s="56" t="s">
        <v>112</v>
      </c>
      <c r="G262" s="60">
        <v>1500.0</v>
      </c>
      <c r="H262" s="62">
        <v>38000.0</v>
      </c>
      <c r="I262" s="64">
        <v>5.7E7</v>
      </c>
      <c r="J262" s="64">
        <v>4560000.0</v>
      </c>
      <c r="K262" s="64">
        <v>6.156E7</v>
      </c>
      <c r="L262" s="65" t="s">
        <v>628</v>
      </c>
      <c r="M262" s="65" t="str">
        <f>VLOOKUP(L262,'Đơn đặt'!$C$3:$E$275,2,0)</f>
        <v>02-45/TS-LP</v>
      </c>
      <c r="N262" s="65" t="str">
        <f>VLOOKUP(L262,'Đơn đặt'!$C$3:$E$275,3,0)</f>
        <v>27-2026/TS-AVP/ĐĐH</v>
      </c>
      <c r="O262" s="66">
        <v>46081.0</v>
      </c>
      <c r="P262" s="67" t="s">
        <v>629</v>
      </c>
      <c r="Q262" s="68">
        <v>1500.0</v>
      </c>
      <c r="R262" s="76">
        <v>34800.0</v>
      </c>
      <c r="S262" s="77">
        <f t="shared" ref="S262:S263" si="43">ROUND(Q262*R262,0)</f>
        <v>52200000</v>
      </c>
      <c r="T262" s="87">
        <f t="shared" ref="T262:T263" si="44">S262*0.08</f>
        <v>4176000</v>
      </c>
      <c r="U262" s="60">
        <f t="shared" si="2"/>
        <v>56376000</v>
      </c>
      <c r="V262" s="70"/>
      <c r="W262" s="23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</row>
    <row r="263" ht="25.5" customHeight="1">
      <c r="A263" s="55">
        <v>46081.0</v>
      </c>
      <c r="B263" s="56" t="s">
        <v>452</v>
      </c>
      <c r="C263" s="56" t="s">
        <v>299</v>
      </c>
      <c r="D263" s="58" t="s">
        <v>346</v>
      </c>
      <c r="E263" s="58" t="s">
        <v>70</v>
      </c>
      <c r="F263" s="56" t="s">
        <v>112</v>
      </c>
      <c r="G263" s="60">
        <v>1000.0</v>
      </c>
      <c r="H263" s="62">
        <v>38000.0</v>
      </c>
      <c r="I263" s="64">
        <v>3.8E7</v>
      </c>
      <c r="J263" s="64">
        <v>3040000.0</v>
      </c>
      <c r="K263" s="64">
        <v>4.104E7</v>
      </c>
      <c r="L263" s="65" t="s">
        <v>630</v>
      </c>
      <c r="M263" s="65" t="str">
        <f>VLOOKUP(L263,'Đơn đặt'!$C$3:$E$275,2,0)</f>
        <v>02-45/TS-LP</v>
      </c>
      <c r="N263" s="65" t="str">
        <f>VLOOKUP(L263,'Đơn đặt'!$C$3:$E$275,3,0)</f>
        <v>27-2026/TS-AVP/ĐĐH</v>
      </c>
      <c r="O263" s="66">
        <v>46081.0</v>
      </c>
      <c r="P263" s="67" t="s">
        <v>629</v>
      </c>
      <c r="Q263" s="68">
        <v>1000.0</v>
      </c>
      <c r="R263" s="76">
        <v>34800.0</v>
      </c>
      <c r="S263" s="77">
        <f t="shared" si="43"/>
        <v>34800000</v>
      </c>
      <c r="T263" s="87">
        <f t="shared" si="44"/>
        <v>2784000</v>
      </c>
      <c r="U263" s="60">
        <f t="shared" si="2"/>
        <v>37584000</v>
      </c>
      <c r="V263" s="70"/>
      <c r="W263" s="23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</row>
    <row r="264" ht="25.5" customHeight="1">
      <c r="A264" s="55">
        <v>46081.0</v>
      </c>
      <c r="B264" s="56" t="s">
        <v>449</v>
      </c>
      <c r="C264" s="56" t="s">
        <v>55</v>
      </c>
      <c r="D264" s="58" t="s">
        <v>53</v>
      </c>
      <c r="E264" s="58" t="s">
        <v>70</v>
      </c>
      <c r="F264" s="56" t="s">
        <v>71</v>
      </c>
      <c r="G264" s="60">
        <v>1933.0</v>
      </c>
      <c r="H264" s="62">
        <v>20024.0</v>
      </c>
      <c r="I264" s="64">
        <v>3.8706392E7</v>
      </c>
      <c r="J264" s="64">
        <v>3096511.0</v>
      </c>
      <c r="K264" s="64">
        <v>4.1802903E7</v>
      </c>
      <c r="L264" s="65" t="s">
        <v>331</v>
      </c>
      <c r="M264" s="65" t="str">
        <f>VLOOKUP(L264,'Đơn đặt'!$C$3:$E$275,2,0)</f>
        <v>01-14-TS</v>
      </c>
      <c r="N264" s="65" t="str">
        <f>VLOOKUP(L264,'Đơn đặt'!$C$3:$E$275,3,0)</f>
        <v>13-2026/TS-AVP/ĐĐH</v>
      </c>
      <c r="O264" s="66">
        <v>46081.0</v>
      </c>
      <c r="P264" s="67" t="s">
        <v>631</v>
      </c>
      <c r="Q264" s="68">
        <v>1933.0</v>
      </c>
      <c r="R264" s="76">
        <v>16788.8</v>
      </c>
      <c r="S264" s="77">
        <v>3.245275E7</v>
      </c>
      <c r="T264" s="77">
        <v>2596220.0</v>
      </c>
      <c r="U264" s="60">
        <f t="shared" si="2"/>
        <v>35048970</v>
      </c>
      <c r="V264" s="70"/>
      <c r="W264" s="23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</row>
    <row r="265" ht="25.5" customHeight="1">
      <c r="A265" s="55">
        <v>46081.0</v>
      </c>
      <c r="B265" s="56" t="s">
        <v>632</v>
      </c>
      <c r="C265" s="56" t="s">
        <v>402</v>
      </c>
      <c r="D265" s="58" t="s">
        <v>403</v>
      </c>
      <c r="E265" s="58" t="s">
        <v>70</v>
      </c>
      <c r="F265" s="56" t="s">
        <v>71</v>
      </c>
      <c r="G265" s="60">
        <v>500.0</v>
      </c>
      <c r="H265" s="62">
        <v>18953.0</v>
      </c>
      <c r="I265" s="64">
        <v>9476500.0</v>
      </c>
      <c r="J265" s="64">
        <v>758120.0</v>
      </c>
      <c r="K265" s="64">
        <v>1.023462E7</v>
      </c>
      <c r="L265" s="65" t="s">
        <v>633</v>
      </c>
      <c r="M265" s="65" t="str">
        <f>VLOOKUP(L265,'Đơn đặt'!$C$3:$E$275,2,0)</f>
        <v>02-03-TS</v>
      </c>
      <c r="N265" s="65" t="str">
        <f>VLOOKUP(L265,'Đơn đặt'!$C$3:$E$275,3,0)</f>
        <v>21-2026/TS-AVP/ĐĐH</v>
      </c>
      <c r="O265" s="66">
        <v>46081.0</v>
      </c>
      <c r="P265" s="67" t="s">
        <v>634</v>
      </c>
      <c r="Q265" s="68">
        <v>500.0</v>
      </c>
      <c r="R265" s="76">
        <v>18246.6</v>
      </c>
      <c r="S265" s="77">
        <v>9123300.0</v>
      </c>
      <c r="T265" s="77">
        <v>729864.0</v>
      </c>
      <c r="U265" s="60">
        <f t="shared" si="2"/>
        <v>9853164</v>
      </c>
      <c r="V265" s="70"/>
      <c r="W265" s="23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</row>
    <row r="266" ht="25.5" customHeight="1">
      <c r="A266" s="55">
        <v>46081.0</v>
      </c>
      <c r="B266" s="56" t="s">
        <v>632</v>
      </c>
      <c r="C266" s="56" t="s">
        <v>14</v>
      </c>
      <c r="D266" s="58" t="s">
        <v>13</v>
      </c>
      <c r="E266" s="58" t="s">
        <v>70</v>
      </c>
      <c r="F266" s="56" t="s">
        <v>71</v>
      </c>
      <c r="G266" s="60">
        <v>3150.0</v>
      </c>
      <c r="H266" s="62">
        <v>19404.0</v>
      </c>
      <c r="I266" s="64">
        <v>6.11226E7</v>
      </c>
      <c r="J266" s="64">
        <v>4889808.0</v>
      </c>
      <c r="K266" s="64">
        <v>6.6012408E7</v>
      </c>
      <c r="L266" s="65" t="s">
        <v>291</v>
      </c>
      <c r="M266" s="65" t="str">
        <f>VLOOKUP(L266,'Đơn đặt'!$C$3:$E$275,2,0)</f>
        <v>12-01-TS</v>
      </c>
      <c r="N266" s="65" t="str">
        <f>VLOOKUP(L266,'Đơn đặt'!$C$3:$E$275,3,0)</f>
        <v>03-2026/TS-AVP/ĐĐH</v>
      </c>
      <c r="O266" s="66">
        <v>46081.0</v>
      </c>
      <c r="P266" s="67" t="s">
        <v>634</v>
      </c>
      <c r="Q266" s="68">
        <v>3150.0</v>
      </c>
      <c r="R266" s="76">
        <v>17776.8</v>
      </c>
      <c r="S266" s="77">
        <v>5.599692E7</v>
      </c>
      <c r="T266" s="77">
        <v>4479754.0</v>
      </c>
      <c r="U266" s="60">
        <f t="shared" si="2"/>
        <v>60476674</v>
      </c>
      <c r="V266" s="70"/>
      <c r="W266" s="23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</row>
    <row r="267" ht="25.5" customHeight="1">
      <c r="A267" s="55">
        <v>46081.0</v>
      </c>
      <c r="B267" s="56" t="s">
        <v>636</v>
      </c>
      <c r="C267" s="56" t="s">
        <v>21</v>
      </c>
      <c r="D267" s="58" t="s">
        <v>371</v>
      </c>
      <c r="E267" s="58" t="s">
        <v>70</v>
      </c>
      <c r="F267" s="56" t="s">
        <v>71</v>
      </c>
      <c r="G267" s="60">
        <v>700.0</v>
      </c>
      <c r="H267" s="62">
        <v>18029.0</v>
      </c>
      <c r="I267" s="64">
        <v>1.26203E7</v>
      </c>
      <c r="J267" s="64">
        <v>1009624.0</v>
      </c>
      <c r="K267" s="64">
        <v>1.3629924E7</v>
      </c>
      <c r="L267" s="65" t="s">
        <v>372</v>
      </c>
      <c r="M267" s="65" t="str">
        <f>VLOOKUP(L267,'Đơn đặt'!$C$3:$E$275,2,0)</f>
        <v>01-14-TS</v>
      </c>
      <c r="N267" s="65" t="str">
        <f>VLOOKUP(L267,'Đơn đặt'!$C$3:$E$275,3,0)</f>
        <v>12-2026/TS-AVP/ĐĐH</v>
      </c>
      <c r="O267" s="66">
        <v>46081.0</v>
      </c>
      <c r="P267" s="67" t="s">
        <v>637</v>
      </c>
      <c r="Q267" s="68">
        <v>700.0</v>
      </c>
      <c r="R267" s="76">
        <v>17469.8</v>
      </c>
      <c r="S267" s="77">
        <v>1.222886E7</v>
      </c>
      <c r="T267" s="77">
        <v>978309.0</v>
      </c>
      <c r="U267" s="60">
        <f t="shared" si="2"/>
        <v>13207169</v>
      </c>
      <c r="V267" s="70"/>
      <c r="W267" s="23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</row>
    <row r="268" ht="25.5" customHeight="1">
      <c r="A268" s="55">
        <v>46081.0</v>
      </c>
      <c r="B268" s="56" t="s">
        <v>636</v>
      </c>
      <c r="C268" s="56" t="s">
        <v>247</v>
      </c>
      <c r="D268" s="58" t="s">
        <v>380</v>
      </c>
      <c r="E268" s="58" t="s">
        <v>70</v>
      </c>
      <c r="F268" s="56" t="s">
        <v>71</v>
      </c>
      <c r="G268" s="60">
        <v>1500.0</v>
      </c>
      <c r="H268" s="62">
        <v>18365.0</v>
      </c>
      <c r="I268" s="64">
        <v>2.75475E7</v>
      </c>
      <c r="J268" s="64">
        <v>2203800.0</v>
      </c>
      <c r="K268" s="64">
        <v>2.97513E7</v>
      </c>
      <c r="L268" s="65" t="s">
        <v>639</v>
      </c>
      <c r="M268" s="65" t="str">
        <f>VLOOKUP(L268,'Đơn đặt'!$C$3:$E$275,2,0)</f>
        <v>02-03-TS</v>
      </c>
      <c r="N268" s="65" t="str">
        <f>VLOOKUP(L268,'Đơn đặt'!$C$3:$E$275,3,0)</f>
        <v>21-2026/TS-AVP/ĐĐH</v>
      </c>
      <c r="O268" s="66">
        <v>46081.0</v>
      </c>
      <c r="P268" s="67" t="s">
        <v>637</v>
      </c>
      <c r="Q268" s="68">
        <v>1500.0</v>
      </c>
      <c r="R268" s="76">
        <v>17569.0</v>
      </c>
      <c r="S268" s="77">
        <v>2.63535E7</v>
      </c>
      <c r="T268" s="77">
        <v>2108280.0</v>
      </c>
      <c r="U268" s="60">
        <f t="shared" si="2"/>
        <v>28461780</v>
      </c>
      <c r="V268" s="70"/>
      <c r="W268" s="23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</row>
    <row r="269" ht="25.5" customHeight="1">
      <c r="A269" s="55">
        <v>46081.0</v>
      </c>
      <c r="B269" s="56" t="s">
        <v>636</v>
      </c>
      <c r="C269" s="56" t="s">
        <v>59</v>
      </c>
      <c r="D269" s="58" t="s">
        <v>105</v>
      </c>
      <c r="E269" s="58" t="s">
        <v>70</v>
      </c>
      <c r="F269" s="56" t="s">
        <v>71</v>
      </c>
      <c r="G269" s="60">
        <v>1200.0</v>
      </c>
      <c r="H269" s="62">
        <v>18291.0</v>
      </c>
      <c r="I269" s="64">
        <v>2.19492E7</v>
      </c>
      <c r="J269" s="64">
        <v>1755936.0</v>
      </c>
      <c r="K269" s="64">
        <v>2.3705136E7</v>
      </c>
      <c r="L269" s="65" t="s">
        <v>548</v>
      </c>
      <c r="M269" s="65" t="str">
        <f>VLOOKUP(L269,'Đơn đặt'!$C$3:$E$275,2,0)</f>
        <v>01-14-TS</v>
      </c>
      <c r="N269" s="65" t="str">
        <f>VLOOKUP(L269,'Đơn đặt'!$C$3:$E$275,3,0)</f>
        <v>12-2026/TS-AVP/ĐĐH</v>
      </c>
      <c r="O269" s="66">
        <v>46081.0</v>
      </c>
      <c r="P269" s="67" t="s">
        <v>637</v>
      </c>
      <c r="Q269" s="68">
        <v>1200.0</v>
      </c>
      <c r="R269" s="76">
        <v>16258.2</v>
      </c>
      <c r="S269" s="68">
        <v>1.950984E7</v>
      </c>
      <c r="T269" s="77">
        <v>1560787.0</v>
      </c>
      <c r="U269" s="60">
        <f t="shared" si="2"/>
        <v>21070627</v>
      </c>
      <c r="V269" s="70"/>
      <c r="W269" s="23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</row>
    <row r="270" ht="25.5" customHeight="1">
      <c r="A270" s="55">
        <v>46081.0</v>
      </c>
      <c r="B270" s="56" t="s">
        <v>640</v>
      </c>
      <c r="C270" s="56" t="s">
        <v>48</v>
      </c>
      <c r="D270" s="58" t="s">
        <v>47</v>
      </c>
      <c r="E270" s="58" t="s">
        <v>70</v>
      </c>
      <c r="F270" s="56" t="s">
        <v>71</v>
      </c>
      <c r="G270" s="60">
        <v>5000.0</v>
      </c>
      <c r="H270" s="62">
        <v>18291.0</v>
      </c>
      <c r="I270" s="64">
        <v>9.1455E7</v>
      </c>
      <c r="J270" s="64">
        <v>7316400.0</v>
      </c>
      <c r="K270" s="64">
        <v>9.87714E7</v>
      </c>
      <c r="L270" s="65" t="s">
        <v>536</v>
      </c>
      <c r="M270" s="65" t="str">
        <f>VLOOKUP(L270,'Đơn đặt'!$C$3:$E$275,2,0)</f>
        <v>01-14-TS</v>
      </c>
      <c r="N270" s="65" t="str">
        <f>VLOOKUP(L270,'Đơn đặt'!$C$3:$E$275,3,0)</f>
        <v>11-2026/TS-AVP/ĐĐH</v>
      </c>
      <c r="O270" s="66">
        <v>46081.0</v>
      </c>
      <c r="P270" s="67" t="s">
        <v>641</v>
      </c>
      <c r="Q270" s="68">
        <v>5000.0</v>
      </c>
      <c r="R270" s="68">
        <v>14482.2</v>
      </c>
      <c r="S270" s="68">
        <v>7.2411E7</v>
      </c>
      <c r="T270" s="68">
        <v>5792880.0</v>
      </c>
      <c r="U270" s="60">
        <f t="shared" si="2"/>
        <v>78203880</v>
      </c>
      <c r="V270" s="70"/>
      <c r="W270" s="23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</row>
    <row r="271" ht="25.5" customHeight="1">
      <c r="A271" s="55">
        <v>46081.0</v>
      </c>
      <c r="B271" s="56" t="s">
        <v>640</v>
      </c>
      <c r="C271" s="56" t="s">
        <v>77</v>
      </c>
      <c r="D271" s="58" t="s">
        <v>78</v>
      </c>
      <c r="E271" s="58" t="s">
        <v>70</v>
      </c>
      <c r="F271" s="56" t="s">
        <v>71</v>
      </c>
      <c r="G271" s="60">
        <v>1880.0</v>
      </c>
      <c r="H271" s="62">
        <v>21777.0</v>
      </c>
      <c r="I271" s="64">
        <v>4.094076E7</v>
      </c>
      <c r="J271" s="64">
        <v>3275261.0</v>
      </c>
      <c r="K271" s="64">
        <v>4.4216021E7</v>
      </c>
      <c r="L271" s="65" t="s">
        <v>594</v>
      </c>
      <c r="M271" s="65" t="str">
        <f>VLOOKUP(L271,'Đơn đặt'!$C$3:$E$275,2,0)</f>
        <v>02-12-TS</v>
      </c>
      <c r="N271" s="65" t="str">
        <f>VLOOKUP(L271,'Đơn đặt'!$C$3:$E$275,3,0)</f>
        <v>29-2026/TS-AVP/ĐĐH</v>
      </c>
      <c r="O271" s="66">
        <v>46081.0</v>
      </c>
      <c r="P271" s="67" t="s">
        <v>641</v>
      </c>
      <c r="Q271" s="68">
        <v>1880.0</v>
      </c>
      <c r="R271" s="76">
        <v>19723.4</v>
      </c>
      <c r="S271" s="77">
        <v>3.7079992E7</v>
      </c>
      <c r="T271" s="77">
        <v>2966399.0</v>
      </c>
      <c r="U271" s="60">
        <f t="shared" si="2"/>
        <v>40046391</v>
      </c>
      <c r="V271" s="70"/>
      <c r="W271" s="23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</row>
    <row r="272" ht="25.5" customHeight="1">
      <c r="A272" s="55">
        <v>46081.0</v>
      </c>
      <c r="B272" s="56" t="s">
        <v>642</v>
      </c>
      <c r="C272" s="56" t="s">
        <v>59</v>
      </c>
      <c r="D272" s="58" t="s">
        <v>105</v>
      </c>
      <c r="E272" s="58" t="s">
        <v>70</v>
      </c>
      <c r="F272" s="56" t="s">
        <v>71</v>
      </c>
      <c r="G272" s="60">
        <v>800.0</v>
      </c>
      <c r="H272" s="62">
        <v>18291.0</v>
      </c>
      <c r="I272" s="64">
        <v>1.46328E7</v>
      </c>
      <c r="J272" s="64">
        <v>1170624.0</v>
      </c>
      <c r="K272" s="64">
        <v>1.5803424E7</v>
      </c>
      <c r="L272" s="65" t="s">
        <v>548</v>
      </c>
      <c r="M272" s="65" t="str">
        <f>VLOOKUP(L272,'Đơn đặt'!$C$3:$E$275,2,0)</f>
        <v>01-14-TS</v>
      </c>
      <c r="N272" s="65" t="str">
        <f>VLOOKUP(L272,'Đơn đặt'!$C$3:$E$275,3,0)</f>
        <v>12-2026/TS-AVP/ĐĐH</v>
      </c>
      <c r="O272" s="66">
        <v>46081.0</v>
      </c>
      <c r="P272" s="67" t="s">
        <v>643</v>
      </c>
      <c r="Q272" s="68">
        <v>800.0</v>
      </c>
      <c r="R272" s="76">
        <v>16258.2</v>
      </c>
      <c r="S272" s="68">
        <v>1.300656E7</v>
      </c>
      <c r="T272" s="77">
        <v>1040525.0</v>
      </c>
      <c r="U272" s="60">
        <f t="shared" si="2"/>
        <v>14047085</v>
      </c>
      <c r="V272" s="70"/>
      <c r="W272" s="23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</row>
    <row r="273" ht="25.5" customHeight="1">
      <c r="A273" s="55">
        <v>46081.0</v>
      </c>
      <c r="B273" s="56" t="s">
        <v>642</v>
      </c>
      <c r="C273" s="56" t="s">
        <v>329</v>
      </c>
      <c r="D273" s="58" t="s">
        <v>461</v>
      </c>
      <c r="E273" s="58" t="s">
        <v>70</v>
      </c>
      <c r="F273" s="56" t="s">
        <v>71</v>
      </c>
      <c r="G273" s="60">
        <f>2070-G274</f>
        <v>270</v>
      </c>
      <c r="H273" s="62">
        <v>20024.0</v>
      </c>
      <c r="I273" s="64">
        <f t="shared" ref="I273:I274" si="45">ROUND(G273*H273,0)</f>
        <v>5406480</v>
      </c>
      <c r="J273" s="64">
        <f t="shared" ref="J273:J274" si="46">ROUND(I273*0.08,0)</f>
        <v>432518</v>
      </c>
      <c r="K273" s="64">
        <f t="shared" ref="K273:K274" si="47">I273+J273</f>
        <v>5838998</v>
      </c>
      <c r="L273" s="65" t="s">
        <v>462</v>
      </c>
      <c r="M273" s="65" t="str">
        <f>VLOOKUP(L273,'Đơn đặt'!$C$3:$E$275,2,0)</f>
        <v>01-14-TS</v>
      </c>
      <c r="N273" s="65" t="str">
        <f>VLOOKUP(L273,'Đơn đặt'!$C$3:$E$275,3,0)</f>
        <v>12-2026/TS-AVP/ĐĐH</v>
      </c>
      <c r="O273" s="66">
        <v>46081.0</v>
      </c>
      <c r="P273" s="93" t="s">
        <v>643</v>
      </c>
      <c r="Q273" s="68">
        <f>2070-Q274</f>
        <v>270</v>
      </c>
      <c r="R273" s="76">
        <v>17900.8</v>
      </c>
      <c r="S273" s="64">
        <f t="shared" ref="S273:S274" si="48">ROUND(Q273*R273,0)</f>
        <v>4833216</v>
      </c>
      <c r="T273" s="64">
        <f t="shared" ref="T273:T274" si="49">ROUND(S273*0.08,0)</f>
        <v>386657</v>
      </c>
      <c r="U273" s="60">
        <f t="shared" si="2"/>
        <v>5219873</v>
      </c>
      <c r="V273" s="70"/>
      <c r="W273" s="23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</row>
    <row r="274" ht="25.5" customHeight="1">
      <c r="A274" s="55">
        <v>46081.0</v>
      </c>
      <c r="B274" s="56" t="s">
        <v>642</v>
      </c>
      <c r="C274" s="56" t="s">
        <v>329</v>
      </c>
      <c r="D274" s="58" t="s">
        <v>461</v>
      </c>
      <c r="E274" s="58" t="s">
        <v>70</v>
      </c>
      <c r="F274" s="56" t="s">
        <v>71</v>
      </c>
      <c r="G274" s="60">
        <v>1800.0</v>
      </c>
      <c r="H274" s="62">
        <v>20024.0</v>
      </c>
      <c r="I274" s="64">
        <f t="shared" si="45"/>
        <v>36043200</v>
      </c>
      <c r="J274" s="64">
        <f t="shared" si="46"/>
        <v>2883456</v>
      </c>
      <c r="K274" s="64">
        <f t="shared" si="47"/>
        <v>38926656</v>
      </c>
      <c r="L274" s="91" t="s">
        <v>644</v>
      </c>
      <c r="M274" s="65" t="str">
        <f>VLOOKUP(L274,'Đơn đặt'!$C$3:$E$275,2,0)</f>
        <v>02-03-TS</v>
      </c>
      <c r="N274" s="65" t="str">
        <f>VLOOKUP(L274,'Đơn đặt'!$C$3:$E$275,3,0)</f>
        <v>21-2026/TS-AVP/ĐĐH</v>
      </c>
      <c r="O274" s="66">
        <v>46081.0</v>
      </c>
      <c r="P274" s="93" t="s">
        <v>646</v>
      </c>
      <c r="Q274" s="68">
        <v>1800.0</v>
      </c>
      <c r="R274" s="76">
        <v>17900.8</v>
      </c>
      <c r="S274" s="64">
        <f t="shared" si="48"/>
        <v>32221440</v>
      </c>
      <c r="T274" s="64">
        <f t="shared" si="49"/>
        <v>2577715</v>
      </c>
      <c r="U274" s="60">
        <f t="shared" si="2"/>
        <v>34799155</v>
      </c>
      <c r="V274" s="70"/>
      <c r="W274" s="23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</row>
    <row r="275" ht="25.5" customHeight="1">
      <c r="A275" s="55">
        <v>46081.0</v>
      </c>
      <c r="B275" s="56" t="s">
        <v>642</v>
      </c>
      <c r="C275" s="56" t="s">
        <v>35</v>
      </c>
      <c r="D275" s="58" t="s">
        <v>34</v>
      </c>
      <c r="E275" s="58" t="s">
        <v>70</v>
      </c>
      <c r="F275" s="56" t="s">
        <v>71</v>
      </c>
      <c r="G275" s="60">
        <v>1080.0</v>
      </c>
      <c r="H275" s="62">
        <v>14900.0</v>
      </c>
      <c r="I275" s="64">
        <v>1.6092E7</v>
      </c>
      <c r="J275" s="64">
        <v>1287360.0</v>
      </c>
      <c r="K275" s="64">
        <v>1.737936E7</v>
      </c>
      <c r="L275" s="91" t="s">
        <v>498</v>
      </c>
      <c r="M275" s="65" t="str">
        <f>VLOOKUP(L275,'Đơn đặt'!$C$3:$E$275,2,0)</f>
        <v>02-03-TS</v>
      </c>
      <c r="N275" s="65" t="str">
        <f>VLOOKUP(L275,'Đơn đặt'!$C$3:$E$275,3,0)</f>
        <v>21-2026/TS-AVP/ĐĐH</v>
      </c>
      <c r="O275" s="66">
        <v>46081.0</v>
      </c>
      <c r="P275" s="67" t="s">
        <v>643</v>
      </c>
      <c r="Q275" s="68">
        <v>1080.0</v>
      </c>
      <c r="R275" s="76">
        <v>14140.0</v>
      </c>
      <c r="S275" s="77">
        <v>1.52712E7</v>
      </c>
      <c r="T275" s="77">
        <v>1221696.0</v>
      </c>
      <c r="U275" s="60">
        <f t="shared" si="2"/>
        <v>16492896</v>
      </c>
      <c r="V275" s="70"/>
      <c r="W275" s="23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</row>
    <row r="276" ht="25.5" customHeight="1">
      <c r="A276" s="55">
        <v>46081.0</v>
      </c>
      <c r="B276" s="56" t="s">
        <v>647</v>
      </c>
      <c r="C276" s="56" t="s">
        <v>196</v>
      </c>
      <c r="D276" s="58" t="s">
        <v>197</v>
      </c>
      <c r="E276" s="58" t="s">
        <v>70</v>
      </c>
      <c r="F276" s="56" t="s">
        <v>71</v>
      </c>
      <c r="G276" s="60">
        <v>2010.0</v>
      </c>
      <c r="H276" s="62">
        <v>19320.0</v>
      </c>
      <c r="I276" s="64">
        <v>3.88332E7</v>
      </c>
      <c r="J276" s="64">
        <v>3106656.0</v>
      </c>
      <c r="K276" s="64">
        <v>4.1939856E7</v>
      </c>
      <c r="L276" s="65" t="s">
        <v>515</v>
      </c>
      <c r="M276" s="65" t="str">
        <f>VLOOKUP(L276,'Đơn đặt'!$C$3:$E$275,2,0)</f>
        <v>02-10-TS</v>
      </c>
      <c r="N276" s="65" t="str">
        <f>VLOOKUP(L276,'Đơn đặt'!$C$3:$E$275,3,0)</f>
        <v>26-2026/TS-AVP/ĐĐH</v>
      </c>
      <c r="O276" s="66">
        <v>46081.0</v>
      </c>
      <c r="P276" s="67" t="s">
        <v>649</v>
      </c>
      <c r="Q276" s="68">
        <v>2010.0</v>
      </c>
      <c r="R276" s="76">
        <v>17928.0</v>
      </c>
      <c r="S276" s="77">
        <v>3.603528E7</v>
      </c>
      <c r="T276" s="77">
        <v>2882822.0</v>
      </c>
      <c r="U276" s="60">
        <f t="shared" si="2"/>
        <v>38918102</v>
      </c>
      <c r="V276" s="70"/>
      <c r="W276" s="23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</row>
    <row r="277" ht="25.5" customHeight="1">
      <c r="A277" s="55">
        <v>46083.0</v>
      </c>
      <c r="B277" s="56" t="s">
        <v>650</v>
      </c>
      <c r="C277" s="56" t="s">
        <v>244</v>
      </c>
      <c r="D277" s="58" t="s">
        <v>245</v>
      </c>
      <c r="E277" s="58" t="s">
        <v>70</v>
      </c>
      <c r="F277" s="56" t="s">
        <v>71</v>
      </c>
      <c r="G277" s="60">
        <v>30.0</v>
      </c>
      <c r="H277" s="62">
        <v>18953.0</v>
      </c>
      <c r="I277" s="64">
        <f t="shared" ref="I277:I278" si="50">ROUND(G277*H277,0)</f>
        <v>568590</v>
      </c>
      <c r="J277" s="64">
        <f t="shared" ref="J277:J278" si="51">ROUND(I277*0.08,0)</f>
        <v>45487</v>
      </c>
      <c r="K277" s="64">
        <f t="shared" ref="K277:K278" si="52">I277+J277</f>
        <v>614077</v>
      </c>
      <c r="L277" s="65" t="s">
        <v>610</v>
      </c>
      <c r="M277" s="65" t="str">
        <f>VLOOKUP(L277,'Đơn đặt'!$C$3:$E$275,2,0)</f>
        <v>12-01-TS</v>
      </c>
      <c r="N277" s="65" t="str">
        <f>VLOOKUP(L277,'Đơn đặt'!$C$3:$E$275,3,0)</f>
        <v>03-2026/TS-AVP/ĐĐH</v>
      </c>
      <c r="O277" s="66">
        <v>46083.0</v>
      </c>
      <c r="P277" s="67" t="s">
        <v>651</v>
      </c>
      <c r="Q277" s="68">
        <v>30.0</v>
      </c>
      <c r="R277" s="76">
        <v>18246.6</v>
      </c>
      <c r="S277" s="64">
        <f t="shared" ref="S277:S278" si="53">ROUND(Q277*R277,0)</f>
        <v>547398</v>
      </c>
      <c r="T277" s="64">
        <f t="shared" ref="T277:T278" si="54">ROUND(S277*0.08,0)</f>
        <v>43792</v>
      </c>
      <c r="U277" s="60">
        <f t="shared" si="2"/>
        <v>591190</v>
      </c>
      <c r="V277" s="70"/>
      <c r="W277" s="23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</row>
    <row r="278" ht="25.5" customHeight="1">
      <c r="A278" s="55">
        <v>46083.0</v>
      </c>
      <c r="B278" s="56" t="s">
        <v>650</v>
      </c>
      <c r="C278" s="56" t="s">
        <v>244</v>
      </c>
      <c r="D278" s="58" t="s">
        <v>245</v>
      </c>
      <c r="E278" s="58" t="s">
        <v>70</v>
      </c>
      <c r="F278" s="56" t="s">
        <v>71</v>
      </c>
      <c r="G278" s="60">
        <v>1600.0</v>
      </c>
      <c r="H278" s="62">
        <v>18953.0</v>
      </c>
      <c r="I278" s="64">
        <f t="shared" si="50"/>
        <v>30324800</v>
      </c>
      <c r="J278" s="64">
        <f t="shared" si="51"/>
        <v>2425984</v>
      </c>
      <c r="K278" s="64">
        <f t="shared" si="52"/>
        <v>32750784</v>
      </c>
      <c r="L278" s="65" t="s">
        <v>652</v>
      </c>
      <c r="M278" s="65" t="str">
        <f>VLOOKUP(L278,'Đơn đặt'!$C$3:$E$275,2,0)</f>
        <v>02-03-TS</v>
      </c>
      <c r="N278" s="65" t="str">
        <f>VLOOKUP(L278,'Đơn đặt'!$C$3:$E$275,3,0)</f>
        <v>21-2026/TS-AVP/ĐĐH</v>
      </c>
      <c r="O278" s="66">
        <v>46083.0</v>
      </c>
      <c r="P278" s="67" t="s">
        <v>651</v>
      </c>
      <c r="Q278" s="68">
        <v>1600.0</v>
      </c>
      <c r="R278" s="76">
        <v>18246.6</v>
      </c>
      <c r="S278" s="64">
        <f t="shared" si="53"/>
        <v>29194560</v>
      </c>
      <c r="T278" s="64">
        <f t="shared" si="54"/>
        <v>2335565</v>
      </c>
      <c r="U278" s="60">
        <f t="shared" si="2"/>
        <v>31530125</v>
      </c>
      <c r="V278" s="70"/>
      <c r="W278" s="23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</row>
    <row r="279" ht="25.5" customHeight="1">
      <c r="A279" s="55">
        <v>46083.0</v>
      </c>
      <c r="B279" s="56" t="s">
        <v>650</v>
      </c>
      <c r="C279" s="56" t="s">
        <v>41</v>
      </c>
      <c r="D279" s="58" t="s">
        <v>40</v>
      </c>
      <c r="E279" s="58" t="s">
        <v>70</v>
      </c>
      <c r="F279" s="56" t="s">
        <v>71</v>
      </c>
      <c r="G279" s="60">
        <v>1800.0</v>
      </c>
      <c r="H279" s="62">
        <v>20024.0</v>
      </c>
      <c r="I279" s="64">
        <v>3.60432E7</v>
      </c>
      <c r="J279" s="64">
        <v>2883456.0</v>
      </c>
      <c r="K279" s="64">
        <v>3.8926656E7</v>
      </c>
      <c r="L279" s="65" t="s">
        <v>653</v>
      </c>
      <c r="M279" s="65" t="str">
        <f>VLOOKUP(L279,'Đơn đặt'!$C$3:$E$275,2,0)</f>
        <v>02-03-TS</v>
      </c>
      <c r="N279" s="65" t="str">
        <f>VLOOKUP(L279,'Đơn đặt'!$C$3:$E$275,3,0)</f>
        <v>21-2026/TS-AVP/ĐĐH</v>
      </c>
      <c r="O279" s="66">
        <v>46083.0</v>
      </c>
      <c r="P279" s="67" t="s">
        <v>651</v>
      </c>
      <c r="Q279" s="68">
        <v>1800.0</v>
      </c>
      <c r="R279" s="76">
        <v>17900.8</v>
      </c>
      <c r="S279" s="77">
        <v>3.222144E7</v>
      </c>
      <c r="T279" s="77">
        <v>2577715.0</v>
      </c>
      <c r="U279" s="60">
        <f t="shared" si="2"/>
        <v>34799155</v>
      </c>
      <c r="V279" s="70"/>
      <c r="W279" s="23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</row>
    <row r="280" ht="25.5" customHeight="1">
      <c r="A280" s="55">
        <v>46083.0</v>
      </c>
      <c r="B280" s="56" t="s">
        <v>654</v>
      </c>
      <c r="C280" s="56" t="s">
        <v>59</v>
      </c>
      <c r="D280" s="58" t="s">
        <v>105</v>
      </c>
      <c r="E280" s="58" t="s">
        <v>70</v>
      </c>
      <c r="F280" s="56" t="s">
        <v>71</v>
      </c>
      <c r="G280" s="60">
        <v>2000.0</v>
      </c>
      <c r="H280" s="62">
        <v>18291.0</v>
      </c>
      <c r="I280" s="64">
        <v>3.6582E7</v>
      </c>
      <c r="J280" s="64">
        <v>2926560.0</v>
      </c>
      <c r="K280" s="64">
        <v>3.950856E7</v>
      </c>
      <c r="L280" s="65" t="s">
        <v>548</v>
      </c>
      <c r="M280" s="65" t="str">
        <f>VLOOKUP(L280,'Đơn đặt'!$C$3:$E$275,2,0)</f>
        <v>01-14-TS</v>
      </c>
      <c r="N280" s="65" t="str">
        <f>VLOOKUP(L280,'Đơn đặt'!$C$3:$E$275,3,0)</f>
        <v>12-2026/TS-AVP/ĐĐH</v>
      </c>
      <c r="O280" s="66">
        <v>46083.0</v>
      </c>
      <c r="P280" s="67" t="s">
        <v>655</v>
      </c>
      <c r="Q280" s="68">
        <v>2000.0</v>
      </c>
      <c r="R280" s="76">
        <v>16258.2</v>
      </c>
      <c r="S280" s="68">
        <v>3.25164E7</v>
      </c>
      <c r="T280" s="77">
        <v>2601311.0</v>
      </c>
      <c r="U280" s="60">
        <f t="shared" si="2"/>
        <v>35117711</v>
      </c>
      <c r="V280" s="70"/>
      <c r="W280" s="23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</row>
    <row r="281" ht="25.5" customHeight="1">
      <c r="A281" s="55">
        <v>46083.0</v>
      </c>
      <c r="B281" s="56" t="s">
        <v>654</v>
      </c>
      <c r="C281" s="56" t="s">
        <v>41</v>
      </c>
      <c r="D281" s="58" t="s">
        <v>40</v>
      </c>
      <c r="E281" s="58" t="s">
        <v>70</v>
      </c>
      <c r="F281" s="56" t="s">
        <v>71</v>
      </c>
      <c r="G281" s="60">
        <v>200.0</v>
      </c>
      <c r="H281" s="62">
        <v>20024.0</v>
      </c>
      <c r="I281" s="64">
        <v>4004800.0</v>
      </c>
      <c r="J281" s="64">
        <v>320384.0</v>
      </c>
      <c r="K281" s="64">
        <v>4325184.0</v>
      </c>
      <c r="L281" s="65" t="s">
        <v>653</v>
      </c>
      <c r="M281" s="65" t="str">
        <f>VLOOKUP(L281,'Đơn đặt'!$C$3:$E$275,2,0)</f>
        <v>02-03-TS</v>
      </c>
      <c r="N281" s="65" t="str">
        <f>VLOOKUP(L281,'Đơn đặt'!$C$3:$E$275,3,0)</f>
        <v>21-2026/TS-AVP/ĐĐH</v>
      </c>
      <c r="O281" s="66">
        <v>46083.0</v>
      </c>
      <c r="P281" s="67" t="s">
        <v>655</v>
      </c>
      <c r="Q281" s="68">
        <v>200.0</v>
      </c>
      <c r="R281" s="76">
        <v>17900.8</v>
      </c>
      <c r="S281" s="77">
        <v>3580160.0</v>
      </c>
      <c r="T281" s="77">
        <v>286413.0</v>
      </c>
      <c r="U281" s="60">
        <f t="shared" si="2"/>
        <v>3866573</v>
      </c>
      <c r="V281" s="70"/>
      <c r="W281" s="23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</row>
    <row r="282" ht="25.5" customHeight="1">
      <c r="A282" s="55">
        <v>46083.0</v>
      </c>
      <c r="B282" s="56" t="s">
        <v>654</v>
      </c>
      <c r="C282" s="56" t="s">
        <v>38</v>
      </c>
      <c r="D282" s="58" t="s">
        <v>36</v>
      </c>
      <c r="E282" s="58" t="s">
        <v>70</v>
      </c>
      <c r="F282" s="56" t="s">
        <v>71</v>
      </c>
      <c r="G282" s="60">
        <v>1200.0</v>
      </c>
      <c r="H282" s="62">
        <v>18953.0</v>
      </c>
      <c r="I282" s="64">
        <v>2.27436E7</v>
      </c>
      <c r="J282" s="64">
        <v>1819488.0</v>
      </c>
      <c r="K282" s="64">
        <v>2.4563088E7</v>
      </c>
      <c r="L282" s="65" t="s">
        <v>656</v>
      </c>
      <c r="M282" s="65" t="str">
        <f>VLOOKUP(L282,'Đơn đặt'!$C$3:$E$275,2,0)</f>
        <v>02-03-TS</v>
      </c>
      <c r="N282" s="65" t="str">
        <f>VLOOKUP(L282,'Đơn đặt'!$C$3:$E$275,3,0)</f>
        <v>21-2026/TS-AVP/ĐĐH</v>
      </c>
      <c r="O282" s="66">
        <v>46083.0</v>
      </c>
      <c r="P282" s="67" t="s">
        <v>655</v>
      </c>
      <c r="Q282" s="68">
        <v>1200.0</v>
      </c>
      <c r="R282" s="76">
        <v>18246.6</v>
      </c>
      <c r="S282" s="77">
        <v>2.189592E7</v>
      </c>
      <c r="T282" s="77">
        <v>1751674.0</v>
      </c>
      <c r="U282" s="60">
        <f t="shared" si="2"/>
        <v>23647594</v>
      </c>
      <c r="V282" s="70"/>
      <c r="W282" s="23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</row>
    <row r="283" ht="25.5" customHeight="1">
      <c r="A283" s="55">
        <v>46083.0</v>
      </c>
      <c r="B283" s="56" t="s">
        <v>657</v>
      </c>
      <c r="C283" s="56" t="s">
        <v>48</v>
      </c>
      <c r="D283" s="58" t="s">
        <v>47</v>
      </c>
      <c r="E283" s="58" t="s">
        <v>70</v>
      </c>
      <c r="F283" s="56" t="s">
        <v>71</v>
      </c>
      <c r="G283" s="60">
        <v>5000.0</v>
      </c>
      <c r="H283" s="62">
        <v>18291.0</v>
      </c>
      <c r="I283" s="64">
        <v>9.1455E7</v>
      </c>
      <c r="J283" s="64">
        <v>7316400.0</v>
      </c>
      <c r="K283" s="64">
        <v>9.87714E7</v>
      </c>
      <c r="L283" s="65" t="s">
        <v>536</v>
      </c>
      <c r="M283" s="65" t="str">
        <f>VLOOKUP(L283,'Đơn đặt'!$C$3:$E$275,2,0)</f>
        <v>01-14-TS</v>
      </c>
      <c r="N283" s="65" t="str">
        <f>VLOOKUP(L283,'Đơn đặt'!$C$3:$E$275,3,0)</f>
        <v>11-2026/TS-AVP/ĐĐH</v>
      </c>
      <c r="O283" s="66">
        <v>46083.0</v>
      </c>
      <c r="P283" s="93" t="s">
        <v>659</v>
      </c>
      <c r="Q283" s="68">
        <v>5000.0</v>
      </c>
      <c r="R283" s="68">
        <v>14482.2</v>
      </c>
      <c r="S283" s="60">
        <f>ROUND(Q283*R283,0)</f>
        <v>72411000</v>
      </c>
      <c r="T283" s="60">
        <f>ROUND(S283*0.08,0)</f>
        <v>5792880</v>
      </c>
      <c r="U283" s="60">
        <f t="shared" si="2"/>
        <v>78203880</v>
      </c>
      <c r="V283" s="70"/>
      <c r="W283" s="23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</row>
    <row r="284" ht="25.5" customHeight="1">
      <c r="A284" s="55">
        <v>46083.0</v>
      </c>
      <c r="B284" s="56" t="s">
        <v>657</v>
      </c>
      <c r="C284" s="56" t="s">
        <v>50</v>
      </c>
      <c r="D284" s="58" t="s">
        <v>49</v>
      </c>
      <c r="E284" s="58" t="s">
        <v>70</v>
      </c>
      <c r="F284" s="56" t="s">
        <v>71</v>
      </c>
      <c r="G284" s="60">
        <v>1380.0</v>
      </c>
      <c r="H284" s="62">
        <v>18291.0</v>
      </c>
      <c r="I284" s="64">
        <v>2.524158E7</v>
      </c>
      <c r="J284" s="64">
        <v>2019326.0</v>
      </c>
      <c r="K284" s="64">
        <v>2.7260906E7</v>
      </c>
      <c r="L284" s="65" t="s">
        <v>589</v>
      </c>
      <c r="M284" s="65" t="str">
        <f>VLOOKUP(L284,'Đơn đặt'!$C$3:$E$275,2,0)</f>
        <v>01-14-TS</v>
      </c>
      <c r="N284" s="65" t="str">
        <f>VLOOKUP(L284,'Đơn đặt'!$C$3:$E$275,3,0)</f>
        <v>11-2026/TS-AVP/ĐĐH</v>
      </c>
      <c r="O284" s="66">
        <v>46083.0</v>
      </c>
      <c r="P284" s="67" t="s">
        <v>660</v>
      </c>
      <c r="Q284" s="68">
        <v>1380.0</v>
      </c>
      <c r="R284" s="76">
        <v>14482.2</v>
      </c>
      <c r="S284" s="77">
        <v>1.9985436E7</v>
      </c>
      <c r="T284" s="77">
        <v>1598835.0</v>
      </c>
      <c r="U284" s="60">
        <f t="shared" si="2"/>
        <v>21584271</v>
      </c>
      <c r="V284" s="70"/>
      <c r="W284" s="23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</row>
    <row r="285" ht="25.5" customHeight="1">
      <c r="A285" s="55">
        <v>46083.0</v>
      </c>
      <c r="B285" s="56" t="s">
        <v>661</v>
      </c>
      <c r="C285" s="56" t="s">
        <v>55</v>
      </c>
      <c r="D285" s="58" t="s">
        <v>53</v>
      </c>
      <c r="E285" s="58" t="s">
        <v>70</v>
      </c>
      <c r="F285" s="56" t="s">
        <v>71</v>
      </c>
      <c r="G285" s="60">
        <v>2067.0</v>
      </c>
      <c r="H285" s="62">
        <v>20024.0</v>
      </c>
      <c r="I285" s="64">
        <v>4.1389608E7</v>
      </c>
      <c r="J285" s="64">
        <v>3311169.0</v>
      </c>
      <c r="K285" s="64">
        <v>4.4700777E7</v>
      </c>
      <c r="L285" s="65" t="s">
        <v>331</v>
      </c>
      <c r="M285" s="65" t="str">
        <f>VLOOKUP(L285,'Đơn đặt'!$C$3:$E$275,2,0)</f>
        <v>01-14-TS</v>
      </c>
      <c r="N285" s="65" t="str">
        <f>VLOOKUP(L285,'Đơn đặt'!$C$3:$E$275,3,0)</f>
        <v>13-2026/TS-AVP/ĐĐH</v>
      </c>
      <c r="O285" s="66">
        <v>46083.0</v>
      </c>
      <c r="P285" s="67" t="s">
        <v>662</v>
      </c>
      <c r="Q285" s="68">
        <v>2067.0</v>
      </c>
      <c r="R285" s="76">
        <v>16788.8</v>
      </c>
      <c r="S285" s="77">
        <v>3.470245E7</v>
      </c>
      <c r="T285" s="77">
        <v>2776196.0</v>
      </c>
      <c r="U285" s="60">
        <f t="shared" si="2"/>
        <v>37478646</v>
      </c>
      <c r="V285" s="70"/>
      <c r="W285" s="23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</row>
    <row r="286" ht="25.5" customHeight="1">
      <c r="A286" s="55">
        <v>46084.0</v>
      </c>
      <c r="B286" s="56" t="s">
        <v>466</v>
      </c>
      <c r="C286" s="56" t="s">
        <v>206</v>
      </c>
      <c r="D286" s="58" t="s">
        <v>207</v>
      </c>
      <c r="E286" s="58" t="s">
        <v>70</v>
      </c>
      <c r="F286" s="56" t="s">
        <v>71</v>
      </c>
      <c r="G286" s="60">
        <v>650.0</v>
      </c>
      <c r="H286" s="62">
        <v>18134.0</v>
      </c>
      <c r="I286" s="64">
        <v>1.17871E7</v>
      </c>
      <c r="J286" s="64">
        <v>942968.0</v>
      </c>
      <c r="K286" s="64">
        <v>1.2730068E7</v>
      </c>
      <c r="L286" s="65" t="s">
        <v>451</v>
      </c>
      <c r="M286" s="65" t="str">
        <f>VLOOKUP(L286,'Đơn đặt'!$C$3:$E$275,2,0)</f>
        <v>01-04-TS</v>
      </c>
      <c r="N286" s="65" t="str">
        <f>VLOOKUP(L286,'Đơn đặt'!$C$3:$E$275,3,0)</f>
        <v>07-2026/TS-AVP/ĐĐH</v>
      </c>
      <c r="O286" s="66">
        <v>46084.0</v>
      </c>
      <c r="P286" s="67" t="s">
        <v>663</v>
      </c>
      <c r="Q286" s="68">
        <v>650.0</v>
      </c>
      <c r="R286" s="76">
        <v>17202.8</v>
      </c>
      <c r="S286" s="77">
        <v>1.118182E7</v>
      </c>
      <c r="T286" s="77">
        <v>894545.0</v>
      </c>
      <c r="U286" s="60">
        <f t="shared" si="2"/>
        <v>12076365</v>
      </c>
      <c r="V286" s="70"/>
      <c r="W286" s="23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</row>
    <row r="287" ht="25.5" customHeight="1">
      <c r="A287" s="55">
        <v>46084.0</v>
      </c>
      <c r="B287" s="56" t="s">
        <v>466</v>
      </c>
      <c r="C287" s="56" t="s">
        <v>119</v>
      </c>
      <c r="D287" s="58" t="s">
        <v>120</v>
      </c>
      <c r="E287" s="58" t="s">
        <v>70</v>
      </c>
      <c r="F287" s="56" t="s">
        <v>71</v>
      </c>
      <c r="G287" s="60">
        <v>2000.0</v>
      </c>
      <c r="H287" s="62">
        <v>19310.0</v>
      </c>
      <c r="I287" s="64">
        <v>3.862E7</v>
      </c>
      <c r="J287" s="64">
        <v>3089600.0</v>
      </c>
      <c r="K287" s="64">
        <v>4.17096E7</v>
      </c>
      <c r="L287" s="65" t="s">
        <v>228</v>
      </c>
      <c r="M287" s="65" t="str">
        <f>VLOOKUP(L287,'Đơn đặt'!$C$3:$E$275,2,0)</f>
        <v>01-02-TS</v>
      </c>
      <c r="N287" s="65" t="str">
        <f>VLOOKUP(L287,'Đơn đặt'!$C$3:$E$275,3,0)</f>
        <v>04-2026/TS-AVP/ĐĐH</v>
      </c>
      <c r="O287" s="66">
        <v>46084.0</v>
      </c>
      <c r="P287" s="67" t="s">
        <v>663</v>
      </c>
      <c r="Q287" s="68">
        <v>2000.0</v>
      </c>
      <c r="R287" s="76">
        <v>17438.0</v>
      </c>
      <c r="S287" s="77">
        <v>3.4876E7</v>
      </c>
      <c r="T287" s="77">
        <v>2790080.0</v>
      </c>
      <c r="U287" s="60">
        <f t="shared" si="2"/>
        <v>37666080</v>
      </c>
      <c r="V287" s="70"/>
      <c r="W287" s="23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</row>
    <row r="288" ht="25.5" customHeight="1">
      <c r="A288" s="55">
        <v>46084.0</v>
      </c>
      <c r="B288" s="56" t="s">
        <v>466</v>
      </c>
      <c r="C288" s="56" t="s">
        <v>409</v>
      </c>
      <c r="D288" s="58" t="s">
        <v>664</v>
      </c>
      <c r="E288" s="58" t="s">
        <v>70</v>
      </c>
      <c r="F288" s="56" t="s">
        <v>71</v>
      </c>
      <c r="G288" s="60">
        <v>1600.0</v>
      </c>
      <c r="H288" s="62">
        <v>18953.0</v>
      </c>
      <c r="I288" s="64">
        <v>3.03248E7</v>
      </c>
      <c r="J288" s="64">
        <v>2425984.0</v>
      </c>
      <c r="K288" s="64">
        <v>3.2750784E7</v>
      </c>
      <c r="L288" s="65" t="s">
        <v>666</v>
      </c>
      <c r="M288" s="65" t="str">
        <f>VLOOKUP(L288,'Đơn đặt'!$C$3:$E$275,2,0)</f>
        <v>02-03-TS</v>
      </c>
      <c r="N288" s="65" t="str">
        <f>VLOOKUP(L288,'Đơn đặt'!$C$3:$E$275,3,0)</f>
        <v>21-2026/TS-AVP/ĐĐH</v>
      </c>
      <c r="O288" s="66">
        <v>46084.0</v>
      </c>
      <c r="P288" s="67" t="s">
        <v>663</v>
      </c>
      <c r="Q288" s="68">
        <v>1600.0</v>
      </c>
      <c r="R288" s="76">
        <v>17782.6</v>
      </c>
      <c r="S288" s="77">
        <v>2.845216E7</v>
      </c>
      <c r="T288" s="77">
        <v>2276173.0</v>
      </c>
      <c r="U288" s="60">
        <f t="shared" si="2"/>
        <v>30728333</v>
      </c>
      <c r="V288" s="70"/>
      <c r="W288" s="23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</row>
    <row r="289" ht="25.5" customHeight="1">
      <c r="A289" s="55">
        <v>46084.0</v>
      </c>
      <c r="B289" s="56" t="s">
        <v>466</v>
      </c>
      <c r="C289" s="56" t="s">
        <v>244</v>
      </c>
      <c r="D289" s="58" t="s">
        <v>245</v>
      </c>
      <c r="E289" s="58" t="s">
        <v>70</v>
      </c>
      <c r="F289" s="56" t="s">
        <v>71</v>
      </c>
      <c r="G289" s="60">
        <v>520.0</v>
      </c>
      <c r="H289" s="62">
        <v>18953.0</v>
      </c>
      <c r="I289" s="64">
        <v>9855560.0</v>
      </c>
      <c r="J289" s="64">
        <v>788445.0</v>
      </c>
      <c r="K289" s="64">
        <v>1.0644005E7</v>
      </c>
      <c r="L289" s="65" t="s">
        <v>652</v>
      </c>
      <c r="M289" s="65" t="str">
        <f>VLOOKUP(L289,'Đơn đặt'!$C$3:$E$275,2,0)</f>
        <v>02-03-TS</v>
      </c>
      <c r="N289" s="65" t="str">
        <f>VLOOKUP(L289,'Đơn đặt'!$C$3:$E$275,3,0)</f>
        <v>21-2026/TS-AVP/ĐĐH</v>
      </c>
      <c r="O289" s="66">
        <v>46084.0</v>
      </c>
      <c r="P289" s="67" t="s">
        <v>663</v>
      </c>
      <c r="Q289" s="68">
        <v>520.0</v>
      </c>
      <c r="R289" s="76">
        <v>18246.6</v>
      </c>
      <c r="S289" s="77">
        <v>9488232.0</v>
      </c>
      <c r="T289" s="77">
        <v>759059.0</v>
      </c>
      <c r="U289" s="60">
        <f t="shared" si="2"/>
        <v>10247291</v>
      </c>
      <c r="V289" s="70"/>
      <c r="W289" s="23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</row>
    <row r="290" ht="25.5" customHeight="1">
      <c r="A290" s="55">
        <v>46084.0</v>
      </c>
      <c r="B290" s="56" t="s">
        <v>468</v>
      </c>
      <c r="C290" s="56" t="s">
        <v>48</v>
      </c>
      <c r="D290" s="58" t="s">
        <v>47</v>
      </c>
      <c r="E290" s="58" t="s">
        <v>70</v>
      </c>
      <c r="F290" s="56" t="s">
        <v>71</v>
      </c>
      <c r="G290" s="60">
        <v>2000.0</v>
      </c>
      <c r="H290" s="62">
        <v>18291.0</v>
      </c>
      <c r="I290" s="64">
        <v>3.6582E7</v>
      </c>
      <c r="J290" s="64">
        <v>2926560.0</v>
      </c>
      <c r="K290" s="64">
        <v>3.950856E7</v>
      </c>
      <c r="L290" s="65" t="s">
        <v>536</v>
      </c>
      <c r="M290" s="65" t="str">
        <f>VLOOKUP(L290,'Đơn đặt'!$C$3:$E$275,2,0)</f>
        <v>01-14-TS</v>
      </c>
      <c r="N290" s="65" t="str">
        <f>VLOOKUP(L290,'Đơn đặt'!$C$3:$E$275,3,0)</f>
        <v>11-2026/TS-AVP/ĐĐH</v>
      </c>
      <c r="O290" s="66">
        <v>46084.0</v>
      </c>
      <c r="P290" s="67" t="s">
        <v>668</v>
      </c>
      <c r="Q290" s="68">
        <v>2000.0</v>
      </c>
      <c r="R290" s="68">
        <v>14482.2</v>
      </c>
      <c r="S290" s="68">
        <v>2.89644E7</v>
      </c>
      <c r="T290" s="68">
        <v>2317152.0</v>
      </c>
      <c r="U290" s="60">
        <f t="shared" si="2"/>
        <v>31281552</v>
      </c>
      <c r="V290" s="70"/>
      <c r="W290" s="23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</row>
    <row r="291" ht="25.5" customHeight="1">
      <c r="A291" s="55">
        <v>46084.0</v>
      </c>
      <c r="B291" s="56" t="s">
        <v>468</v>
      </c>
      <c r="C291" s="56" t="s">
        <v>50</v>
      </c>
      <c r="D291" s="58" t="s">
        <v>49</v>
      </c>
      <c r="E291" s="58" t="s">
        <v>70</v>
      </c>
      <c r="F291" s="56" t="s">
        <v>71</v>
      </c>
      <c r="G291" s="60">
        <v>1000.0</v>
      </c>
      <c r="H291" s="62">
        <v>18291.0</v>
      </c>
      <c r="I291" s="64">
        <v>1.8291E7</v>
      </c>
      <c r="J291" s="64">
        <v>1463280.0</v>
      </c>
      <c r="K291" s="64">
        <v>1.975428E7</v>
      </c>
      <c r="L291" s="65" t="s">
        <v>392</v>
      </c>
      <c r="M291" s="65" t="str">
        <f>VLOOKUP(L291,'Đơn đặt'!$C$3:$E$275,2,0)</f>
        <v>12-01-TS</v>
      </c>
      <c r="N291" s="65" t="str">
        <f>VLOOKUP(L291,'Đơn đặt'!$C$3:$E$275,3,0)</f>
        <v>09-2026/TS-AVP/ĐĐH</v>
      </c>
      <c r="O291" s="66">
        <v>46084.0</v>
      </c>
      <c r="P291" s="67" t="s">
        <v>668</v>
      </c>
      <c r="Q291" s="68">
        <v>1000.0</v>
      </c>
      <c r="R291" s="76">
        <v>14482.2</v>
      </c>
      <c r="S291" s="77">
        <v>1.44822E7</v>
      </c>
      <c r="T291" s="77">
        <v>1158576.0</v>
      </c>
      <c r="U291" s="60">
        <f t="shared" si="2"/>
        <v>15640776</v>
      </c>
      <c r="V291" s="70"/>
      <c r="W291" s="23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</row>
    <row r="292" ht="25.5" customHeight="1">
      <c r="A292" s="55">
        <v>46084.0</v>
      </c>
      <c r="B292" s="56" t="s">
        <v>458</v>
      </c>
      <c r="C292" s="56" t="s">
        <v>9</v>
      </c>
      <c r="D292" s="58" t="s">
        <v>361</v>
      </c>
      <c r="E292" s="58" t="s">
        <v>70</v>
      </c>
      <c r="F292" s="56" t="s">
        <v>500</v>
      </c>
      <c r="G292" s="60">
        <v>1000000.0</v>
      </c>
      <c r="H292" s="62">
        <v>85.0</v>
      </c>
      <c r="I292" s="64">
        <v>8.5E7</v>
      </c>
      <c r="J292" s="64">
        <v>6800000.0</v>
      </c>
      <c r="K292" s="64">
        <v>9.18E7</v>
      </c>
      <c r="L292" s="65" t="s">
        <v>669</v>
      </c>
      <c r="M292" s="65" t="str">
        <f>VLOOKUP(L292,'Đơn đặt'!$C$3:$E$275,2,0)</f>
        <v>02-32/TS-LP</v>
      </c>
      <c r="N292" s="65" t="str">
        <f>VLOOKUP(L292,'Đơn đặt'!$C$3:$E$275,3,0)</f>
        <v>24-2026/TS-AVP/ĐĐH</v>
      </c>
      <c r="O292" s="66">
        <v>46084.0</v>
      </c>
      <c r="P292" s="67" t="s">
        <v>670</v>
      </c>
      <c r="Q292" s="68">
        <v>1000000.0</v>
      </c>
      <c r="R292" s="76">
        <v>78.6</v>
      </c>
      <c r="S292" s="77">
        <v>7.86E7</v>
      </c>
      <c r="T292" s="77">
        <v>6288000.0</v>
      </c>
      <c r="U292" s="60">
        <f t="shared" si="2"/>
        <v>84888000</v>
      </c>
      <c r="V292" s="70"/>
      <c r="W292" s="23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</row>
    <row r="293" ht="25.5" customHeight="1">
      <c r="A293" s="55">
        <v>46084.0</v>
      </c>
      <c r="B293" s="56" t="s">
        <v>671</v>
      </c>
      <c r="C293" s="56" t="s">
        <v>38</v>
      </c>
      <c r="D293" s="58" t="s">
        <v>36</v>
      </c>
      <c r="E293" s="58" t="s">
        <v>70</v>
      </c>
      <c r="F293" s="56" t="s">
        <v>71</v>
      </c>
      <c r="G293" s="60">
        <v>800.0</v>
      </c>
      <c r="H293" s="62">
        <v>18953.0</v>
      </c>
      <c r="I293" s="64">
        <v>1.51624E7</v>
      </c>
      <c r="J293" s="64">
        <v>1212992.0</v>
      </c>
      <c r="K293" s="64">
        <v>1.6375392E7</v>
      </c>
      <c r="L293" s="65" t="s">
        <v>656</v>
      </c>
      <c r="M293" s="65" t="str">
        <f>VLOOKUP(L293,'Đơn đặt'!$C$3:$E$275,2,0)</f>
        <v>02-03-TS</v>
      </c>
      <c r="N293" s="65" t="str">
        <f>VLOOKUP(L293,'Đơn đặt'!$C$3:$E$275,3,0)</f>
        <v>21-2026/TS-AVP/ĐĐH</v>
      </c>
      <c r="O293" s="66">
        <v>46084.0</v>
      </c>
      <c r="P293" s="67" t="s">
        <v>672</v>
      </c>
      <c r="Q293" s="68">
        <v>800.0</v>
      </c>
      <c r="R293" s="76">
        <v>18246.6</v>
      </c>
      <c r="S293" s="77">
        <v>1.459728E7</v>
      </c>
      <c r="T293" s="77">
        <v>1167783.0</v>
      </c>
      <c r="U293" s="60">
        <f t="shared" si="2"/>
        <v>15765063</v>
      </c>
      <c r="V293" s="70"/>
      <c r="W293" s="23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</row>
    <row r="294" ht="25.5" customHeight="1">
      <c r="A294" s="55">
        <v>46084.0</v>
      </c>
      <c r="B294" s="56" t="s">
        <v>671</v>
      </c>
      <c r="C294" s="56" t="s">
        <v>14</v>
      </c>
      <c r="D294" s="58" t="s">
        <v>13</v>
      </c>
      <c r="E294" s="58" t="s">
        <v>70</v>
      </c>
      <c r="F294" s="56" t="s">
        <v>71</v>
      </c>
      <c r="G294" s="60">
        <v>2000.0</v>
      </c>
      <c r="H294" s="62">
        <v>19404.0</v>
      </c>
      <c r="I294" s="64">
        <v>3.8808E7</v>
      </c>
      <c r="J294" s="64">
        <v>3104640.0</v>
      </c>
      <c r="K294" s="64">
        <v>4.191264E7</v>
      </c>
      <c r="L294" s="65" t="s">
        <v>291</v>
      </c>
      <c r="M294" s="65" t="str">
        <f>VLOOKUP(L294,'Đơn đặt'!$C$3:$E$275,2,0)</f>
        <v>12-01-TS</v>
      </c>
      <c r="N294" s="65" t="str">
        <f>VLOOKUP(L294,'Đơn đặt'!$C$3:$E$275,3,0)</f>
        <v>03-2026/TS-AVP/ĐĐH</v>
      </c>
      <c r="O294" s="66">
        <v>46084.0</v>
      </c>
      <c r="P294" s="67" t="s">
        <v>672</v>
      </c>
      <c r="Q294" s="68">
        <v>2000.0</v>
      </c>
      <c r="R294" s="76">
        <v>17776.8</v>
      </c>
      <c r="S294" s="77">
        <v>3.55536E7</v>
      </c>
      <c r="T294" s="77">
        <v>2844288.0</v>
      </c>
      <c r="U294" s="60">
        <f t="shared" si="2"/>
        <v>38397888</v>
      </c>
      <c r="V294" s="70"/>
      <c r="W294" s="23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</row>
    <row r="295" ht="25.5" customHeight="1">
      <c r="A295" s="55">
        <v>46084.0</v>
      </c>
      <c r="B295" s="56" t="s">
        <v>671</v>
      </c>
      <c r="C295" s="56" t="s">
        <v>206</v>
      </c>
      <c r="D295" s="58" t="s">
        <v>207</v>
      </c>
      <c r="E295" s="58" t="s">
        <v>70</v>
      </c>
      <c r="F295" s="56" t="s">
        <v>71</v>
      </c>
      <c r="G295" s="60">
        <v>1350.0</v>
      </c>
      <c r="H295" s="62">
        <v>18134.0</v>
      </c>
      <c r="I295" s="64">
        <v>2.44809E7</v>
      </c>
      <c r="J295" s="64">
        <v>1958472.0</v>
      </c>
      <c r="K295" s="64">
        <v>2.6439372E7</v>
      </c>
      <c r="L295" s="65" t="s">
        <v>451</v>
      </c>
      <c r="M295" s="65" t="str">
        <f>VLOOKUP(L295,'Đơn đặt'!$C$3:$E$275,2,0)</f>
        <v>01-04-TS</v>
      </c>
      <c r="N295" s="65" t="str">
        <f>VLOOKUP(L295,'Đơn đặt'!$C$3:$E$275,3,0)</f>
        <v>07-2026/TS-AVP/ĐĐH</v>
      </c>
      <c r="O295" s="66">
        <v>46084.0</v>
      </c>
      <c r="P295" s="67" t="s">
        <v>672</v>
      </c>
      <c r="Q295" s="68">
        <v>1350.0</v>
      </c>
      <c r="R295" s="76">
        <v>17202.8</v>
      </c>
      <c r="S295" s="77">
        <v>2.322378E7</v>
      </c>
      <c r="T295" s="77">
        <v>1857902.0</v>
      </c>
      <c r="U295" s="60">
        <f t="shared" si="2"/>
        <v>25081682</v>
      </c>
      <c r="V295" s="70"/>
      <c r="W295" s="23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</row>
    <row r="296" ht="25.5" customHeight="1">
      <c r="A296" s="55">
        <v>46084.0</v>
      </c>
      <c r="B296" s="56" t="s">
        <v>673</v>
      </c>
      <c r="C296" s="56" t="s">
        <v>48</v>
      </c>
      <c r="D296" s="58" t="s">
        <v>47</v>
      </c>
      <c r="E296" s="58" t="s">
        <v>70</v>
      </c>
      <c r="F296" s="56" t="s">
        <v>71</v>
      </c>
      <c r="G296" s="60">
        <v>1000.0</v>
      </c>
      <c r="H296" s="62">
        <v>18291.0</v>
      </c>
      <c r="I296" s="64">
        <v>1.8291E7</v>
      </c>
      <c r="J296" s="64">
        <v>1463280.0</v>
      </c>
      <c r="K296" s="64">
        <v>1.975428E7</v>
      </c>
      <c r="L296" s="65" t="s">
        <v>536</v>
      </c>
      <c r="M296" s="65" t="str">
        <f>VLOOKUP(L296,'Đơn đặt'!$C$3:$E$275,2,0)</f>
        <v>01-14-TS</v>
      </c>
      <c r="N296" s="65" t="str">
        <f>VLOOKUP(L296,'Đơn đặt'!$C$3:$E$275,3,0)</f>
        <v>11-2026/TS-AVP/ĐĐH</v>
      </c>
      <c r="O296" s="66">
        <v>46084.0</v>
      </c>
      <c r="P296" s="67" t="s">
        <v>674</v>
      </c>
      <c r="Q296" s="68">
        <v>1000.0</v>
      </c>
      <c r="R296" s="68">
        <v>14482.2</v>
      </c>
      <c r="S296" s="68">
        <v>1.44822E7</v>
      </c>
      <c r="T296" s="68">
        <v>1158576.0</v>
      </c>
      <c r="U296" s="60">
        <f t="shared" si="2"/>
        <v>15640776</v>
      </c>
      <c r="V296" s="70"/>
      <c r="W296" s="23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</row>
    <row r="297" ht="25.5" customHeight="1">
      <c r="A297" s="55">
        <v>46085.0</v>
      </c>
      <c r="B297" s="56" t="s">
        <v>475</v>
      </c>
      <c r="C297" s="56" t="s">
        <v>48</v>
      </c>
      <c r="D297" s="58" t="s">
        <v>47</v>
      </c>
      <c r="E297" s="58" t="s">
        <v>70</v>
      </c>
      <c r="F297" s="56" t="s">
        <v>71</v>
      </c>
      <c r="G297" s="60">
        <v>3000.0</v>
      </c>
      <c r="H297" s="62">
        <v>18291.0</v>
      </c>
      <c r="I297" s="64">
        <v>5.4873E7</v>
      </c>
      <c r="J297" s="64">
        <v>4389840.0</v>
      </c>
      <c r="K297" s="64">
        <v>5.926284E7</v>
      </c>
      <c r="L297" s="65" t="s">
        <v>536</v>
      </c>
      <c r="M297" s="65" t="str">
        <f>VLOOKUP(L297,'Đơn đặt'!$C$3:$E$275,2,0)</f>
        <v>01-14-TS</v>
      </c>
      <c r="N297" s="65" t="str">
        <f>VLOOKUP(L297,'Đơn đặt'!$C$3:$E$275,3,0)</f>
        <v>11-2026/TS-AVP/ĐĐH</v>
      </c>
      <c r="O297" s="66">
        <v>46085.0</v>
      </c>
      <c r="P297" s="67" t="s">
        <v>675</v>
      </c>
      <c r="Q297" s="68">
        <v>3000.0</v>
      </c>
      <c r="R297" s="68">
        <v>14482.2</v>
      </c>
      <c r="S297" s="68">
        <v>4.34466E7</v>
      </c>
      <c r="T297" s="68">
        <v>3475728.0</v>
      </c>
      <c r="U297" s="60">
        <f t="shared" si="2"/>
        <v>46922328</v>
      </c>
      <c r="V297" s="70"/>
      <c r="W297" s="23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</row>
    <row r="298" ht="25.5" customHeight="1">
      <c r="A298" s="55">
        <v>46085.0</v>
      </c>
      <c r="B298" s="56" t="s">
        <v>475</v>
      </c>
      <c r="C298" s="56" t="s">
        <v>50</v>
      </c>
      <c r="D298" s="58" t="s">
        <v>49</v>
      </c>
      <c r="E298" s="58" t="s">
        <v>70</v>
      </c>
      <c r="F298" s="56" t="s">
        <v>71</v>
      </c>
      <c r="G298" s="60">
        <v>2000.0</v>
      </c>
      <c r="H298" s="62">
        <v>18291.0</v>
      </c>
      <c r="I298" s="64">
        <v>3.6582E7</v>
      </c>
      <c r="J298" s="64">
        <v>2926560.0</v>
      </c>
      <c r="K298" s="64">
        <v>3.950856E7</v>
      </c>
      <c r="L298" s="65" t="s">
        <v>589</v>
      </c>
      <c r="M298" s="65" t="str">
        <f>VLOOKUP(L298,'Đơn đặt'!$C$3:$E$275,2,0)</f>
        <v>01-14-TS</v>
      </c>
      <c r="N298" s="65" t="str">
        <f>VLOOKUP(L298,'Đơn đặt'!$C$3:$E$275,3,0)</f>
        <v>11-2026/TS-AVP/ĐĐH</v>
      </c>
      <c r="O298" s="66">
        <v>46085.0</v>
      </c>
      <c r="P298" s="67" t="s">
        <v>675</v>
      </c>
      <c r="Q298" s="68">
        <v>2000.0</v>
      </c>
      <c r="R298" s="76">
        <v>14482.2</v>
      </c>
      <c r="S298" s="77">
        <v>2.89644E7</v>
      </c>
      <c r="T298" s="77">
        <v>2317152.0</v>
      </c>
      <c r="U298" s="60">
        <f t="shared" si="2"/>
        <v>31281552</v>
      </c>
      <c r="V298" s="70"/>
      <c r="W298" s="23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</row>
    <row r="299" ht="25.5" customHeight="1">
      <c r="A299" s="55">
        <v>46085.0</v>
      </c>
      <c r="B299" s="56" t="s">
        <v>473</v>
      </c>
      <c r="C299" s="56" t="s">
        <v>59</v>
      </c>
      <c r="D299" s="58" t="s">
        <v>105</v>
      </c>
      <c r="E299" s="58" t="s">
        <v>70</v>
      </c>
      <c r="F299" s="56" t="s">
        <v>71</v>
      </c>
      <c r="G299" s="60">
        <v>3590.0</v>
      </c>
      <c r="H299" s="62">
        <v>18291.0</v>
      </c>
      <c r="I299" s="64">
        <v>6.566469E7</v>
      </c>
      <c r="J299" s="64">
        <v>5253175.0</v>
      </c>
      <c r="K299" s="64">
        <v>7.0917865E7</v>
      </c>
      <c r="L299" s="65" t="s">
        <v>548</v>
      </c>
      <c r="M299" s="65" t="str">
        <f>VLOOKUP(L299,'Đơn đặt'!$C$3:$E$275,2,0)</f>
        <v>01-14-TS</v>
      </c>
      <c r="N299" s="65" t="str">
        <f>VLOOKUP(L299,'Đơn đặt'!$C$3:$E$275,3,0)</f>
        <v>12-2026/TS-AVP/ĐĐH</v>
      </c>
      <c r="O299" s="66">
        <v>46085.0</v>
      </c>
      <c r="P299" s="67" t="s">
        <v>676</v>
      </c>
      <c r="Q299" s="68">
        <v>3590.0</v>
      </c>
      <c r="R299" s="76">
        <v>16258.2</v>
      </c>
      <c r="S299" s="68">
        <v>5.8366938E7</v>
      </c>
      <c r="T299" s="77">
        <v>4669355.0</v>
      </c>
      <c r="U299" s="60">
        <f t="shared" si="2"/>
        <v>63036293</v>
      </c>
      <c r="V299" s="70"/>
      <c r="W299" s="23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</row>
    <row r="300" ht="25.5" customHeight="1">
      <c r="A300" s="55">
        <v>46085.0</v>
      </c>
      <c r="B300" s="56" t="s">
        <v>677</v>
      </c>
      <c r="C300" s="56" t="s">
        <v>26</v>
      </c>
      <c r="D300" s="58" t="s">
        <v>25</v>
      </c>
      <c r="E300" s="58" t="s">
        <v>70</v>
      </c>
      <c r="F300" s="56" t="s">
        <v>71</v>
      </c>
      <c r="G300" s="60">
        <v>500.0</v>
      </c>
      <c r="H300" s="62">
        <v>15719.0</v>
      </c>
      <c r="I300" s="64">
        <v>7859500.0</v>
      </c>
      <c r="J300" s="64">
        <v>628760.0</v>
      </c>
      <c r="K300" s="64">
        <v>8488260.0</v>
      </c>
      <c r="L300" s="65" t="s">
        <v>678</v>
      </c>
      <c r="M300" s="65" t="str">
        <f>VLOOKUP(L300,'Đơn đặt'!$C$3:$E$275,2,0)</f>
        <v>02-03-TS</v>
      </c>
      <c r="N300" s="65" t="str">
        <f>VLOOKUP(L300,'Đơn đặt'!$C$3:$E$275,3,0)</f>
        <v>21-2026/TS-AVP/ĐĐH</v>
      </c>
      <c r="O300" s="66">
        <v>46085.0</v>
      </c>
      <c r="P300" s="67" t="s">
        <v>679</v>
      </c>
      <c r="Q300" s="68">
        <v>500.0</v>
      </c>
      <c r="R300" s="76">
        <v>15695.8</v>
      </c>
      <c r="S300" s="77">
        <v>7847900.0</v>
      </c>
      <c r="T300" s="77">
        <v>627832.0</v>
      </c>
      <c r="U300" s="60">
        <f t="shared" si="2"/>
        <v>8475732</v>
      </c>
      <c r="V300" s="70"/>
      <c r="W300" s="23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</row>
    <row r="301" ht="25.5" customHeight="1">
      <c r="A301" s="55">
        <v>46085.0</v>
      </c>
      <c r="B301" s="56" t="s">
        <v>677</v>
      </c>
      <c r="C301" s="56" t="s">
        <v>222</v>
      </c>
      <c r="D301" s="58" t="s">
        <v>223</v>
      </c>
      <c r="E301" s="58" t="s">
        <v>70</v>
      </c>
      <c r="F301" s="56" t="s">
        <v>71</v>
      </c>
      <c r="G301" s="60">
        <v>1000.0</v>
      </c>
      <c r="H301" s="62">
        <v>19310.0</v>
      </c>
      <c r="I301" s="64">
        <f t="shared" ref="I301:I302" si="55">ROUND(G301*H301,0)</f>
        <v>19310000</v>
      </c>
      <c r="J301" s="64">
        <f t="shared" ref="J301:J302" si="56">ROUND(I301*0.08,0)</f>
        <v>1544800</v>
      </c>
      <c r="K301" s="64">
        <f t="shared" ref="K301:K302" si="57">I301+J301</f>
        <v>20854800</v>
      </c>
      <c r="L301" s="65" t="s">
        <v>471</v>
      </c>
      <c r="M301" s="65" t="str">
        <f>VLOOKUP(L301,'Đơn đặt'!$C$3:$E$275,2,0)</f>
        <v>11-04-TS</v>
      </c>
      <c r="N301" s="65" t="str">
        <f>VLOOKUP(L301,'Đơn đặt'!$C$3:$E$275,3,0)</f>
        <v>01-2026/TS-AVP/ĐĐH</v>
      </c>
      <c r="O301" s="66">
        <v>46085.0</v>
      </c>
      <c r="P301" s="67" t="s">
        <v>679</v>
      </c>
      <c r="Q301" s="68">
        <v>1000.0</v>
      </c>
      <c r="R301" s="76">
        <v>17438.0</v>
      </c>
      <c r="S301" s="64">
        <f t="shared" ref="S301:S302" si="58">ROUND(Q301*R301,0)</f>
        <v>17438000</v>
      </c>
      <c r="T301" s="64">
        <f t="shared" ref="T301:T302" si="59">ROUND(S301*0.08,0)</f>
        <v>1395040</v>
      </c>
      <c r="U301" s="60">
        <f t="shared" si="2"/>
        <v>18833040</v>
      </c>
      <c r="V301" s="70"/>
      <c r="W301" s="23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</row>
    <row r="302" ht="25.5" customHeight="1">
      <c r="A302" s="55">
        <v>46085.0</v>
      </c>
      <c r="B302" s="56" t="s">
        <v>677</v>
      </c>
      <c r="C302" s="56" t="s">
        <v>222</v>
      </c>
      <c r="D302" s="58" t="s">
        <v>223</v>
      </c>
      <c r="E302" s="58" t="s">
        <v>70</v>
      </c>
      <c r="F302" s="56" t="s">
        <v>71</v>
      </c>
      <c r="G302" s="60">
        <v>1000.0</v>
      </c>
      <c r="H302" s="62">
        <v>19310.0</v>
      </c>
      <c r="I302" s="64">
        <f t="shared" si="55"/>
        <v>19310000</v>
      </c>
      <c r="J302" s="64">
        <f t="shared" si="56"/>
        <v>1544800</v>
      </c>
      <c r="K302" s="64">
        <f t="shared" si="57"/>
        <v>20854800</v>
      </c>
      <c r="L302" s="65" t="s">
        <v>680</v>
      </c>
      <c r="M302" s="65" t="str">
        <f>VLOOKUP(L302,'Đơn đặt'!$C$3:$E$275,2,0)</f>
        <v>01-04-TS</v>
      </c>
      <c r="N302" s="65" t="str">
        <f>VLOOKUP(L302,'Đơn đặt'!$C$3:$E$275,3,0)</f>
        <v>07-2026/TS-AVP/ĐĐH</v>
      </c>
      <c r="O302" s="66">
        <v>46085.0</v>
      </c>
      <c r="P302" s="67" t="s">
        <v>679</v>
      </c>
      <c r="Q302" s="68">
        <v>1000.0</v>
      </c>
      <c r="R302" s="76">
        <v>17438.0</v>
      </c>
      <c r="S302" s="64">
        <f t="shared" si="58"/>
        <v>17438000</v>
      </c>
      <c r="T302" s="64">
        <f t="shared" si="59"/>
        <v>1395040</v>
      </c>
      <c r="U302" s="60">
        <f t="shared" si="2"/>
        <v>18833040</v>
      </c>
      <c r="V302" s="70"/>
      <c r="W302" s="23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</row>
    <row r="303" ht="25.5" customHeight="1">
      <c r="A303" s="55">
        <v>46085.0</v>
      </c>
      <c r="B303" s="56" t="s">
        <v>677</v>
      </c>
      <c r="C303" s="56" t="s">
        <v>244</v>
      </c>
      <c r="D303" s="58" t="s">
        <v>245</v>
      </c>
      <c r="E303" s="58" t="s">
        <v>70</v>
      </c>
      <c r="F303" s="56" t="s">
        <v>71</v>
      </c>
      <c r="G303" s="60">
        <v>980.0</v>
      </c>
      <c r="H303" s="62">
        <v>18953.0</v>
      </c>
      <c r="I303" s="64">
        <v>1.857394E7</v>
      </c>
      <c r="J303" s="64">
        <v>1485915.0</v>
      </c>
      <c r="K303" s="64">
        <v>2.0059855E7</v>
      </c>
      <c r="L303" s="65" t="s">
        <v>652</v>
      </c>
      <c r="M303" s="65" t="str">
        <f>VLOOKUP(L303,'Đơn đặt'!$C$3:$E$275,2,0)</f>
        <v>02-03-TS</v>
      </c>
      <c r="N303" s="65" t="str">
        <f>VLOOKUP(L303,'Đơn đặt'!$C$3:$E$275,3,0)</f>
        <v>21-2026/TS-AVP/ĐĐH</v>
      </c>
      <c r="O303" s="66">
        <v>46085.0</v>
      </c>
      <c r="P303" s="67" t="s">
        <v>679</v>
      </c>
      <c r="Q303" s="68">
        <v>980.0</v>
      </c>
      <c r="R303" s="76">
        <v>18246.6</v>
      </c>
      <c r="S303" s="77">
        <v>1.7881668E7</v>
      </c>
      <c r="T303" s="77">
        <v>1430533.0</v>
      </c>
      <c r="U303" s="60">
        <f t="shared" si="2"/>
        <v>19312201</v>
      </c>
      <c r="V303" s="70"/>
      <c r="W303" s="23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</row>
    <row r="304" ht="25.5" customHeight="1">
      <c r="A304" s="55">
        <v>46085.0</v>
      </c>
      <c r="B304" s="56" t="s">
        <v>677</v>
      </c>
      <c r="C304" s="56" t="s">
        <v>196</v>
      </c>
      <c r="D304" s="58" t="s">
        <v>197</v>
      </c>
      <c r="E304" s="58" t="s">
        <v>70</v>
      </c>
      <c r="F304" s="56" t="s">
        <v>71</v>
      </c>
      <c r="G304" s="60">
        <v>1040.0</v>
      </c>
      <c r="H304" s="62">
        <v>19320.0</v>
      </c>
      <c r="I304" s="64">
        <v>2.00928E7</v>
      </c>
      <c r="J304" s="64">
        <v>1607424.0</v>
      </c>
      <c r="K304" s="64">
        <v>2.1700224E7</v>
      </c>
      <c r="L304" s="65" t="s">
        <v>515</v>
      </c>
      <c r="M304" s="65" t="str">
        <f>VLOOKUP(L304,'Đơn đặt'!$C$3:$E$275,2,0)</f>
        <v>02-10-TS</v>
      </c>
      <c r="N304" s="65" t="str">
        <f>VLOOKUP(L304,'Đơn đặt'!$C$3:$E$275,3,0)</f>
        <v>26-2026/TS-AVP/ĐĐH</v>
      </c>
      <c r="O304" s="66">
        <v>46085.0</v>
      </c>
      <c r="P304" s="67" t="s">
        <v>679</v>
      </c>
      <c r="Q304" s="68">
        <v>1040.0</v>
      </c>
      <c r="R304" s="76">
        <v>17928.0</v>
      </c>
      <c r="S304" s="77">
        <v>1.864512E7</v>
      </c>
      <c r="T304" s="77">
        <v>1491610.0</v>
      </c>
      <c r="U304" s="60">
        <f t="shared" si="2"/>
        <v>20136730</v>
      </c>
      <c r="V304" s="70"/>
      <c r="W304" s="23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</row>
    <row r="305" ht="25.5" customHeight="1">
      <c r="A305" s="55">
        <v>46085.0</v>
      </c>
      <c r="B305" s="56" t="s">
        <v>681</v>
      </c>
      <c r="C305" s="56" t="s">
        <v>9</v>
      </c>
      <c r="D305" s="58" t="s">
        <v>361</v>
      </c>
      <c r="E305" s="58" t="s">
        <v>70</v>
      </c>
      <c r="F305" s="56" t="s">
        <v>500</v>
      </c>
      <c r="G305" s="60">
        <v>1000000.0</v>
      </c>
      <c r="H305" s="62">
        <v>85.0</v>
      </c>
      <c r="I305" s="64">
        <v>8.5E7</v>
      </c>
      <c r="J305" s="64">
        <v>6800000.0</v>
      </c>
      <c r="K305" s="64">
        <v>9.18E7</v>
      </c>
      <c r="L305" s="65" t="s">
        <v>669</v>
      </c>
      <c r="M305" s="65" t="str">
        <f>VLOOKUP(L305,'Đơn đặt'!$C$3:$E$275,2,0)</f>
        <v>02-32/TS-LP</v>
      </c>
      <c r="N305" s="65" t="str">
        <f>VLOOKUP(L305,'Đơn đặt'!$C$3:$E$275,3,0)</f>
        <v>24-2026/TS-AVP/ĐĐH</v>
      </c>
      <c r="O305" s="66">
        <v>46085.0</v>
      </c>
      <c r="P305" s="67" t="s">
        <v>682</v>
      </c>
      <c r="Q305" s="68">
        <v>1000000.0</v>
      </c>
      <c r="R305" s="76">
        <v>78.6</v>
      </c>
      <c r="S305" s="77">
        <v>7.86E7</v>
      </c>
      <c r="T305" s="77">
        <v>6288000.0</v>
      </c>
      <c r="U305" s="60">
        <f t="shared" si="2"/>
        <v>84888000</v>
      </c>
      <c r="V305" s="70"/>
      <c r="W305" s="23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</row>
    <row r="306" ht="25.5" customHeight="1">
      <c r="A306" s="55">
        <v>46086.0</v>
      </c>
      <c r="B306" s="56" t="s">
        <v>683</v>
      </c>
      <c r="C306" s="56" t="s">
        <v>48</v>
      </c>
      <c r="D306" s="58" t="s">
        <v>47</v>
      </c>
      <c r="E306" s="58" t="s">
        <v>70</v>
      </c>
      <c r="F306" s="56" t="s">
        <v>71</v>
      </c>
      <c r="G306" s="60">
        <v>4750.0</v>
      </c>
      <c r="H306" s="62">
        <v>18291.0</v>
      </c>
      <c r="I306" s="64">
        <v>8.688225E7</v>
      </c>
      <c r="J306" s="64">
        <v>6950580.0</v>
      </c>
      <c r="K306" s="64">
        <v>9.383283E7</v>
      </c>
      <c r="L306" s="65" t="s">
        <v>536</v>
      </c>
      <c r="M306" s="65" t="str">
        <f>VLOOKUP(L306,'Đơn đặt'!$C$3:$E$275,2,0)</f>
        <v>01-14-TS</v>
      </c>
      <c r="N306" s="65" t="str">
        <f>VLOOKUP(L306,'Đơn đặt'!$C$3:$E$275,3,0)</f>
        <v>11-2026/TS-AVP/ĐĐH</v>
      </c>
      <c r="O306" s="66">
        <v>46086.0</v>
      </c>
      <c r="P306" s="67" t="s">
        <v>684</v>
      </c>
      <c r="Q306" s="68">
        <v>4750.0</v>
      </c>
      <c r="R306" s="68">
        <v>14482.2</v>
      </c>
      <c r="S306" s="68">
        <v>6.879045E7</v>
      </c>
      <c r="T306" s="68">
        <v>5503236.0</v>
      </c>
      <c r="U306" s="60">
        <f t="shared" si="2"/>
        <v>74293686</v>
      </c>
      <c r="V306" s="70"/>
      <c r="W306" s="23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</row>
    <row r="307" ht="25.5" customHeight="1">
      <c r="A307" s="55">
        <v>46086.0</v>
      </c>
      <c r="B307" s="56" t="s">
        <v>685</v>
      </c>
      <c r="C307" s="56" t="s">
        <v>59</v>
      </c>
      <c r="D307" s="58" t="s">
        <v>105</v>
      </c>
      <c r="E307" s="58" t="s">
        <v>70</v>
      </c>
      <c r="F307" s="56" t="s">
        <v>71</v>
      </c>
      <c r="G307" s="60">
        <v>600.0</v>
      </c>
      <c r="H307" s="62">
        <v>18291.0</v>
      </c>
      <c r="I307" s="64">
        <v>1.09746E7</v>
      </c>
      <c r="J307" s="64">
        <v>877968.0</v>
      </c>
      <c r="K307" s="64">
        <v>1.1852568E7</v>
      </c>
      <c r="L307" s="65" t="s">
        <v>548</v>
      </c>
      <c r="M307" s="65" t="str">
        <f>VLOOKUP(L307,'Đơn đặt'!$C$3:$E$275,2,0)</f>
        <v>01-14-TS</v>
      </c>
      <c r="N307" s="65" t="str">
        <f>VLOOKUP(L307,'Đơn đặt'!$C$3:$E$275,3,0)</f>
        <v>12-2026/TS-AVP/ĐĐH</v>
      </c>
      <c r="O307" s="66">
        <v>46086.0</v>
      </c>
      <c r="P307" s="67" t="s">
        <v>686</v>
      </c>
      <c r="Q307" s="68">
        <v>600.0</v>
      </c>
      <c r="R307" s="76">
        <v>16258.2</v>
      </c>
      <c r="S307" s="68">
        <v>9754920.0</v>
      </c>
      <c r="T307" s="77">
        <v>780394.0</v>
      </c>
      <c r="U307" s="60">
        <f t="shared" si="2"/>
        <v>10535314</v>
      </c>
      <c r="V307" s="70"/>
      <c r="W307" s="23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</row>
    <row r="308" ht="25.5" customHeight="1">
      <c r="A308" s="55">
        <v>46086.0</v>
      </c>
      <c r="B308" s="56" t="s">
        <v>685</v>
      </c>
      <c r="C308" s="56" t="s">
        <v>119</v>
      </c>
      <c r="D308" s="58" t="s">
        <v>120</v>
      </c>
      <c r="E308" s="58" t="s">
        <v>70</v>
      </c>
      <c r="F308" s="56" t="s">
        <v>71</v>
      </c>
      <c r="G308" s="60">
        <v>1000.0</v>
      </c>
      <c r="H308" s="62">
        <v>19310.0</v>
      </c>
      <c r="I308" s="64">
        <v>1.931E7</v>
      </c>
      <c r="J308" s="64">
        <v>1544800.0</v>
      </c>
      <c r="K308" s="64">
        <v>2.08548E7</v>
      </c>
      <c r="L308" s="65" t="s">
        <v>228</v>
      </c>
      <c r="M308" s="65" t="str">
        <f>VLOOKUP(L308,'Đơn đặt'!$C$3:$E$275,2,0)</f>
        <v>01-02-TS</v>
      </c>
      <c r="N308" s="65" t="str">
        <f>VLOOKUP(L308,'Đơn đặt'!$C$3:$E$275,3,0)</f>
        <v>04-2026/TS-AVP/ĐĐH</v>
      </c>
      <c r="O308" s="66">
        <v>46086.0</v>
      </c>
      <c r="P308" s="67" t="s">
        <v>686</v>
      </c>
      <c r="Q308" s="68">
        <v>1000.0</v>
      </c>
      <c r="R308" s="76">
        <v>17438.0</v>
      </c>
      <c r="S308" s="77">
        <v>1.7438E7</v>
      </c>
      <c r="T308" s="77">
        <v>1395039.0</v>
      </c>
      <c r="U308" s="60">
        <f t="shared" si="2"/>
        <v>18833039</v>
      </c>
      <c r="V308" s="70"/>
      <c r="W308" s="23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</row>
    <row r="309" ht="25.5" customHeight="1">
      <c r="A309" s="55">
        <v>46086.0</v>
      </c>
      <c r="B309" s="56" t="s">
        <v>685</v>
      </c>
      <c r="C309" s="56" t="s">
        <v>14</v>
      </c>
      <c r="D309" s="58" t="s">
        <v>13</v>
      </c>
      <c r="E309" s="58" t="s">
        <v>70</v>
      </c>
      <c r="F309" s="56" t="s">
        <v>71</v>
      </c>
      <c r="G309" s="60">
        <v>2000.0</v>
      </c>
      <c r="H309" s="62">
        <v>19404.0</v>
      </c>
      <c r="I309" s="64">
        <v>3.8808E7</v>
      </c>
      <c r="J309" s="64">
        <v>3104640.0</v>
      </c>
      <c r="K309" s="64">
        <v>4.191264E7</v>
      </c>
      <c r="L309" s="65" t="s">
        <v>564</v>
      </c>
      <c r="M309" s="65" t="str">
        <f>VLOOKUP(L309,'Đơn đặt'!$C$3:$E$275,2,0)</f>
        <v>01-14-TS</v>
      </c>
      <c r="N309" s="65" t="str">
        <f>VLOOKUP(L309,'Đơn đặt'!$C$3:$E$275,3,0)</f>
        <v>12-2026/TS-AVP/ĐĐH</v>
      </c>
      <c r="O309" s="66">
        <v>46086.0</v>
      </c>
      <c r="P309" s="67" t="s">
        <v>686</v>
      </c>
      <c r="Q309" s="68">
        <v>2000.0</v>
      </c>
      <c r="R309" s="76">
        <v>17776.8</v>
      </c>
      <c r="S309" s="77">
        <v>3.55536E7</v>
      </c>
      <c r="T309" s="77">
        <v>2844288.0</v>
      </c>
      <c r="U309" s="60">
        <f t="shared" si="2"/>
        <v>38397888</v>
      </c>
      <c r="V309" s="70"/>
      <c r="W309" s="23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</row>
    <row r="310" ht="25.5" customHeight="1">
      <c r="A310" s="55">
        <v>46086.0</v>
      </c>
      <c r="B310" s="56" t="s">
        <v>685</v>
      </c>
      <c r="C310" s="56" t="s">
        <v>21</v>
      </c>
      <c r="D310" s="58" t="s">
        <v>371</v>
      </c>
      <c r="E310" s="58" t="s">
        <v>70</v>
      </c>
      <c r="F310" s="56" t="s">
        <v>71</v>
      </c>
      <c r="G310" s="60">
        <v>450.0</v>
      </c>
      <c r="H310" s="62">
        <v>18029.0</v>
      </c>
      <c r="I310" s="64">
        <v>8113050.0</v>
      </c>
      <c r="J310" s="64">
        <v>649044.0</v>
      </c>
      <c r="K310" s="64">
        <v>8762094.0</v>
      </c>
      <c r="L310" s="65" t="s">
        <v>552</v>
      </c>
      <c r="M310" s="65" t="str">
        <f>VLOOKUP(L310,'Đơn đặt'!$C$3:$E$275,2,0)</f>
        <v>02-03-TS</v>
      </c>
      <c r="N310" s="65" t="str">
        <f>VLOOKUP(L310,'Đơn đặt'!$C$3:$E$275,3,0)</f>
        <v>21-2026/TS-AVP/ĐĐH</v>
      </c>
      <c r="O310" s="66">
        <v>46086.0</v>
      </c>
      <c r="P310" s="67" t="s">
        <v>686</v>
      </c>
      <c r="Q310" s="68">
        <v>450.0</v>
      </c>
      <c r="R310" s="76">
        <v>17469.8</v>
      </c>
      <c r="S310" s="77">
        <v>7861410.0</v>
      </c>
      <c r="T310" s="77">
        <v>628913.0</v>
      </c>
      <c r="U310" s="60">
        <f t="shared" si="2"/>
        <v>8490323</v>
      </c>
      <c r="V310" s="70"/>
      <c r="W310" s="23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</row>
    <row r="311" ht="25.5" customHeight="1">
      <c r="A311" s="55">
        <v>46086.0</v>
      </c>
      <c r="B311" s="56" t="s">
        <v>688</v>
      </c>
      <c r="C311" s="56" t="s">
        <v>48</v>
      </c>
      <c r="D311" s="58" t="s">
        <v>47</v>
      </c>
      <c r="E311" s="58" t="s">
        <v>70</v>
      </c>
      <c r="F311" s="56" t="s">
        <v>71</v>
      </c>
      <c r="G311" s="60">
        <v>1700.0</v>
      </c>
      <c r="H311" s="62">
        <v>18291.0</v>
      </c>
      <c r="I311" s="64">
        <v>3.10947E7</v>
      </c>
      <c r="J311" s="64">
        <v>2487576.0</v>
      </c>
      <c r="K311" s="64">
        <v>3.3582276E7</v>
      </c>
      <c r="L311" s="65" t="s">
        <v>536</v>
      </c>
      <c r="M311" s="65" t="str">
        <f>VLOOKUP(L311,'Đơn đặt'!$C$3:$E$275,2,0)</f>
        <v>01-14-TS</v>
      </c>
      <c r="N311" s="65" t="str">
        <f>VLOOKUP(L311,'Đơn đặt'!$C$3:$E$275,3,0)</f>
        <v>11-2026/TS-AVP/ĐĐH</v>
      </c>
      <c r="O311" s="66">
        <v>46086.0</v>
      </c>
      <c r="P311" s="67" t="s">
        <v>689</v>
      </c>
      <c r="Q311" s="68">
        <v>1700.0</v>
      </c>
      <c r="R311" s="68">
        <v>14482.2</v>
      </c>
      <c r="S311" s="68">
        <v>2.461974E7</v>
      </c>
      <c r="T311" s="68">
        <v>1969579.0</v>
      </c>
      <c r="U311" s="60">
        <f t="shared" si="2"/>
        <v>26589319</v>
      </c>
      <c r="V311" s="70"/>
      <c r="W311" s="23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</row>
    <row r="312" ht="25.5" customHeight="1">
      <c r="A312" s="55">
        <v>46086.0</v>
      </c>
      <c r="B312" s="56" t="s">
        <v>688</v>
      </c>
      <c r="C312" s="56" t="s">
        <v>77</v>
      </c>
      <c r="D312" s="58" t="s">
        <v>78</v>
      </c>
      <c r="E312" s="58" t="s">
        <v>70</v>
      </c>
      <c r="F312" s="56" t="s">
        <v>71</v>
      </c>
      <c r="G312" s="60">
        <v>2940.0</v>
      </c>
      <c r="H312" s="62">
        <v>21777.0</v>
      </c>
      <c r="I312" s="64">
        <v>6.402438E7</v>
      </c>
      <c r="J312" s="64">
        <v>5121950.0</v>
      </c>
      <c r="K312" s="64">
        <v>6.914633E7</v>
      </c>
      <c r="L312" s="65" t="s">
        <v>594</v>
      </c>
      <c r="M312" s="65" t="str">
        <f>VLOOKUP(L312,'Đơn đặt'!$C$3:$E$275,2,0)</f>
        <v>02-12-TS</v>
      </c>
      <c r="N312" s="65" t="str">
        <f>VLOOKUP(L312,'Đơn đặt'!$C$3:$E$275,3,0)</f>
        <v>29-2026/TS-AVP/ĐĐH</v>
      </c>
      <c r="O312" s="66">
        <v>46086.0</v>
      </c>
      <c r="P312" s="67" t="s">
        <v>689</v>
      </c>
      <c r="Q312" s="68">
        <v>2940.0</v>
      </c>
      <c r="R312" s="76">
        <v>19723.4</v>
      </c>
      <c r="S312" s="77">
        <v>5.7986796E7</v>
      </c>
      <c r="T312" s="77">
        <v>4638944.0</v>
      </c>
      <c r="U312" s="60">
        <f t="shared" si="2"/>
        <v>62625740</v>
      </c>
      <c r="V312" s="70"/>
      <c r="W312" s="23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</row>
    <row r="313" ht="25.5" customHeight="1">
      <c r="A313" s="55">
        <v>46086.0</v>
      </c>
      <c r="B313" s="56" t="s">
        <v>691</v>
      </c>
      <c r="C313" s="56" t="s">
        <v>55</v>
      </c>
      <c r="D313" s="58" t="s">
        <v>53</v>
      </c>
      <c r="E313" s="58" t="s">
        <v>70</v>
      </c>
      <c r="F313" s="56" t="s">
        <v>71</v>
      </c>
      <c r="G313" s="60">
        <v>1960.0</v>
      </c>
      <c r="H313" s="62">
        <v>20024.0</v>
      </c>
      <c r="I313" s="64">
        <f t="shared" ref="I313:I314" si="60">ROUND(G313*H313,0)</f>
        <v>39247040</v>
      </c>
      <c r="J313" s="64">
        <f t="shared" ref="J313:J314" si="61">ROUND(I313*0.08,0)</f>
        <v>3139763</v>
      </c>
      <c r="K313" s="64">
        <f t="shared" ref="K313:K314" si="62">I313+J313</f>
        <v>42386803</v>
      </c>
      <c r="L313" s="65" t="s">
        <v>331</v>
      </c>
      <c r="M313" s="65" t="str">
        <f>VLOOKUP(L313,'Đơn đặt'!$C$3:$E$275,2,0)</f>
        <v>01-14-TS</v>
      </c>
      <c r="N313" s="65" t="str">
        <f>VLOOKUP(L313,'Đơn đặt'!$C$3:$E$275,3,0)</f>
        <v>13-2026/TS-AVP/ĐĐH</v>
      </c>
      <c r="O313" s="66">
        <v>46086.0</v>
      </c>
      <c r="P313" s="67" t="s">
        <v>692</v>
      </c>
      <c r="Q313" s="68">
        <v>1960.0</v>
      </c>
      <c r="R313" s="76">
        <v>16788.8</v>
      </c>
      <c r="S313" s="64">
        <f t="shared" ref="S313:S315" si="63">ROUND(Q313*R313,0)</f>
        <v>32906048</v>
      </c>
      <c r="T313" s="64">
        <f t="shared" ref="T313:T315" si="64">ROUND(S313*0.08,0)</f>
        <v>2632484</v>
      </c>
      <c r="U313" s="60">
        <f t="shared" si="2"/>
        <v>35538532</v>
      </c>
      <c r="V313" s="70"/>
      <c r="W313" s="23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</row>
    <row r="314" ht="25.5" customHeight="1">
      <c r="A314" s="55">
        <v>46086.0</v>
      </c>
      <c r="B314" s="56" t="s">
        <v>691</v>
      </c>
      <c r="C314" s="56" t="s">
        <v>55</v>
      </c>
      <c r="D314" s="58" t="s">
        <v>53</v>
      </c>
      <c r="E314" s="58" t="s">
        <v>70</v>
      </c>
      <c r="F314" s="56" t="s">
        <v>71</v>
      </c>
      <c r="G314" s="60">
        <f>2170-G313</f>
        <v>210</v>
      </c>
      <c r="H314" s="62">
        <v>20024.0</v>
      </c>
      <c r="I314" s="64">
        <f t="shared" si="60"/>
        <v>4205040</v>
      </c>
      <c r="J314" s="64">
        <f t="shared" si="61"/>
        <v>336403</v>
      </c>
      <c r="K314" s="64">
        <f t="shared" si="62"/>
        <v>4541443</v>
      </c>
      <c r="L314" s="65" t="s">
        <v>693</v>
      </c>
      <c r="M314" s="65" t="str">
        <f>VLOOKUP(L314,'Đơn đặt'!$C$3:$E$275,2,0)</f>
        <v>02-03-TS</v>
      </c>
      <c r="N314" s="65" t="str">
        <f>VLOOKUP(L314,'Đơn đặt'!$C$3:$E$275,3,0)</f>
        <v>23-2026/TS-AVP/ĐĐH</v>
      </c>
      <c r="O314" s="66">
        <v>46086.0</v>
      </c>
      <c r="P314" s="67" t="s">
        <v>692</v>
      </c>
      <c r="Q314" s="68">
        <v>210.0</v>
      </c>
      <c r="R314" s="76">
        <v>16788.8</v>
      </c>
      <c r="S314" s="64">
        <f t="shared" si="63"/>
        <v>3525648</v>
      </c>
      <c r="T314" s="64">
        <f t="shared" si="64"/>
        <v>282052</v>
      </c>
      <c r="U314" s="60">
        <f t="shared" si="2"/>
        <v>3807700</v>
      </c>
      <c r="V314" s="70"/>
      <c r="W314" s="23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</row>
    <row r="315" ht="25.5" customHeight="1">
      <c r="A315" s="78">
        <v>46087.0</v>
      </c>
      <c r="B315" s="79" t="s">
        <v>694</v>
      </c>
      <c r="C315" s="79" t="s">
        <v>110</v>
      </c>
      <c r="D315" s="80" t="s">
        <v>444</v>
      </c>
      <c r="E315" s="58" t="s">
        <v>70</v>
      </c>
      <c r="F315" s="79" t="s">
        <v>112</v>
      </c>
      <c r="G315" s="81">
        <v>4680.0</v>
      </c>
      <c r="H315" s="82">
        <v>28000.0</v>
      </c>
      <c r="I315" s="83">
        <v>1.3104E8</v>
      </c>
      <c r="J315" s="83">
        <v>1.04832E7</v>
      </c>
      <c r="K315" s="83">
        <v>1.415232E8</v>
      </c>
      <c r="L315" s="84" t="s">
        <v>445</v>
      </c>
      <c r="M315" s="84" t="str">
        <f>VLOOKUP(L315,'Đơn đặt'!$C$3:$E$275,2,0)</f>
        <v>01/09/TSC-LT</v>
      </c>
      <c r="N315" s="84" t="str">
        <f>VLOOKUP(L315,'Đơn đặt'!$C$3:$E$275,3,0)</f>
        <v>Hàng SX</v>
      </c>
      <c r="O315" s="78" t="s">
        <v>98</v>
      </c>
      <c r="P315" s="92"/>
      <c r="Q315" s="81">
        <f>G315</f>
        <v>4680</v>
      </c>
      <c r="R315" s="92"/>
      <c r="S315" s="83">
        <f t="shared" si="63"/>
        <v>0</v>
      </c>
      <c r="T315" s="83">
        <f t="shared" si="64"/>
        <v>0</v>
      </c>
      <c r="U315" s="81">
        <f t="shared" si="2"/>
        <v>0</v>
      </c>
      <c r="V315" s="70"/>
      <c r="W315" s="23"/>
      <c r="X315" s="69"/>
      <c r="Y315" s="69"/>
      <c r="Z315" s="69"/>
      <c r="AA315" s="69"/>
      <c r="AB315" s="69"/>
      <c r="AC315" s="69"/>
      <c r="AD315" s="69"/>
      <c r="AE315" s="69"/>
      <c r="AF315" s="69"/>
      <c r="AG315" s="69"/>
      <c r="AH315" s="69"/>
      <c r="AI315" s="69"/>
      <c r="AJ315" s="69"/>
      <c r="AK315" s="69"/>
      <c r="AL315" s="69"/>
      <c r="AM315" s="69"/>
      <c r="AN315" s="69"/>
      <c r="AO315" s="69"/>
    </row>
    <row r="316" ht="25.5" customHeight="1">
      <c r="A316" s="55">
        <v>46087.0</v>
      </c>
      <c r="B316" s="56" t="s">
        <v>697</v>
      </c>
      <c r="C316" s="56" t="s">
        <v>48</v>
      </c>
      <c r="D316" s="58" t="s">
        <v>47</v>
      </c>
      <c r="E316" s="58" t="s">
        <v>70</v>
      </c>
      <c r="F316" s="56" t="s">
        <v>71</v>
      </c>
      <c r="G316" s="60">
        <v>7550.0</v>
      </c>
      <c r="H316" s="62">
        <v>18291.0</v>
      </c>
      <c r="I316" s="64">
        <v>1.3809705E8</v>
      </c>
      <c r="J316" s="64">
        <v>1.1047764E7</v>
      </c>
      <c r="K316" s="64">
        <v>1.49144814E8</v>
      </c>
      <c r="L316" s="65" t="s">
        <v>536</v>
      </c>
      <c r="M316" s="65" t="str">
        <f>VLOOKUP(L316,'Đơn đặt'!$C$3:$E$275,2,0)</f>
        <v>01-14-TS</v>
      </c>
      <c r="N316" s="65" t="str">
        <f>VLOOKUP(L316,'Đơn đặt'!$C$3:$E$275,3,0)</f>
        <v>11-2026/TS-AVP/ĐĐH</v>
      </c>
      <c r="O316" s="66">
        <v>46087.0</v>
      </c>
      <c r="P316" s="67" t="s">
        <v>700</v>
      </c>
      <c r="Q316" s="68">
        <v>7550.0</v>
      </c>
      <c r="R316" s="68">
        <v>14482.2</v>
      </c>
      <c r="S316" s="68">
        <v>1.0934061E8</v>
      </c>
      <c r="T316" s="68">
        <v>8747249.0</v>
      </c>
      <c r="U316" s="60">
        <f t="shared" si="2"/>
        <v>118087859</v>
      </c>
      <c r="V316" s="70"/>
      <c r="W316" s="23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</row>
    <row r="317" ht="25.5" customHeight="1">
      <c r="A317" s="55">
        <v>46087.0</v>
      </c>
      <c r="B317" s="56" t="s">
        <v>495</v>
      </c>
      <c r="C317" s="56" t="s">
        <v>59</v>
      </c>
      <c r="D317" s="58" t="s">
        <v>105</v>
      </c>
      <c r="E317" s="58" t="s">
        <v>70</v>
      </c>
      <c r="F317" s="56" t="s">
        <v>71</v>
      </c>
      <c r="G317" s="60">
        <v>1400.0</v>
      </c>
      <c r="H317" s="62">
        <v>18291.0</v>
      </c>
      <c r="I317" s="64">
        <v>2.56074E7</v>
      </c>
      <c r="J317" s="64">
        <v>2048592.0</v>
      </c>
      <c r="K317" s="64">
        <v>2.7655992E7</v>
      </c>
      <c r="L317" s="65" t="s">
        <v>548</v>
      </c>
      <c r="M317" s="65" t="str">
        <f>VLOOKUP(L317,'Đơn đặt'!$C$3:$E$275,2,0)</f>
        <v>01-14-TS</v>
      </c>
      <c r="N317" s="65" t="str">
        <f>VLOOKUP(L317,'Đơn đặt'!$C$3:$E$275,3,0)</f>
        <v>12-2026/TS-AVP/ĐĐH</v>
      </c>
      <c r="O317" s="66">
        <v>46087.0</v>
      </c>
      <c r="P317" s="67" t="s">
        <v>701</v>
      </c>
      <c r="Q317" s="68">
        <v>1400.0</v>
      </c>
      <c r="R317" s="76">
        <v>16258.2</v>
      </c>
      <c r="S317" s="68">
        <v>2.276148E7</v>
      </c>
      <c r="T317" s="77">
        <v>1820918.0</v>
      </c>
      <c r="U317" s="60">
        <f t="shared" si="2"/>
        <v>24582398</v>
      </c>
      <c r="V317" s="70"/>
      <c r="W317" s="23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</row>
    <row r="318" ht="25.5" customHeight="1">
      <c r="A318" s="55">
        <v>46090.0</v>
      </c>
      <c r="B318" s="56" t="s">
        <v>704</v>
      </c>
      <c r="C318" s="56" t="s">
        <v>77</v>
      </c>
      <c r="D318" s="58" t="s">
        <v>78</v>
      </c>
      <c r="E318" s="58" t="s">
        <v>70</v>
      </c>
      <c r="F318" s="56" t="s">
        <v>71</v>
      </c>
      <c r="G318" s="60">
        <v>3180.0</v>
      </c>
      <c r="H318" s="62">
        <v>21777.0</v>
      </c>
      <c r="I318" s="64">
        <v>6.925086E7</v>
      </c>
      <c r="J318" s="64">
        <v>5540069.0</v>
      </c>
      <c r="K318" s="64">
        <v>7.4790929E7</v>
      </c>
      <c r="L318" s="65" t="s">
        <v>594</v>
      </c>
      <c r="M318" s="65" t="str">
        <f>VLOOKUP(L318,'Đơn đặt'!$C$3:$E$275,2,0)</f>
        <v>02-12-TS</v>
      </c>
      <c r="N318" s="65" t="str">
        <f>VLOOKUP(L318,'Đơn đặt'!$C$3:$E$275,3,0)</f>
        <v>29-2026/TS-AVP/ĐĐH</v>
      </c>
      <c r="O318" s="66">
        <v>46090.0</v>
      </c>
      <c r="P318" s="67" t="s">
        <v>705</v>
      </c>
      <c r="Q318" s="68">
        <v>3180.0</v>
      </c>
      <c r="R318" s="76">
        <v>19723.4</v>
      </c>
      <c r="S318" s="77">
        <v>6.2720412E7</v>
      </c>
      <c r="T318" s="77">
        <v>5017633.0</v>
      </c>
      <c r="U318" s="60">
        <f t="shared" si="2"/>
        <v>67738045</v>
      </c>
      <c r="V318" s="70"/>
      <c r="W318" s="23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</row>
    <row r="319" ht="25.5" customHeight="1">
      <c r="A319" s="55">
        <v>46090.0</v>
      </c>
      <c r="B319" s="56" t="s">
        <v>706</v>
      </c>
      <c r="C319" s="56" t="s">
        <v>59</v>
      </c>
      <c r="D319" s="58" t="s">
        <v>105</v>
      </c>
      <c r="E319" s="58" t="s">
        <v>70</v>
      </c>
      <c r="F319" s="56" t="s">
        <v>71</v>
      </c>
      <c r="G319" s="60">
        <v>2190.0</v>
      </c>
      <c r="H319" s="62">
        <v>18291.0</v>
      </c>
      <c r="I319" s="64">
        <v>4.005729E7</v>
      </c>
      <c r="J319" s="64">
        <v>3204583.0</v>
      </c>
      <c r="K319" s="64">
        <v>4.3261873E7</v>
      </c>
      <c r="L319" s="65" t="s">
        <v>548</v>
      </c>
      <c r="M319" s="65" t="str">
        <f>VLOOKUP(L319,'Đơn đặt'!$C$3:$E$275,2,0)</f>
        <v>01-14-TS</v>
      </c>
      <c r="N319" s="65" t="str">
        <f>VLOOKUP(L319,'Đơn đặt'!$C$3:$E$275,3,0)</f>
        <v>12-2026/TS-AVP/ĐĐH</v>
      </c>
      <c r="O319" s="66">
        <v>46090.0</v>
      </c>
      <c r="P319" s="67" t="s">
        <v>708</v>
      </c>
      <c r="Q319" s="68">
        <v>2190.0</v>
      </c>
      <c r="R319" s="76">
        <v>16258.2</v>
      </c>
      <c r="S319" s="68">
        <v>3.5605458E7</v>
      </c>
      <c r="T319" s="77">
        <v>2848437.0</v>
      </c>
      <c r="U319" s="60">
        <f t="shared" si="2"/>
        <v>38453895</v>
      </c>
      <c r="V319" s="70"/>
      <c r="W319" s="23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</row>
    <row r="320" ht="25.5" customHeight="1">
      <c r="A320" s="55">
        <v>46090.0</v>
      </c>
      <c r="B320" s="56" t="s">
        <v>706</v>
      </c>
      <c r="C320" s="56" t="s">
        <v>275</v>
      </c>
      <c r="D320" s="58" t="s">
        <v>276</v>
      </c>
      <c r="E320" s="58" t="s">
        <v>70</v>
      </c>
      <c r="F320" s="56" t="s">
        <v>71</v>
      </c>
      <c r="G320" s="60">
        <v>1372.0</v>
      </c>
      <c r="H320" s="62">
        <v>17325.0</v>
      </c>
      <c r="I320" s="64">
        <v>2.37699E7</v>
      </c>
      <c r="J320" s="64">
        <v>1901592.0</v>
      </c>
      <c r="K320" s="64">
        <v>2.5671492E7</v>
      </c>
      <c r="L320" s="65" t="s">
        <v>710</v>
      </c>
      <c r="M320" s="65" t="str">
        <f>VLOOKUP(L320,'Đơn đặt'!$C$3:$E$275,2,0)</f>
        <v>02-11-TS</v>
      </c>
      <c r="N320" s="65" t="str">
        <f>VLOOKUP(L320,'Đơn đặt'!$C$3:$E$275,3,0)</f>
        <v>28-2026/TS-AVP/ĐĐH</v>
      </c>
      <c r="O320" s="66">
        <v>46090.0</v>
      </c>
      <c r="P320" s="67" t="s">
        <v>708</v>
      </c>
      <c r="Q320" s="68">
        <v>1372.0</v>
      </c>
      <c r="R320" s="76">
        <v>17241.0</v>
      </c>
      <c r="S320" s="77">
        <v>2.3654652E7</v>
      </c>
      <c r="T320" s="77">
        <v>1892372.0</v>
      </c>
      <c r="U320" s="60">
        <f t="shared" si="2"/>
        <v>25547024</v>
      </c>
      <c r="V320" s="70"/>
      <c r="W320" s="23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</row>
    <row r="321" ht="25.5" customHeight="1">
      <c r="A321" s="55">
        <v>46091.0</v>
      </c>
      <c r="B321" s="56" t="s">
        <v>711</v>
      </c>
      <c r="C321" s="56" t="s">
        <v>206</v>
      </c>
      <c r="D321" s="58" t="s">
        <v>207</v>
      </c>
      <c r="E321" s="58" t="s">
        <v>70</v>
      </c>
      <c r="F321" s="56" t="s">
        <v>71</v>
      </c>
      <c r="G321" s="60">
        <v>2000.0</v>
      </c>
      <c r="H321" s="62">
        <v>18134.0</v>
      </c>
      <c r="I321" s="64">
        <v>3.6268E7</v>
      </c>
      <c r="J321" s="64">
        <v>2901440.0</v>
      </c>
      <c r="K321" s="64">
        <v>3.916944E7</v>
      </c>
      <c r="L321" s="65" t="s">
        <v>451</v>
      </c>
      <c r="M321" s="65" t="str">
        <f>VLOOKUP(L321,'Đơn đặt'!$C$3:$E$275,2,0)</f>
        <v>01-04-TS</v>
      </c>
      <c r="N321" s="65" t="str">
        <f>VLOOKUP(L321,'Đơn đặt'!$C$3:$E$275,3,0)</f>
        <v>07-2026/TS-AVP/ĐĐH</v>
      </c>
      <c r="O321" s="66">
        <v>46091.0</v>
      </c>
      <c r="P321" s="67" t="s">
        <v>712</v>
      </c>
      <c r="Q321" s="68">
        <v>2000.0</v>
      </c>
      <c r="R321" s="76">
        <v>17202.8</v>
      </c>
      <c r="S321" s="77">
        <v>3.44056E7</v>
      </c>
      <c r="T321" s="77">
        <v>2752448.0</v>
      </c>
      <c r="U321" s="60">
        <f t="shared" si="2"/>
        <v>37158048</v>
      </c>
      <c r="V321" s="70"/>
      <c r="W321" s="23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</row>
    <row r="322" ht="25.5" customHeight="1">
      <c r="A322" s="55">
        <v>46091.0</v>
      </c>
      <c r="B322" s="56" t="s">
        <v>711</v>
      </c>
      <c r="C322" s="56" t="s">
        <v>119</v>
      </c>
      <c r="D322" s="58" t="s">
        <v>120</v>
      </c>
      <c r="E322" s="58" t="s">
        <v>70</v>
      </c>
      <c r="F322" s="56" t="s">
        <v>71</v>
      </c>
      <c r="G322" s="60">
        <v>1000.0</v>
      </c>
      <c r="H322" s="62">
        <v>19310.0</v>
      </c>
      <c r="I322" s="64">
        <v>1.931E7</v>
      </c>
      <c r="J322" s="64">
        <v>1544800.0</v>
      </c>
      <c r="K322" s="64">
        <v>2.08548E7</v>
      </c>
      <c r="L322" s="65" t="s">
        <v>228</v>
      </c>
      <c r="M322" s="65" t="str">
        <f>VLOOKUP(L322,'Đơn đặt'!$C$3:$E$275,2,0)</f>
        <v>01-02-TS</v>
      </c>
      <c r="N322" s="65" t="str">
        <f>VLOOKUP(L322,'Đơn đặt'!$C$3:$E$275,3,0)</f>
        <v>04-2026/TS-AVP/ĐĐH</v>
      </c>
      <c r="O322" s="66">
        <v>46091.0</v>
      </c>
      <c r="P322" s="67" t="s">
        <v>712</v>
      </c>
      <c r="Q322" s="68">
        <v>1000.0</v>
      </c>
      <c r="R322" s="76">
        <v>17438.0</v>
      </c>
      <c r="S322" s="77">
        <v>1.7438E7</v>
      </c>
      <c r="T322" s="77">
        <v>1395040.0</v>
      </c>
      <c r="U322" s="60">
        <f t="shared" si="2"/>
        <v>18833040</v>
      </c>
      <c r="V322" s="70"/>
      <c r="W322" s="23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</row>
    <row r="323" ht="25.5" customHeight="1">
      <c r="A323" s="55">
        <v>46091.0</v>
      </c>
      <c r="B323" s="56" t="s">
        <v>711</v>
      </c>
      <c r="C323" s="56" t="s">
        <v>21</v>
      </c>
      <c r="D323" s="58" t="s">
        <v>371</v>
      </c>
      <c r="E323" s="58" t="s">
        <v>70</v>
      </c>
      <c r="F323" s="56" t="s">
        <v>71</v>
      </c>
      <c r="G323" s="60">
        <v>500.0</v>
      </c>
      <c r="H323" s="62">
        <v>18029.0</v>
      </c>
      <c r="I323" s="64">
        <v>9014500.0</v>
      </c>
      <c r="J323" s="64">
        <v>721160.0</v>
      </c>
      <c r="K323" s="64">
        <v>9735660.0</v>
      </c>
      <c r="L323" s="65" t="s">
        <v>552</v>
      </c>
      <c r="M323" s="65" t="str">
        <f>VLOOKUP(L323,'Đơn đặt'!$C$3:$E$275,2,0)</f>
        <v>02-03-TS</v>
      </c>
      <c r="N323" s="65" t="str">
        <f>VLOOKUP(L323,'Đơn đặt'!$C$3:$E$275,3,0)</f>
        <v>21-2026/TS-AVP/ĐĐH</v>
      </c>
      <c r="O323" s="66">
        <v>46091.0</v>
      </c>
      <c r="P323" s="67" t="s">
        <v>712</v>
      </c>
      <c r="Q323" s="68">
        <v>500.0</v>
      </c>
      <c r="R323" s="76">
        <v>17469.8</v>
      </c>
      <c r="S323" s="77">
        <v>8734900.0</v>
      </c>
      <c r="T323" s="77">
        <v>698792.0</v>
      </c>
      <c r="U323" s="60">
        <f t="shared" si="2"/>
        <v>9433692</v>
      </c>
      <c r="V323" s="70"/>
      <c r="W323" s="23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</row>
    <row r="324" ht="25.5" customHeight="1">
      <c r="A324" s="55">
        <v>46091.0</v>
      </c>
      <c r="B324" s="56" t="s">
        <v>711</v>
      </c>
      <c r="C324" s="56" t="s">
        <v>59</v>
      </c>
      <c r="D324" s="58" t="s">
        <v>105</v>
      </c>
      <c r="E324" s="58" t="s">
        <v>70</v>
      </c>
      <c r="F324" s="56" t="s">
        <v>71</v>
      </c>
      <c r="G324" s="60">
        <v>1200.0</v>
      </c>
      <c r="H324" s="62">
        <v>18291.0</v>
      </c>
      <c r="I324" s="64">
        <v>2.19492E7</v>
      </c>
      <c r="J324" s="64">
        <v>1755936.0</v>
      </c>
      <c r="K324" s="64">
        <v>2.3705136E7</v>
      </c>
      <c r="L324" s="65" t="s">
        <v>548</v>
      </c>
      <c r="M324" s="65" t="str">
        <f>VLOOKUP(L324,'Đơn đặt'!$C$3:$E$275,2,0)</f>
        <v>01-14-TS</v>
      </c>
      <c r="N324" s="65" t="str">
        <f>VLOOKUP(L324,'Đơn đặt'!$C$3:$E$275,3,0)</f>
        <v>12-2026/TS-AVP/ĐĐH</v>
      </c>
      <c r="O324" s="66">
        <v>46091.0</v>
      </c>
      <c r="P324" s="67" t="s">
        <v>712</v>
      </c>
      <c r="Q324" s="68">
        <v>1200.0</v>
      </c>
      <c r="R324" s="76">
        <v>16258.2</v>
      </c>
      <c r="S324" s="68">
        <v>1.950984E7</v>
      </c>
      <c r="T324" s="77">
        <v>1560787.0</v>
      </c>
      <c r="U324" s="60">
        <f t="shared" si="2"/>
        <v>21070627</v>
      </c>
      <c r="V324" s="70"/>
      <c r="W324" s="23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</row>
    <row r="325" ht="25.5" customHeight="1">
      <c r="A325" s="55">
        <v>46091.0</v>
      </c>
      <c r="B325" s="56" t="s">
        <v>714</v>
      </c>
      <c r="C325" s="56" t="s">
        <v>48</v>
      </c>
      <c r="D325" s="58" t="s">
        <v>47</v>
      </c>
      <c r="E325" s="58" t="s">
        <v>70</v>
      </c>
      <c r="F325" s="56" t="s">
        <v>71</v>
      </c>
      <c r="G325" s="60">
        <v>3000.0</v>
      </c>
      <c r="H325" s="62">
        <v>18291.0</v>
      </c>
      <c r="I325" s="64">
        <v>5.4873E7</v>
      </c>
      <c r="J325" s="64">
        <v>4389840.0</v>
      </c>
      <c r="K325" s="64">
        <v>5.926284E7</v>
      </c>
      <c r="L325" s="65" t="s">
        <v>536</v>
      </c>
      <c r="M325" s="65" t="str">
        <f>VLOOKUP(L325,'Đơn đặt'!$C$3:$E$275,2,0)</f>
        <v>01-14-TS</v>
      </c>
      <c r="N325" s="65" t="str">
        <f>VLOOKUP(L325,'Đơn đặt'!$C$3:$E$275,3,0)</f>
        <v>11-2026/TS-AVP/ĐĐH</v>
      </c>
      <c r="O325" s="66">
        <v>46091.0</v>
      </c>
      <c r="P325" s="67" t="s">
        <v>715</v>
      </c>
      <c r="Q325" s="68">
        <v>3000.0</v>
      </c>
      <c r="R325" s="68">
        <v>14482.2</v>
      </c>
      <c r="S325" s="68">
        <v>4.34466E7</v>
      </c>
      <c r="T325" s="68">
        <v>3475728.0</v>
      </c>
      <c r="U325" s="60">
        <f t="shared" si="2"/>
        <v>46922328</v>
      </c>
      <c r="V325" s="70"/>
      <c r="W325" s="23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</row>
    <row r="326" ht="25.5" customHeight="1">
      <c r="A326" s="55">
        <v>46091.0</v>
      </c>
      <c r="B326" s="56" t="s">
        <v>714</v>
      </c>
      <c r="C326" s="56" t="s">
        <v>50</v>
      </c>
      <c r="D326" s="58" t="s">
        <v>49</v>
      </c>
      <c r="E326" s="58" t="s">
        <v>70</v>
      </c>
      <c r="F326" s="56" t="s">
        <v>71</v>
      </c>
      <c r="G326" s="60">
        <v>1000.0</v>
      </c>
      <c r="H326" s="62">
        <v>18291.0</v>
      </c>
      <c r="I326" s="64">
        <v>1.8291E7</v>
      </c>
      <c r="J326" s="64">
        <v>1463280.0</v>
      </c>
      <c r="K326" s="64">
        <v>1.975428E7</v>
      </c>
      <c r="L326" s="65" t="s">
        <v>589</v>
      </c>
      <c r="M326" s="65" t="str">
        <f>VLOOKUP(L326,'Đơn đặt'!$C$3:$E$275,2,0)</f>
        <v>01-14-TS</v>
      </c>
      <c r="N326" s="65" t="str">
        <f>VLOOKUP(L326,'Đơn đặt'!$C$3:$E$275,3,0)</f>
        <v>11-2026/TS-AVP/ĐĐH</v>
      </c>
      <c r="O326" s="66">
        <v>46091.0</v>
      </c>
      <c r="P326" s="67" t="s">
        <v>715</v>
      </c>
      <c r="Q326" s="68">
        <v>1000.0</v>
      </c>
      <c r="R326" s="76">
        <v>14482.2</v>
      </c>
      <c r="S326" s="77">
        <v>1.44822E7</v>
      </c>
      <c r="T326" s="77">
        <v>1158576.0</v>
      </c>
      <c r="U326" s="60">
        <f t="shared" si="2"/>
        <v>15640776</v>
      </c>
      <c r="V326" s="70"/>
      <c r="W326" s="23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</row>
    <row r="327" ht="25.5" customHeight="1">
      <c r="A327" s="55">
        <v>46091.0</v>
      </c>
      <c r="B327" s="56" t="s">
        <v>718</v>
      </c>
      <c r="C327" s="56" t="s">
        <v>55</v>
      </c>
      <c r="D327" s="58" t="s">
        <v>53</v>
      </c>
      <c r="E327" s="58" t="s">
        <v>70</v>
      </c>
      <c r="F327" s="56" t="s">
        <v>71</v>
      </c>
      <c r="G327" s="60">
        <v>3000.0</v>
      </c>
      <c r="H327" s="62">
        <v>20024.0</v>
      </c>
      <c r="I327" s="64">
        <v>6.0072E7</v>
      </c>
      <c r="J327" s="64">
        <v>4805760.0</v>
      </c>
      <c r="K327" s="64">
        <v>6.487776E7</v>
      </c>
      <c r="L327" s="65" t="s">
        <v>693</v>
      </c>
      <c r="M327" s="65" t="str">
        <f>VLOOKUP(L327,'Đơn đặt'!$C$3:$E$275,2,0)</f>
        <v>02-03-TS</v>
      </c>
      <c r="N327" s="65" t="str">
        <f>VLOOKUP(L327,'Đơn đặt'!$C$3:$E$275,3,0)</f>
        <v>23-2026/TS-AVP/ĐĐH</v>
      </c>
      <c r="O327" s="66">
        <v>46091.0</v>
      </c>
      <c r="P327" s="67" t="s">
        <v>719</v>
      </c>
      <c r="Q327" s="68">
        <v>3000.0</v>
      </c>
      <c r="R327" s="76">
        <v>16788.8</v>
      </c>
      <c r="S327" s="77">
        <v>5.03664E7</v>
      </c>
      <c r="T327" s="77">
        <v>4029312.0</v>
      </c>
      <c r="U327" s="60">
        <f t="shared" si="2"/>
        <v>54395712</v>
      </c>
      <c r="V327" s="70"/>
      <c r="W327" s="23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</row>
    <row r="328" ht="25.5" customHeight="1">
      <c r="A328" s="55">
        <v>46091.0</v>
      </c>
      <c r="B328" s="56" t="s">
        <v>722</v>
      </c>
      <c r="C328" s="56" t="s">
        <v>6</v>
      </c>
      <c r="D328" s="58" t="s">
        <v>499</v>
      </c>
      <c r="E328" s="58" t="s">
        <v>70</v>
      </c>
      <c r="F328" s="56" t="s">
        <v>500</v>
      </c>
      <c r="G328" s="60">
        <v>1000000.0</v>
      </c>
      <c r="H328" s="62">
        <v>78.0</v>
      </c>
      <c r="I328" s="64">
        <v>7.8E7</v>
      </c>
      <c r="J328" s="64">
        <v>6240000.0</v>
      </c>
      <c r="K328" s="64">
        <v>8.424E7</v>
      </c>
      <c r="L328" s="65" t="s">
        <v>723</v>
      </c>
      <c r="M328" s="65" t="str">
        <f>VLOOKUP(L328,'Đơn đặt'!$C$3:$E$275,2,0)</f>
        <v>02-32/TS-LP</v>
      </c>
      <c r="N328" s="65" t="str">
        <f>VLOOKUP(L328,'Đơn đặt'!$C$3:$E$275,3,0)</f>
        <v>24-2026/TS-AVP/ĐĐH</v>
      </c>
      <c r="O328" s="66">
        <v>46091.0</v>
      </c>
      <c r="P328" s="67" t="s">
        <v>724</v>
      </c>
      <c r="Q328" s="68">
        <v>1000000.0</v>
      </c>
      <c r="R328" s="76">
        <v>77.2</v>
      </c>
      <c r="S328" s="77">
        <v>7.72E7</v>
      </c>
      <c r="T328" s="77">
        <v>6176000.0</v>
      </c>
      <c r="U328" s="60">
        <f t="shared" si="2"/>
        <v>83376000</v>
      </c>
      <c r="V328" s="70"/>
      <c r="W328" s="23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</row>
    <row r="329" ht="25.5" customHeight="1">
      <c r="A329" s="55">
        <v>46091.0</v>
      </c>
      <c r="B329" s="56" t="s">
        <v>722</v>
      </c>
      <c r="C329" s="56" t="s">
        <v>446</v>
      </c>
      <c r="D329" s="58" t="s">
        <v>448</v>
      </c>
      <c r="E329" s="58" t="s">
        <v>70</v>
      </c>
      <c r="F329" s="56" t="s">
        <v>500</v>
      </c>
      <c r="G329" s="60">
        <v>200000.0</v>
      </c>
      <c r="H329" s="62">
        <v>76.0</v>
      </c>
      <c r="I329" s="64">
        <v>1.52E7</v>
      </c>
      <c r="J329" s="64">
        <v>1216000.0</v>
      </c>
      <c r="K329" s="64">
        <v>1.6416E7</v>
      </c>
      <c r="L329" s="65" t="s">
        <v>725</v>
      </c>
      <c r="M329" s="65" t="str">
        <f>VLOOKUP(L329,'Đơn đặt'!$C$3:$E$275,2,0)</f>
        <v>02-32/TS-LP</v>
      </c>
      <c r="N329" s="65" t="str">
        <f>VLOOKUP(L329,'Đơn đặt'!$C$3:$E$275,3,0)</f>
        <v>24-2026/TS-AVP/ĐĐH</v>
      </c>
      <c r="O329" s="66">
        <v>46091.0</v>
      </c>
      <c r="P329" s="67" t="s">
        <v>724</v>
      </c>
      <c r="Q329" s="68">
        <v>200000.0</v>
      </c>
      <c r="R329" s="76">
        <v>77.0</v>
      </c>
      <c r="S329" s="77">
        <v>1.54E7</v>
      </c>
      <c r="T329" s="77">
        <v>1232000.0</v>
      </c>
      <c r="U329" s="60">
        <f t="shared" si="2"/>
        <v>16632000</v>
      </c>
      <c r="V329" s="70"/>
      <c r="W329" s="23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</row>
    <row r="330" ht="25.5" customHeight="1">
      <c r="A330" s="55">
        <v>46092.0</v>
      </c>
      <c r="B330" s="56" t="s">
        <v>502</v>
      </c>
      <c r="C330" s="56" t="s">
        <v>48</v>
      </c>
      <c r="D330" s="58" t="s">
        <v>47</v>
      </c>
      <c r="E330" s="58" t="s">
        <v>70</v>
      </c>
      <c r="F330" s="56" t="s">
        <v>71</v>
      </c>
      <c r="G330" s="60">
        <v>3000.0</v>
      </c>
      <c r="H330" s="62">
        <v>18291.0</v>
      </c>
      <c r="I330" s="64">
        <v>5.4873E7</v>
      </c>
      <c r="J330" s="64">
        <v>4389840.0</v>
      </c>
      <c r="K330" s="64">
        <v>5.926284E7</v>
      </c>
      <c r="L330" s="65" t="s">
        <v>536</v>
      </c>
      <c r="M330" s="65" t="str">
        <f>VLOOKUP(L330,'Đơn đặt'!$C$3:$E$275,2,0)</f>
        <v>01-14-TS</v>
      </c>
      <c r="N330" s="65" t="str">
        <f>VLOOKUP(L330,'Đơn đặt'!$C$3:$E$275,3,0)</f>
        <v>11-2026/TS-AVP/ĐĐH</v>
      </c>
      <c r="O330" s="66">
        <v>46092.0</v>
      </c>
      <c r="P330" s="67" t="s">
        <v>726</v>
      </c>
      <c r="Q330" s="68">
        <v>3000.0</v>
      </c>
      <c r="R330" s="68">
        <v>14482.2</v>
      </c>
      <c r="S330" s="68">
        <v>4.34466E7</v>
      </c>
      <c r="T330" s="68">
        <v>3475728.0</v>
      </c>
      <c r="U330" s="60">
        <f t="shared" si="2"/>
        <v>46922328</v>
      </c>
      <c r="V330" s="70"/>
      <c r="W330" s="23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</row>
    <row r="331" ht="25.5" customHeight="1">
      <c r="A331" s="55">
        <v>46092.0</v>
      </c>
      <c r="B331" s="56" t="s">
        <v>502</v>
      </c>
      <c r="C331" s="56" t="s">
        <v>50</v>
      </c>
      <c r="D331" s="58" t="s">
        <v>49</v>
      </c>
      <c r="E331" s="58" t="s">
        <v>70</v>
      </c>
      <c r="F331" s="56" t="s">
        <v>71</v>
      </c>
      <c r="G331" s="60">
        <v>2000.0</v>
      </c>
      <c r="H331" s="62">
        <v>18291.0</v>
      </c>
      <c r="I331" s="64">
        <v>3.6582E7</v>
      </c>
      <c r="J331" s="64">
        <v>2926560.0</v>
      </c>
      <c r="K331" s="64">
        <v>3.950856E7</v>
      </c>
      <c r="L331" s="65" t="s">
        <v>589</v>
      </c>
      <c r="M331" s="65" t="str">
        <f>VLOOKUP(L331,'Đơn đặt'!$C$3:$E$275,2,0)</f>
        <v>01-14-TS</v>
      </c>
      <c r="N331" s="65" t="str">
        <f>VLOOKUP(L331,'Đơn đặt'!$C$3:$E$275,3,0)</f>
        <v>11-2026/TS-AVP/ĐĐH</v>
      </c>
      <c r="O331" s="66">
        <v>46092.0</v>
      </c>
      <c r="P331" s="67" t="s">
        <v>726</v>
      </c>
      <c r="Q331" s="68">
        <v>2000.0</v>
      </c>
      <c r="R331" s="76">
        <v>14482.2</v>
      </c>
      <c r="S331" s="77">
        <v>2.89644E7</v>
      </c>
      <c r="T331" s="77">
        <v>2317152.0</v>
      </c>
      <c r="U331" s="60">
        <f t="shared" si="2"/>
        <v>31281552</v>
      </c>
      <c r="V331" s="70"/>
      <c r="W331" s="23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</row>
    <row r="332" ht="25.5" customHeight="1">
      <c r="A332" s="55">
        <v>46092.0</v>
      </c>
      <c r="B332" s="56" t="s">
        <v>727</v>
      </c>
      <c r="C332" s="56" t="s">
        <v>59</v>
      </c>
      <c r="D332" s="58" t="s">
        <v>105</v>
      </c>
      <c r="E332" s="58" t="s">
        <v>70</v>
      </c>
      <c r="F332" s="56" t="s">
        <v>71</v>
      </c>
      <c r="G332" s="60">
        <v>1510.0</v>
      </c>
      <c r="H332" s="62">
        <v>18291.0</v>
      </c>
      <c r="I332" s="64">
        <v>2.761941E7</v>
      </c>
      <c r="J332" s="64">
        <v>2209553.0</v>
      </c>
      <c r="K332" s="64">
        <v>2.9828963E7</v>
      </c>
      <c r="L332" s="65" t="s">
        <v>548</v>
      </c>
      <c r="M332" s="65" t="str">
        <f>VLOOKUP(L332,'Đơn đặt'!$C$3:$E$275,2,0)</f>
        <v>01-14-TS</v>
      </c>
      <c r="N332" s="65" t="str">
        <f>VLOOKUP(L332,'Đơn đặt'!$C$3:$E$275,3,0)</f>
        <v>12-2026/TS-AVP/ĐĐH</v>
      </c>
      <c r="O332" s="66">
        <v>46092.0</v>
      </c>
      <c r="P332" s="67" t="s">
        <v>729</v>
      </c>
      <c r="Q332" s="68">
        <v>1510.0</v>
      </c>
      <c r="R332" s="76">
        <v>16258.2</v>
      </c>
      <c r="S332" s="68">
        <v>2.4549882E7</v>
      </c>
      <c r="T332" s="77">
        <v>1963991.0</v>
      </c>
      <c r="U332" s="60">
        <f t="shared" si="2"/>
        <v>26513873</v>
      </c>
      <c r="V332" s="70"/>
      <c r="W332" s="23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</row>
    <row r="333" ht="25.5" customHeight="1">
      <c r="A333" s="55">
        <v>46092.0</v>
      </c>
      <c r="B333" s="56" t="s">
        <v>727</v>
      </c>
      <c r="C333" s="56" t="s">
        <v>14</v>
      </c>
      <c r="D333" s="58" t="s">
        <v>13</v>
      </c>
      <c r="E333" s="58" t="s">
        <v>70</v>
      </c>
      <c r="F333" s="56" t="s">
        <v>71</v>
      </c>
      <c r="G333" s="60">
        <v>2000.0</v>
      </c>
      <c r="H333" s="62">
        <v>19404.0</v>
      </c>
      <c r="I333" s="64">
        <v>3.8808E7</v>
      </c>
      <c r="J333" s="64">
        <v>3104640.0</v>
      </c>
      <c r="K333" s="64">
        <v>4.191264E7</v>
      </c>
      <c r="L333" s="65" t="s">
        <v>564</v>
      </c>
      <c r="M333" s="65" t="str">
        <f>VLOOKUP(L333,'Đơn đặt'!$C$3:$E$275,2,0)</f>
        <v>01-14-TS</v>
      </c>
      <c r="N333" s="65" t="str">
        <f>VLOOKUP(L333,'Đơn đặt'!$C$3:$E$275,3,0)</f>
        <v>12-2026/TS-AVP/ĐĐH</v>
      </c>
      <c r="O333" s="66">
        <v>46092.0</v>
      </c>
      <c r="P333" s="67" t="s">
        <v>729</v>
      </c>
      <c r="Q333" s="68">
        <v>2000.0</v>
      </c>
      <c r="R333" s="76">
        <v>17776.8</v>
      </c>
      <c r="S333" s="77">
        <v>3.55536E7</v>
      </c>
      <c r="T333" s="77">
        <v>2844287.0</v>
      </c>
      <c r="U333" s="60">
        <f t="shared" si="2"/>
        <v>38397887</v>
      </c>
      <c r="V333" s="70"/>
      <c r="W333" s="23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</row>
    <row r="334" ht="25.5" customHeight="1">
      <c r="A334" s="55">
        <v>46092.0</v>
      </c>
      <c r="B334" s="56" t="s">
        <v>727</v>
      </c>
      <c r="C334" s="56" t="s">
        <v>275</v>
      </c>
      <c r="D334" s="58" t="s">
        <v>276</v>
      </c>
      <c r="E334" s="58" t="s">
        <v>70</v>
      </c>
      <c r="F334" s="56" t="s">
        <v>71</v>
      </c>
      <c r="G334" s="60">
        <v>10.0</v>
      </c>
      <c r="H334" s="62">
        <v>17325.0</v>
      </c>
      <c r="I334" s="64">
        <v>173250.0</v>
      </c>
      <c r="J334" s="64">
        <v>13860.0</v>
      </c>
      <c r="K334" s="64">
        <v>187110.0</v>
      </c>
      <c r="L334" s="65" t="s">
        <v>710</v>
      </c>
      <c r="M334" s="65" t="str">
        <f>VLOOKUP(L334,'Đơn đặt'!$C$3:$E$275,2,0)</f>
        <v>02-11-TS</v>
      </c>
      <c r="N334" s="65" t="str">
        <f>VLOOKUP(L334,'Đơn đặt'!$C$3:$E$275,3,0)</f>
        <v>28-2026/TS-AVP/ĐĐH</v>
      </c>
      <c r="O334" s="66">
        <v>46092.0</v>
      </c>
      <c r="P334" s="67" t="s">
        <v>729</v>
      </c>
      <c r="Q334" s="68">
        <v>10.0</v>
      </c>
      <c r="R334" s="76">
        <v>17241.0</v>
      </c>
      <c r="S334" s="77">
        <v>172410.0</v>
      </c>
      <c r="T334" s="77">
        <v>13793.0</v>
      </c>
      <c r="U334" s="60">
        <f t="shared" si="2"/>
        <v>186203</v>
      </c>
      <c r="V334" s="70"/>
      <c r="W334" s="23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</row>
    <row r="335" ht="25.5" customHeight="1">
      <c r="A335" s="55">
        <v>46093.0</v>
      </c>
      <c r="B335" s="56" t="s">
        <v>731</v>
      </c>
      <c r="C335" s="56" t="s">
        <v>48</v>
      </c>
      <c r="D335" s="58" t="s">
        <v>47</v>
      </c>
      <c r="E335" s="58" t="s">
        <v>70</v>
      </c>
      <c r="F335" s="56" t="s">
        <v>71</v>
      </c>
      <c r="G335" s="60">
        <v>3000.0</v>
      </c>
      <c r="H335" s="62">
        <v>18291.0</v>
      </c>
      <c r="I335" s="64">
        <v>5.4873E7</v>
      </c>
      <c r="J335" s="64">
        <v>4389840.0</v>
      </c>
      <c r="K335" s="64">
        <v>5.926284E7</v>
      </c>
      <c r="L335" s="65" t="s">
        <v>536</v>
      </c>
      <c r="M335" s="65" t="str">
        <f>VLOOKUP(L335,'Đơn đặt'!$C$3:$E$275,2,0)</f>
        <v>01-14-TS</v>
      </c>
      <c r="N335" s="65" t="str">
        <f>VLOOKUP(L335,'Đơn đặt'!$C$3:$E$275,3,0)</f>
        <v>11-2026/TS-AVP/ĐĐH</v>
      </c>
      <c r="O335" s="66">
        <v>46093.0</v>
      </c>
      <c r="P335" s="67" t="s">
        <v>732</v>
      </c>
      <c r="Q335" s="68">
        <v>3000.0</v>
      </c>
      <c r="R335" s="68">
        <v>14482.2</v>
      </c>
      <c r="S335" s="68">
        <v>4.34466E7</v>
      </c>
      <c r="T335" s="68">
        <v>3475728.0</v>
      </c>
      <c r="U335" s="60">
        <f t="shared" si="2"/>
        <v>46922328</v>
      </c>
      <c r="V335" s="70"/>
      <c r="W335" s="23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</row>
    <row r="336" ht="25.5" customHeight="1">
      <c r="A336" s="55">
        <v>46093.0</v>
      </c>
      <c r="B336" s="56" t="s">
        <v>731</v>
      </c>
      <c r="C336" s="56" t="s">
        <v>50</v>
      </c>
      <c r="D336" s="58" t="s">
        <v>49</v>
      </c>
      <c r="E336" s="58" t="s">
        <v>70</v>
      </c>
      <c r="F336" s="56" t="s">
        <v>71</v>
      </c>
      <c r="G336" s="60">
        <v>1000.0</v>
      </c>
      <c r="H336" s="62">
        <v>18291.0</v>
      </c>
      <c r="I336" s="64">
        <v>1.8291E7</v>
      </c>
      <c r="J336" s="64">
        <v>1463280.0</v>
      </c>
      <c r="K336" s="64">
        <v>1.975428E7</v>
      </c>
      <c r="L336" s="65" t="s">
        <v>589</v>
      </c>
      <c r="M336" s="65" t="str">
        <f>VLOOKUP(L336,'Đơn đặt'!$C$3:$E$275,2,0)</f>
        <v>01-14-TS</v>
      </c>
      <c r="N336" s="65" t="str">
        <f>VLOOKUP(L336,'Đơn đặt'!$C$3:$E$275,3,0)</f>
        <v>11-2026/TS-AVP/ĐĐH</v>
      </c>
      <c r="O336" s="66">
        <v>46093.0</v>
      </c>
      <c r="P336" s="67" t="s">
        <v>732</v>
      </c>
      <c r="Q336" s="68">
        <v>1000.0</v>
      </c>
      <c r="R336" s="76">
        <v>14482.2</v>
      </c>
      <c r="S336" s="77">
        <v>1.44822E7</v>
      </c>
      <c r="T336" s="77">
        <v>1158576.0</v>
      </c>
      <c r="U336" s="60">
        <f t="shared" si="2"/>
        <v>15640776</v>
      </c>
      <c r="V336" s="70"/>
      <c r="W336" s="23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</row>
    <row r="337" ht="25.5" customHeight="1">
      <c r="A337" s="55">
        <v>46093.0</v>
      </c>
      <c r="B337" s="56" t="s">
        <v>509</v>
      </c>
      <c r="C337" s="56" t="s">
        <v>59</v>
      </c>
      <c r="D337" s="58" t="s">
        <v>105</v>
      </c>
      <c r="E337" s="58" t="s">
        <v>70</v>
      </c>
      <c r="F337" s="56" t="s">
        <v>71</v>
      </c>
      <c r="G337" s="60">
        <v>1400.0</v>
      </c>
      <c r="H337" s="62">
        <v>18291.0</v>
      </c>
      <c r="I337" s="64">
        <v>2.56074E7</v>
      </c>
      <c r="J337" s="64">
        <v>2048592.0</v>
      </c>
      <c r="K337" s="64">
        <v>2.7655992E7</v>
      </c>
      <c r="L337" s="65" t="s">
        <v>548</v>
      </c>
      <c r="M337" s="65" t="str">
        <f>VLOOKUP(L337,'Đơn đặt'!$C$3:$E$275,2,0)</f>
        <v>01-14-TS</v>
      </c>
      <c r="N337" s="65" t="str">
        <f>VLOOKUP(L337,'Đơn đặt'!$C$3:$E$275,3,0)</f>
        <v>12-2026/TS-AVP/ĐĐH</v>
      </c>
      <c r="O337" s="66">
        <v>46093.0</v>
      </c>
      <c r="P337" s="67" t="s">
        <v>733</v>
      </c>
      <c r="Q337" s="68">
        <v>1400.0</v>
      </c>
      <c r="R337" s="76">
        <v>16258.2</v>
      </c>
      <c r="S337" s="68">
        <v>2.276148E7</v>
      </c>
      <c r="T337" s="77">
        <v>1820918.0</v>
      </c>
      <c r="U337" s="60">
        <f t="shared" si="2"/>
        <v>24582398</v>
      </c>
      <c r="V337" s="70"/>
      <c r="W337" s="23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</row>
    <row r="338" ht="25.5" customHeight="1">
      <c r="A338" s="55">
        <v>46093.0</v>
      </c>
      <c r="B338" s="56" t="s">
        <v>509</v>
      </c>
      <c r="C338" s="56" t="s">
        <v>119</v>
      </c>
      <c r="D338" s="58" t="s">
        <v>120</v>
      </c>
      <c r="E338" s="58" t="s">
        <v>70</v>
      </c>
      <c r="F338" s="56" t="s">
        <v>71</v>
      </c>
      <c r="G338" s="60">
        <v>800.0</v>
      </c>
      <c r="H338" s="62">
        <v>19310.0</v>
      </c>
      <c r="I338" s="64">
        <v>1.5448E7</v>
      </c>
      <c r="J338" s="64">
        <v>1235840.0</v>
      </c>
      <c r="K338" s="64">
        <v>1.668384E7</v>
      </c>
      <c r="L338" s="65" t="s">
        <v>228</v>
      </c>
      <c r="M338" s="65" t="str">
        <f>VLOOKUP(L338,'Đơn đặt'!$C$3:$E$275,2,0)</f>
        <v>01-02-TS</v>
      </c>
      <c r="N338" s="65" t="str">
        <f>VLOOKUP(L338,'Đơn đặt'!$C$3:$E$275,3,0)</f>
        <v>04-2026/TS-AVP/ĐĐH</v>
      </c>
      <c r="O338" s="66">
        <v>46093.0</v>
      </c>
      <c r="P338" s="67" t="s">
        <v>733</v>
      </c>
      <c r="Q338" s="68">
        <v>800.0</v>
      </c>
      <c r="R338" s="76">
        <v>17438.0</v>
      </c>
      <c r="S338" s="77">
        <v>1.39504E7</v>
      </c>
      <c r="T338" s="77">
        <v>1116032.0</v>
      </c>
      <c r="U338" s="60">
        <f t="shared" si="2"/>
        <v>15066432</v>
      </c>
      <c r="V338" s="70"/>
      <c r="W338" s="23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</row>
    <row r="339" ht="25.5" customHeight="1">
      <c r="A339" s="55">
        <v>46093.0</v>
      </c>
      <c r="B339" s="56" t="s">
        <v>509</v>
      </c>
      <c r="C339" s="56" t="s">
        <v>14</v>
      </c>
      <c r="D339" s="58" t="s">
        <v>13</v>
      </c>
      <c r="E339" s="58" t="s">
        <v>70</v>
      </c>
      <c r="F339" s="56" t="s">
        <v>71</v>
      </c>
      <c r="G339" s="60">
        <v>1500.0</v>
      </c>
      <c r="H339" s="62">
        <v>19404.0</v>
      </c>
      <c r="I339" s="64">
        <v>2.9106E7</v>
      </c>
      <c r="J339" s="64">
        <v>2328480.0</v>
      </c>
      <c r="K339" s="64">
        <v>3.143448E7</v>
      </c>
      <c r="L339" s="65" t="s">
        <v>564</v>
      </c>
      <c r="M339" s="65" t="str">
        <f>VLOOKUP(L339,'Đơn đặt'!$C$3:$E$275,2,0)</f>
        <v>01-14-TS</v>
      </c>
      <c r="N339" s="65" t="str">
        <f>VLOOKUP(L339,'Đơn đặt'!$C$3:$E$275,3,0)</f>
        <v>12-2026/TS-AVP/ĐĐH</v>
      </c>
      <c r="O339" s="66">
        <v>46093.0</v>
      </c>
      <c r="P339" s="67" t="s">
        <v>733</v>
      </c>
      <c r="Q339" s="68">
        <v>1500.0</v>
      </c>
      <c r="R339" s="76">
        <v>17776.8</v>
      </c>
      <c r="S339" s="77">
        <v>2.66652E7</v>
      </c>
      <c r="T339" s="77">
        <v>2133216.0</v>
      </c>
      <c r="U339" s="60">
        <f t="shared" si="2"/>
        <v>28798416</v>
      </c>
      <c r="V339" s="70"/>
      <c r="W339" s="23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</row>
    <row r="340" ht="25.5" customHeight="1">
      <c r="A340" s="55">
        <v>46094.0</v>
      </c>
      <c r="B340" s="56" t="s">
        <v>539</v>
      </c>
      <c r="C340" s="56" t="s">
        <v>77</v>
      </c>
      <c r="D340" s="58" t="s">
        <v>78</v>
      </c>
      <c r="E340" s="58" t="s">
        <v>70</v>
      </c>
      <c r="F340" s="56" t="s">
        <v>71</v>
      </c>
      <c r="G340" s="60">
        <v>2000.0</v>
      </c>
      <c r="H340" s="62">
        <v>21777.0</v>
      </c>
      <c r="I340" s="64">
        <v>4.3554E7</v>
      </c>
      <c r="J340" s="64">
        <v>3484320.0</v>
      </c>
      <c r="K340" s="64">
        <v>4.703832E7</v>
      </c>
      <c r="L340" s="65" t="s">
        <v>594</v>
      </c>
      <c r="M340" s="65" t="str">
        <f>VLOOKUP(L340,'Đơn đặt'!$C$3:$E$275,2,0)</f>
        <v>02-12-TS</v>
      </c>
      <c r="N340" s="65" t="str">
        <f>VLOOKUP(L340,'Đơn đặt'!$C$3:$E$275,3,0)</f>
        <v>29-2026/TS-AVP/ĐĐH</v>
      </c>
      <c r="O340" s="66">
        <v>46094.0</v>
      </c>
      <c r="P340" s="67" t="s">
        <v>736</v>
      </c>
      <c r="Q340" s="68">
        <v>2000.0</v>
      </c>
      <c r="R340" s="76">
        <v>19723.4</v>
      </c>
      <c r="S340" s="77">
        <v>3.94468E7</v>
      </c>
      <c r="T340" s="77">
        <v>3155744.0</v>
      </c>
      <c r="U340" s="60">
        <f t="shared" si="2"/>
        <v>42602544</v>
      </c>
      <c r="V340" s="70"/>
      <c r="W340" s="23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</row>
    <row r="341" ht="25.5" customHeight="1">
      <c r="A341" s="55">
        <v>46094.0</v>
      </c>
      <c r="B341" s="56" t="s">
        <v>540</v>
      </c>
      <c r="C341" s="56" t="s">
        <v>119</v>
      </c>
      <c r="D341" s="58" t="s">
        <v>120</v>
      </c>
      <c r="E341" s="58" t="s">
        <v>70</v>
      </c>
      <c r="F341" s="56" t="s">
        <v>71</v>
      </c>
      <c r="G341" s="60">
        <v>2000.0</v>
      </c>
      <c r="H341" s="62">
        <v>19310.0</v>
      </c>
      <c r="I341" s="64">
        <v>3.862E7</v>
      </c>
      <c r="J341" s="64">
        <v>3089600.0</v>
      </c>
      <c r="K341" s="64">
        <v>4.17096E7</v>
      </c>
      <c r="L341" s="65" t="s">
        <v>228</v>
      </c>
      <c r="M341" s="65" t="str">
        <f>VLOOKUP(L341,'Đơn đặt'!$C$3:$E$275,2,0)</f>
        <v>01-02-TS</v>
      </c>
      <c r="N341" s="65" t="str">
        <f>VLOOKUP(L341,'Đơn đặt'!$C$3:$E$275,3,0)</f>
        <v>04-2026/TS-AVP/ĐĐH</v>
      </c>
      <c r="O341" s="66">
        <v>46094.0</v>
      </c>
      <c r="P341" s="67" t="s">
        <v>739</v>
      </c>
      <c r="Q341" s="68">
        <v>2000.0</v>
      </c>
      <c r="R341" s="76">
        <v>17438.0</v>
      </c>
      <c r="S341" s="77">
        <v>3.4876E7</v>
      </c>
      <c r="T341" s="77">
        <v>2790080.0</v>
      </c>
      <c r="U341" s="60">
        <f t="shared" si="2"/>
        <v>37666080</v>
      </c>
      <c r="V341" s="70"/>
      <c r="W341" s="23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</row>
    <row r="342" ht="25.5" customHeight="1">
      <c r="A342" s="55">
        <v>46094.0</v>
      </c>
      <c r="B342" s="56" t="s">
        <v>740</v>
      </c>
      <c r="C342" s="56" t="s">
        <v>48</v>
      </c>
      <c r="D342" s="58" t="s">
        <v>47</v>
      </c>
      <c r="E342" s="58" t="s">
        <v>70</v>
      </c>
      <c r="F342" s="56" t="s">
        <v>71</v>
      </c>
      <c r="G342" s="60">
        <v>6200.0</v>
      </c>
      <c r="H342" s="62">
        <v>18291.0</v>
      </c>
      <c r="I342" s="64">
        <v>1.134042E8</v>
      </c>
      <c r="J342" s="64">
        <v>9072336.0</v>
      </c>
      <c r="K342" s="64">
        <v>1.22476536E8</v>
      </c>
      <c r="L342" s="65" t="s">
        <v>536</v>
      </c>
      <c r="M342" s="65" t="str">
        <f>VLOOKUP(L342,'Đơn đặt'!$C$3:$E$275,2,0)</f>
        <v>01-14-TS</v>
      </c>
      <c r="N342" s="65" t="str">
        <f>VLOOKUP(L342,'Đơn đặt'!$C$3:$E$275,3,0)</f>
        <v>11-2026/TS-AVP/ĐĐH</v>
      </c>
      <c r="O342" s="66">
        <v>46094.0</v>
      </c>
      <c r="P342" s="67" t="s">
        <v>741</v>
      </c>
      <c r="Q342" s="68">
        <v>6200.0</v>
      </c>
      <c r="R342" s="68">
        <v>14482.2</v>
      </c>
      <c r="S342" s="68">
        <v>8.978964E7</v>
      </c>
      <c r="T342" s="68">
        <v>7183171.0</v>
      </c>
      <c r="U342" s="60">
        <f t="shared" si="2"/>
        <v>96972811</v>
      </c>
      <c r="V342" s="70"/>
      <c r="W342" s="23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</row>
    <row r="343" ht="25.5" customHeight="1">
      <c r="A343" s="55">
        <v>46094.0</v>
      </c>
      <c r="B343" s="56" t="s">
        <v>740</v>
      </c>
      <c r="C343" s="56" t="s">
        <v>50</v>
      </c>
      <c r="D343" s="58" t="s">
        <v>49</v>
      </c>
      <c r="E343" s="58" t="s">
        <v>70</v>
      </c>
      <c r="F343" s="56" t="s">
        <v>71</v>
      </c>
      <c r="G343" s="60">
        <v>2000.0</v>
      </c>
      <c r="H343" s="62">
        <v>18291.0</v>
      </c>
      <c r="I343" s="64">
        <v>3.6582E7</v>
      </c>
      <c r="J343" s="64">
        <v>2926560.0</v>
      </c>
      <c r="K343" s="64">
        <v>3.950856E7</v>
      </c>
      <c r="L343" s="65" t="s">
        <v>589</v>
      </c>
      <c r="M343" s="65" t="str">
        <f>VLOOKUP(L343,'Đơn đặt'!$C$3:$E$275,2,0)</f>
        <v>01-14-TS</v>
      </c>
      <c r="N343" s="65" t="str">
        <f>VLOOKUP(L343,'Đơn đặt'!$C$3:$E$275,3,0)</f>
        <v>11-2026/TS-AVP/ĐĐH</v>
      </c>
      <c r="O343" s="66">
        <v>46094.0</v>
      </c>
      <c r="P343" s="67" t="s">
        <v>741</v>
      </c>
      <c r="Q343" s="68">
        <v>2000.0</v>
      </c>
      <c r="R343" s="76">
        <v>14482.2</v>
      </c>
      <c r="S343" s="77">
        <v>2.89644E7</v>
      </c>
      <c r="T343" s="77">
        <v>2317152.0</v>
      </c>
      <c r="U343" s="60">
        <f t="shared" si="2"/>
        <v>31281552</v>
      </c>
      <c r="V343" s="70"/>
      <c r="W343" s="23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</row>
    <row r="344" ht="25.5" customHeight="1">
      <c r="A344" s="55">
        <v>46097.0</v>
      </c>
      <c r="B344" s="56" t="s">
        <v>543</v>
      </c>
      <c r="C344" s="56" t="s">
        <v>59</v>
      </c>
      <c r="D344" s="58" t="s">
        <v>105</v>
      </c>
      <c r="E344" s="58" t="s">
        <v>70</v>
      </c>
      <c r="F344" s="56" t="s">
        <v>71</v>
      </c>
      <c r="G344" s="60">
        <f>2700-G345</f>
        <v>1700</v>
      </c>
      <c r="H344" s="62">
        <v>18291.0</v>
      </c>
      <c r="I344" s="64">
        <f t="shared" ref="I344:I345" si="65">ROUND(G344*H344,0)</f>
        <v>31094700</v>
      </c>
      <c r="J344" s="64">
        <f t="shared" ref="J344:J345" si="66">ROUND(I344*0.08,0)</f>
        <v>2487576</v>
      </c>
      <c r="K344" s="64">
        <f t="shared" ref="K344:K345" si="67">I344+J344</f>
        <v>33582276</v>
      </c>
      <c r="L344" s="84" t="s">
        <v>548</v>
      </c>
      <c r="M344" s="65" t="str">
        <f>VLOOKUP(L344,'Đơn đặt'!$C$3:$E$275,2,0)</f>
        <v>01-14-TS</v>
      </c>
      <c r="N344" s="65" t="str">
        <f>VLOOKUP(L344,'Đơn đặt'!$C$3:$E$275,3,0)</f>
        <v>12-2026/TS-AVP/ĐĐH</v>
      </c>
      <c r="O344" s="66">
        <v>46097.0</v>
      </c>
      <c r="P344" s="67" t="s">
        <v>742</v>
      </c>
      <c r="Q344" s="68">
        <v>1700.0</v>
      </c>
      <c r="R344" s="76">
        <v>16258.2</v>
      </c>
      <c r="S344" s="60">
        <f t="shared" ref="S344:S345" si="68">ROUND(Q344*R344,0)</f>
        <v>27638940</v>
      </c>
      <c r="T344" s="64">
        <f t="shared" ref="T344:T345" si="69">ROUND(S344*0.08,0)</f>
        <v>2211115</v>
      </c>
      <c r="U344" s="60">
        <f t="shared" si="2"/>
        <v>29850055</v>
      </c>
      <c r="V344" s="70"/>
      <c r="W344" s="23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</row>
    <row r="345" ht="25.5" customHeight="1">
      <c r="A345" s="55">
        <v>46097.0</v>
      </c>
      <c r="B345" s="56" t="s">
        <v>543</v>
      </c>
      <c r="C345" s="56" t="s">
        <v>59</v>
      </c>
      <c r="D345" s="58" t="s">
        <v>105</v>
      </c>
      <c r="E345" s="58" t="s">
        <v>70</v>
      </c>
      <c r="F345" s="56" t="s">
        <v>71</v>
      </c>
      <c r="G345" s="60">
        <v>1000.0</v>
      </c>
      <c r="H345" s="62">
        <v>18291.0</v>
      </c>
      <c r="I345" s="64">
        <f t="shared" si="65"/>
        <v>18291000</v>
      </c>
      <c r="J345" s="64">
        <f t="shared" si="66"/>
        <v>1463280</v>
      </c>
      <c r="K345" s="64">
        <f t="shared" si="67"/>
        <v>19754280</v>
      </c>
      <c r="L345" s="84" t="s">
        <v>743</v>
      </c>
      <c r="M345" s="65" t="str">
        <f>VLOOKUP(L345,'Đơn đặt'!$C$3:$E$275,2,0)</f>
        <v>02-03-TS</v>
      </c>
      <c r="N345" s="65" t="str">
        <f>VLOOKUP(L345,'Đơn đặt'!$C$3:$E$275,3,0)</f>
        <v>21-2026/TS-AVP/ĐĐH</v>
      </c>
      <c r="O345" s="66">
        <v>46097.0</v>
      </c>
      <c r="P345" s="67" t="s">
        <v>742</v>
      </c>
      <c r="Q345" s="68">
        <v>1000.0</v>
      </c>
      <c r="R345" s="76">
        <v>16258.2</v>
      </c>
      <c r="S345" s="60">
        <f t="shared" si="68"/>
        <v>16258200</v>
      </c>
      <c r="T345" s="64">
        <f t="shared" si="69"/>
        <v>1300656</v>
      </c>
      <c r="U345" s="60">
        <f t="shared" si="2"/>
        <v>17558856</v>
      </c>
      <c r="V345" s="70"/>
      <c r="W345" s="23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</row>
    <row r="346" ht="25.5" customHeight="1">
      <c r="A346" s="55">
        <v>46097.0</v>
      </c>
      <c r="B346" s="56" t="s">
        <v>543</v>
      </c>
      <c r="C346" s="56" t="s">
        <v>38</v>
      </c>
      <c r="D346" s="58" t="s">
        <v>36</v>
      </c>
      <c r="E346" s="58" t="s">
        <v>70</v>
      </c>
      <c r="F346" s="56" t="s">
        <v>71</v>
      </c>
      <c r="G346" s="60">
        <v>600.0</v>
      </c>
      <c r="H346" s="62">
        <v>18953.0</v>
      </c>
      <c r="I346" s="64">
        <v>1.13718E7</v>
      </c>
      <c r="J346" s="64">
        <v>909744.0</v>
      </c>
      <c r="K346" s="64">
        <v>1.2281544E7</v>
      </c>
      <c r="L346" s="65" t="s">
        <v>656</v>
      </c>
      <c r="M346" s="65" t="str">
        <f>VLOOKUP(L346,'Đơn đặt'!$C$3:$E$275,2,0)</f>
        <v>02-03-TS</v>
      </c>
      <c r="N346" s="65" t="str">
        <f>VLOOKUP(L346,'Đơn đặt'!$C$3:$E$275,3,0)</f>
        <v>21-2026/TS-AVP/ĐĐH</v>
      </c>
      <c r="O346" s="66">
        <v>46097.0</v>
      </c>
      <c r="P346" s="67" t="s">
        <v>742</v>
      </c>
      <c r="Q346" s="68">
        <v>600.0</v>
      </c>
      <c r="R346" s="76">
        <v>18246.6</v>
      </c>
      <c r="S346" s="77">
        <v>1.094796E7</v>
      </c>
      <c r="T346" s="77">
        <v>875837.0</v>
      </c>
      <c r="U346" s="60">
        <f t="shared" si="2"/>
        <v>11823797</v>
      </c>
      <c r="V346" s="70"/>
      <c r="W346" s="23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</row>
    <row r="347" ht="25.5" customHeight="1">
      <c r="A347" s="55">
        <v>46097.0</v>
      </c>
      <c r="B347" s="56" t="s">
        <v>550</v>
      </c>
      <c r="C347" s="56" t="s">
        <v>14</v>
      </c>
      <c r="D347" s="58" t="s">
        <v>13</v>
      </c>
      <c r="E347" s="58" t="s">
        <v>70</v>
      </c>
      <c r="F347" s="56" t="s">
        <v>71</v>
      </c>
      <c r="G347" s="60">
        <v>1000.0</v>
      </c>
      <c r="H347" s="62">
        <v>19404.0</v>
      </c>
      <c r="I347" s="64">
        <v>1.9404E7</v>
      </c>
      <c r="J347" s="64">
        <v>1552320.0</v>
      </c>
      <c r="K347" s="64">
        <v>2.095632E7</v>
      </c>
      <c r="L347" s="65" t="s">
        <v>564</v>
      </c>
      <c r="M347" s="65" t="str">
        <f>VLOOKUP(L347,'Đơn đặt'!$C$3:$E$275,2,0)</f>
        <v>01-14-TS</v>
      </c>
      <c r="N347" s="65" t="str">
        <f>VLOOKUP(L347,'Đơn đặt'!$C$3:$E$275,3,0)</f>
        <v>12-2026/TS-AVP/ĐĐH</v>
      </c>
      <c r="O347" s="66">
        <v>46097.0</v>
      </c>
      <c r="P347" s="67" t="s">
        <v>744</v>
      </c>
      <c r="Q347" s="68">
        <v>1000.0</v>
      </c>
      <c r="R347" s="76">
        <v>17776.8</v>
      </c>
      <c r="S347" s="77">
        <v>1.77768E7</v>
      </c>
      <c r="T347" s="77">
        <v>1422144.0</v>
      </c>
      <c r="U347" s="60">
        <f t="shared" si="2"/>
        <v>19198944</v>
      </c>
      <c r="V347" s="70"/>
      <c r="W347" s="23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</row>
    <row r="348" ht="25.5" customHeight="1">
      <c r="A348" s="55">
        <v>46097.0</v>
      </c>
      <c r="B348" s="56" t="s">
        <v>550</v>
      </c>
      <c r="C348" s="56" t="s">
        <v>38</v>
      </c>
      <c r="D348" s="58" t="s">
        <v>36</v>
      </c>
      <c r="E348" s="58" t="s">
        <v>70</v>
      </c>
      <c r="F348" s="56" t="s">
        <v>71</v>
      </c>
      <c r="G348" s="60">
        <v>400.0</v>
      </c>
      <c r="H348" s="62">
        <v>18953.0</v>
      </c>
      <c r="I348" s="64">
        <v>7581200.0</v>
      </c>
      <c r="J348" s="64">
        <v>606496.0</v>
      </c>
      <c r="K348" s="64">
        <v>8187696.0</v>
      </c>
      <c r="L348" s="65" t="s">
        <v>656</v>
      </c>
      <c r="M348" s="65" t="str">
        <f>VLOOKUP(L348,'Đơn đặt'!$C$3:$E$275,2,0)</f>
        <v>02-03-TS</v>
      </c>
      <c r="N348" s="65" t="str">
        <f>VLOOKUP(L348,'Đơn đặt'!$C$3:$E$275,3,0)</f>
        <v>21-2026/TS-AVP/ĐĐH</v>
      </c>
      <c r="O348" s="66">
        <v>46097.0</v>
      </c>
      <c r="P348" s="67" t="s">
        <v>744</v>
      </c>
      <c r="Q348" s="68">
        <v>400.0</v>
      </c>
      <c r="R348" s="76">
        <v>18246.6</v>
      </c>
      <c r="S348" s="77">
        <v>7298640.0</v>
      </c>
      <c r="T348" s="77">
        <v>583891.0</v>
      </c>
      <c r="U348" s="60">
        <f t="shared" si="2"/>
        <v>7882531</v>
      </c>
      <c r="V348" s="70"/>
      <c r="W348" s="23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</row>
    <row r="349" ht="25.5" customHeight="1">
      <c r="A349" s="78">
        <v>46097.0</v>
      </c>
      <c r="B349" s="79" t="s">
        <v>745</v>
      </c>
      <c r="C349" s="56" t="s">
        <v>145</v>
      </c>
      <c r="D349" s="80" t="s">
        <v>146</v>
      </c>
      <c r="E349" s="58" t="s">
        <v>248</v>
      </c>
      <c r="F349" s="56" t="s">
        <v>95</v>
      </c>
      <c r="G349" s="81">
        <v>180.0</v>
      </c>
      <c r="H349" s="62">
        <v>493671.0</v>
      </c>
      <c r="I349" s="64">
        <v>8.886078E7</v>
      </c>
      <c r="J349" s="64">
        <v>7108862.0</v>
      </c>
      <c r="K349" s="64">
        <v>9.5969642E7</v>
      </c>
      <c r="L349" s="91" t="s">
        <v>746</v>
      </c>
      <c r="M349" s="65">
        <f>VLOOKUP(L349,'Đơn đặt'!$C$3:$E$275,2,0)</f>
        <v>239</v>
      </c>
      <c r="N349" s="65" t="str">
        <f>VLOOKUP(L349,'Đơn đặt'!$C$3:$E$275,3,0)</f>
        <v>Hàng SX</v>
      </c>
      <c r="O349" s="78" t="s">
        <v>98</v>
      </c>
      <c r="P349" s="92"/>
      <c r="Q349" s="81">
        <f t="shared" ref="Q349:Q351" si="70">G349</f>
        <v>180</v>
      </c>
      <c r="R349" s="92"/>
      <c r="S349" s="83">
        <f t="shared" ref="S349:S351" si="71">ROUND(Q349*R349,0)</f>
        <v>0</v>
      </c>
      <c r="T349" s="83">
        <f t="shared" ref="T349:T351" si="72">ROUND(S349*0.08,0)</f>
        <v>0</v>
      </c>
      <c r="U349" s="81">
        <f t="shared" si="2"/>
        <v>0</v>
      </c>
      <c r="V349" s="70"/>
      <c r="W349" s="23"/>
      <c r="X349" s="69"/>
      <c r="Y349" s="69"/>
      <c r="Z349" s="69"/>
      <c r="AA349" s="69"/>
      <c r="AB349" s="69"/>
      <c r="AC349" s="69"/>
      <c r="AD349" s="69"/>
      <c r="AE349" s="69"/>
      <c r="AF349" s="69"/>
      <c r="AG349" s="69"/>
      <c r="AH349" s="69"/>
      <c r="AI349" s="69"/>
      <c r="AJ349" s="69"/>
      <c r="AK349" s="69"/>
      <c r="AL349" s="69"/>
      <c r="AM349" s="69"/>
      <c r="AN349" s="69"/>
      <c r="AO349" s="69"/>
    </row>
    <row r="350" ht="25.5" customHeight="1">
      <c r="A350" s="78">
        <v>46097.0</v>
      </c>
      <c r="B350" s="79" t="s">
        <v>747</v>
      </c>
      <c r="C350" s="56" t="s">
        <v>148</v>
      </c>
      <c r="D350" s="80" t="s">
        <v>149</v>
      </c>
      <c r="E350" s="58" t="s">
        <v>248</v>
      </c>
      <c r="F350" s="56" t="s">
        <v>95</v>
      </c>
      <c r="G350" s="81">
        <v>540.0</v>
      </c>
      <c r="H350" s="62">
        <v>366012.0</v>
      </c>
      <c r="I350" s="64">
        <v>1.9764648E8</v>
      </c>
      <c r="J350" s="64">
        <v>1.5811718E7</v>
      </c>
      <c r="K350" s="64">
        <v>2.13458198E8</v>
      </c>
      <c r="L350" s="91" t="s">
        <v>533</v>
      </c>
      <c r="M350" s="65">
        <f>VLOOKUP(L350,'Đơn đặt'!$C$3:$E$275,2,0)</f>
        <v>128</v>
      </c>
      <c r="N350" s="65" t="str">
        <f>VLOOKUP(L350,'Đơn đặt'!$C$3:$E$275,3,0)</f>
        <v>Hàng SX</v>
      </c>
      <c r="O350" s="78" t="s">
        <v>98</v>
      </c>
      <c r="P350" s="92"/>
      <c r="Q350" s="81">
        <f t="shared" si="70"/>
        <v>540</v>
      </c>
      <c r="R350" s="92"/>
      <c r="S350" s="83">
        <f t="shared" si="71"/>
        <v>0</v>
      </c>
      <c r="T350" s="83">
        <f t="shared" si="72"/>
        <v>0</v>
      </c>
      <c r="U350" s="81">
        <f t="shared" si="2"/>
        <v>0</v>
      </c>
      <c r="V350" s="70"/>
      <c r="W350" s="23"/>
      <c r="X350" s="69"/>
      <c r="Y350" s="69"/>
      <c r="Z350" s="69"/>
      <c r="AA350" s="69"/>
      <c r="AB350" s="69"/>
      <c r="AC350" s="69"/>
      <c r="AD350" s="69"/>
      <c r="AE350" s="69"/>
      <c r="AF350" s="69"/>
      <c r="AG350" s="69"/>
      <c r="AH350" s="69"/>
      <c r="AI350" s="69"/>
      <c r="AJ350" s="69"/>
      <c r="AK350" s="69"/>
      <c r="AL350" s="69"/>
      <c r="AM350" s="69"/>
      <c r="AN350" s="69"/>
      <c r="AO350" s="69"/>
    </row>
    <row r="351" ht="25.5" customHeight="1">
      <c r="A351" s="78">
        <v>46097.0</v>
      </c>
      <c r="B351" s="79" t="s">
        <v>748</v>
      </c>
      <c r="C351" s="56" t="s">
        <v>145</v>
      </c>
      <c r="D351" s="80" t="s">
        <v>146</v>
      </c>
      <c r="E351" s="58" t="s">
        <v>248</v>
      </c>
      <c r="F351" s="56" t="s">
        <v>95</v>
      </c>
      <c r="G351" s="81">
        <v>120.0</v>
      </c>
      <c r="H351" s="62">
        <v>493671.0</v>
      </c>
      <c r="I351" s="64">
        <v>5.924052E7</v>
      </c>
      <c r="J351" s="64">
        <v>4739242.0</v>
      </c>
      <c r="K351" s="64">
        <v>6.3979762E7</v>
      </c>
      <c r="L351" s="91" t="s">
        <v>749</v>
      </c>
      <c r="M351" s="65">
        <f>VLOOKUP(L351,'Đơn đặt'!$C$3:$E$275,2,0)</f>
        <v>184</v>
      </c>
      <c r="N351" s="65" t="str">
        <f>VLOOKUP(L351,'Đơn đặt'!$C$3:$E$275,3,0)</f>
        <v>Hàng SX</v>
      </c>
      <c r="O351" s="78" t="s">
        <v>98</v>
      </c>
      <c r="P351" s="92"/>
      <c r="Q351" s="81">
        <f t="shared" si="70"/>
        <v>120</v>
      </c>
      <c r="R351" s="92"/>
      <c r="S351" s="83">
        <f t="shared" si="71"/>
        <v>0</v>
      </c>
      <c r="T351" s="83">
        <f t="shared" si="72"/>
        <v>0</v>
      </c>
      <c r="U351" s="81">
        <f t="shared" si="2"/>
        <v>0</v>
      </c>
      <c r="V351" s="70"/>
      <c r="W351" s="23"/>
      <c r="X351" s="69"/>
      <c r="Y351" s="69"/>
      <c r="Z351" s="69"/>
      <c r="AA351" s="69"/>
      <c r="AB351" s="69"/>
      <c r="AC351" s="69"/>
      <c r="AD351" s="69"/>
      <c r="AE351" s="69"/>
      <c r="AF351" s="69"/>
      <c r="AG351" s="69"/>
      <c r="AH351" s="69"/>
      <c r="AI351" s="69"/>
      <c r="AJ351" s="69"/>
      <c r="AK351" s="69"/>
      <c r="AL351" s="69"/>
      <c r="AM351" s="69"/>
      <c r="AN351" s="69"/>
      <c r="AO351" s="69"/>
    </row>
    <row r="352" ht="25.5" customHeight="1">
      <c r="A352" s="55">
        <v>46097.0</v>
      </c>
      <c r="B352" s="56" t="s">
        <v>750</v>
      </c>
      <c r="C352" s="56" t="s">
        <v>206</v>
      </c>
      <c r="D352" s="58" t="s">
        <v>207</v>
      </c>
      <c r="E352" s="58" t="s">
        <v>70</v>
      </c>
      <c r="F352" s="56" t="s">
        <v>71</v>
      </c>
      <c r="G352" s="60">
        <v>1190.0</v>
      </c>
      <c r="H352" s="62">
        <v>18134.0</v>
      </c>
      <c r="I352" s="64">
        <v>2.157946E7</v>
      </c>
      <c r="J352" s="64">
        <v>1726357.0</v>
      </c>
      <c r="K352" s="64">
        <v>2.3305817E7</v>
      </c>
      <c r="L352" s="65" t="s">
        <v>451</v>
      </c>
      <c r="M352" s="65" t="str">
        <f>VLOOKUP(L352,'Đơn đặt'!$C$3:$E$275,2,0)</f>
        <v>01-04-TS</v>
      </c>
      <c r="N352" s="65" t="str">
        <f>VLOOKUP(L352,'Đơn đặt'!$C$3:$E$275,3,0)</f>
        <v>07-2026/TS-AVP/ĐĐH</v>
      </c>
      <c r="O352" s="66">
        <v>46097.0</v>
      </c>
      <c r="P352" s="67" t="s">
        <v>751</v>
      </c>
      <c r="Q352" s="68">
        <v>1190.0</v>
      </c>
      <c r="R352" s="76">
        <v>17202.8</v>
      </c>
      <c r="S352" s="77">
        <v>2.0471332E7</v>
      </c>
      <c r="T352" s="77">
        <v>1637707.0</v>
      </c>
      <c r="U352" s="60">
        <f t="shared" si="2"/>
        <v>22109039</v>
      </c>
      <c r="V352" s="70"/>
      <c r="W352" s="23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</row>
    <row r="353" ht="25.5" customHeight="1">
      <c r="A353" s="55">
        <v>46097.0</v>
      </c>
      <c r="B353" s="56" t="s">
        <v>750</v>
      </c>
      <c r="C353" s="56" t="s">
        <v>222</v>
      </c>
      <c r="D353" s="58" t="s">
        <v>223</v>
      </c>
      <c r="E353" s="58" t="s">
        <v>70</v>
      </c>
      <c r="F353" s="56" t="s">
        <v>71</v>
      </c>
      <c r="G353" s="60">
        <v>780.0</v>
      </c>
      <c r="H353" s="62">
        <v>19310.0</v>
      </c>
      <c r="I353" s="64">
        <v>1.50618E7</v>
      </c>
      <c r="J353" s="64">
        <v>1204944.0</v>
      </c>
      <c r="K353" s="64">
        <v>1.6266744E7</v>
      </c>
      <c r="L353" s="65" t="s">
        <v>680</v>
      </c>
      <c r="M353" s="65" t="str">
        <f>VLOOKUP(L353,'Đơn đặt'!$C$3:$E$275,2,0)</f>
        <v>01-04-TS</v>
      </c>
      <c r="N353" s="65" t="str">
        <f>VLOOKUP(L353,'Đơn đặt'!$C$3:$E$275,3,0)</f>
        <v>07-2026/TS-AVP/ĐĐH</v>
      </c>
      <c r="O353" s="66">
        <v>46097.0</v>
      </c>
      <c r="P353" s="67" t="s">
        <v>751</v>
      </c>
      <c r="Q353" s="68">
        <v>780.0</v>
      </c>
      <c r="R353" s="76">
        <v>17438.0</v>
      </c>
      <c r="S353" s="77">
        <v>1.360164E7</v>
      </c>
      <c r="T353" s="77">
        <v>1088131.0</v>
      </c>
      <c r="U353" s="60">
        <f t="shared" si="2"/>
        <v>14689771</v>
      </c>
      <c r="V353" s="70"/>
      <c r="W353" s="23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</row>
    <row r="354" ht="25.5" customHeight="1">
      <c r="A354" s="55">
        <v>46097.0</v>
      </c>
      <c r="B354" s="56" t="s">
        <v>752</v>
      </c>
      <c r="C354" s="56" t="s">
        <v>295</v>
      </c>
      <c r="D354" s="58" t="s">
        <v>341</v>
      </c>
      <c r="E354" s="58" t="s">
        <v>70</v>
      </c>
      <c r="F354" s="56" t="s">
        <v>112</v>
      </c>
      <c r="G354" s="60">
        <v>1000.0</v>
      </c>
      <c r="H354" s="62">
        <v>38000.0</v>
      </c>
      <c r="I354" s="64">
        <v>3.8E7</v>
      </c>
      <c r="J354" s="64">
        <v>3040000.0</v>
      </c>
      <c r="K354" s="64">
        <v>4.104E7</v>
      </c>
      <c r="L354" s="65" t="s">
        <v>753</v>
      </c>
      <c r="M354" s="65" t="str">
        <f>VLOOKUP(L354,'Đơn đặt'!$C$3:$E$275,2,0)</f>
        <v>02-49/TS-LP</v>
      </c>
      <c r="N354" s="65" t="str">
        <f>VLOOKUP(L354,'Đơn đặt'!$C$3:$E$275,3,0)</f>
        <v>31-2026/TS-AVP/ĐĐH</v>
      </c>
      <c r="O354" s="66">
        <v>46097.0</v>
      </c>
      <c r="P354" s="67" t="s">
        <v>754</v>
      </c>
      <c r="Q354" s="68">
        <v>1000.0</v>
      </c>
      <c r="R354" s="76">
        <v>34800.0</v>
      </c>
      <c r="S354" s="77">
        <f t="shared" ref="S354:S355" si="73">ROUND(Q354*R354,0)</f>
        <v>34800000</v>
      </c>
      <c r="T354" s="87">
        <f t="shared" ref="T354:T355" si="74">S354*0.08</f>
        <v>2784000</v>
      </c>
      <c r="U354" s="60">
        <f t="shared" si="2"/>
        <v>37584000</v>
      </c>
      <c r="V354" s="70"/>
      <c r="W354" s="23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</row>
    <row r="355" ht="25.5" customHeight="1">
      <c r="A355" s="55">
        <v>46097.0</v>
      </c>
      <c r="B355" s="56" t="s">
        <v>752</v>
      </c>
      <c r="C355" s="56" t="s">
        <v>140</v>
      </c>
      <c r="D355" s="58" t="s">
        <v>141</v>
      </c>
      <c r="E355" s="58" t="s">
        <v>70</v>
      </c>
      <c r="F355" s="56" t="s">
        <v>112</v>
      </c>
      <c r="G355" s="60">
        <v>4000.0</v>
      </c>
      <c r="H355" s="62">
        <v>38000.0</v>
      </c>
      <c r="I355" s="64">
        <v>1.52E8</v>
      </c>
      <c r="J355" s="64">
        <v>1.216E7</v>
      </c>
      <c r="K355" s="64">
        <v>1.6416E8</v>
      </c>
      <c r="L355" s="65" t="s">
        <v>755</v>
      </c>
      <c r="M355" s="65" t="str">
        <f>VLOOKUP(L355,'Đơn đặt'!$C$3:$E$275,2,0)</f>
        <v>02-49/TS-LP</v>
      </c>
      <c r="N355" s="65" t="str">
        <f>VLOOKUP(L355,'Đơn đặt'!$C$3:$E$275,3,0)</f>
        <v>31-2026/TS-AVP/ĐĐH</v>
      </c>
      <c r="O355" s="66">
        <v>46097.0</v>
      </c>
      <c r="P355" s="67" t="s">
        <v>754</v>
      </c>
      <c r="Q355" s="68">
        <v>4000.0</v>
      </c>
      <c r="R355" s="76">
        <v>34800.0</v>
      </c>
      <c r="S355" s="77">
        <f t="shared" si="73"/>
        <v>139200000</v>
      </c>
      <c r="T355" s="87">
        <f t="shared" si="74"/>
        <v>11136000</v>
      </c>
      <c r="U355" s="60">
        <f t="shared" si="2"/>
        <v>150336000</v>
      </c>
      <c r="V355" s="70"/>
      <c r="W355" s="23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</row>
    <row r="356" ht="25.5" customHeight="1">
      <c r="A356" s="55">
        <v>46097.0</v>
      </c>
      <c r="B356" s="56" t="s">
        <v>756</v>
      </c>
      <c r="C356" s="56" t="s">
        <v>48</v>
      </c>
      <c r="D356" s="58" t="s">
        <v>47</v>
      </c>
      <c r="E356" s="58" t="s">
        <v>70</v>
      </c>
      <c r="F356" s="56" t="s">
        <v>71</v>
      </c>
      <c r="G356" s="60">
        <v>5000.0</v>
      </c>
      <c r="H356" s="62">
        <v>18291.0</v>
      </c>
      <c r="I356" s="64">
        <v>9.1455E7</v>
      </c>
      <c r="J356" s="64">
        <v>7316400.0</v>
      </c>
      <c r="K356" s="64">
        <v>9.87714E7</v>
      </c>
      <c r="L356" s="65" t="s">
        <v>536</v>
      </c>
      <c r="M356" s="65" t="str">
        <f>VLOOKUP(L356,'Đơn đặt'!$C$3:$E$275,2,0)</f>
        <v>01-14-TS</v>
      </c>
      <c r="N356" s="65" t="str">
        <f>VLOOKUP(L356,'Đơn đặt'!$C$3:$E$275,3,0)</f>
        <v>11-2026/TS-AVP/ĐĐH</v>
      </c>
      <c r="O356" s="66">
        <v>46097.0</v>
      </c>
      <c r="P356" s="67" t="s">
        <v>757</v>
      </c>
      <c r="Q356" s="68">
        <v>5000.0</v>
      </c>
      <c r="R356" s="68">
        <v>14482.2</v>
      </c>
      <c r="S356" s="68">
        <v>7.2411E7</v>
      </c>
      <c r="T356" s="68">
        <v>5792880.0</v>
      </c>
      <c r="U356" s="60">
        <f t="shared" si="2"/>
        <v>78203880</v>
      </c>
      <c r="V356" s="70"/>
      <c r="W356" s="23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</row>
    <row r="357" ht="25.5" customHeight="1">
      <c r="A357" s="55">
        <v>46097.0</v>
      </c>
      <c r="B357" s="56" t="s">
        <v>756</v>
      </c>
      <c r="C357" s="56" t="s">
        <v>50</v>
      </c>
      <c r="D357" s="58" t="s">
        <v>49</v>
      </c>
      <c r="E357" s="58" t="s">
        <v>70</v>
      </c>
      <c r="F357" s="56" t="s">
        <v>71</v>
      </c>
      <c r="G357" s="60">
        <v>1300.0</v>
      </c>
      <c r="H357" s="62">
        <v>18291.0</v>
      </c>
      <c r="I357" s="64">
        <v>2.37783E7</v>
      </c>
      <c r="J357" s="64">
        <v>1902264.0</v>
      </c>
      <c r="K357" s="64">
        <v>2.5680564E7</v>
      </c>
      <c r="L357" s="65" t="s">
        <v>589</v>
      </c>
      <c r="M357" s="65" t="str">
        <f>VLOOKUP(L357,'Đơn đặt'!$C$3:$E$275,2,0)</f>
        <v>01-14-TS</v>
      </c>
      <c r="N357" s="65" t="str">
        <f>VLOOKUP(L357,'Đơn đặt'!$C$3:$E$275,3,0)</f>
        <v>11-2026/TS-AVP/ĐĐH</v>
      </c>
      <c r="O357" s="66">
        <v>46097.0</v>
      </c>
      <c r="P357" s="67" t="s">
        <v>757</v>
      </c>
      <c r="Q357" s="68">
        <v>1300.0</v>
      </c>
      <c r="R357" s="76">
        <v>14482.2</v>
      </c>
      <c r="S357" s="77">
        <v>1.882686E7</v>
      </c>
      <c r="T357" s="77">
        <v>1506149.0</v>
      </c>
      <c r="U357" s="60">
        <f t="shared" si="2"/>
        <v>20333009</v>
      </c>
      <c r="V357" s="70"/>
      <c r="W357" s="23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</row>
    <row r="358" ht="25.5" customHeight="1">
      <c r="A358" s="55">
        <v>46097.0</v>
      </c>
      <c r="B358" s="56" t="s">
        <v>758</v>
      </c>
      <c r="C358" s="56" t="s">
        <v>59</v>
      </c>
      <c r="D358" s="58" t="s">
        <v>105</v>
      </c>
      <c r="E358" s="58" t="s">
        <v>70</v>
      </c>
      <c r="F358" s="56" t="s">
        <v>71</v>
      </c>
      <c r="G358" s="60">
        <v>2000.0</v>
      </c>
      <c r="H358" s="62">
        <v>18291.0</v>
      </c>
      <c r="I358" s="64">
        <v>3.6582E7</v>
      </c>
      <c r="J358" s="64">
        <v>2926560.0</v>
      </c>
      <c r="K358" s="64">
        <v>3.950856E7</v>
      </c>
      <c r="L358" s="65" t="s">
        <v>743</v>
      </c>
      <c r="M358" s="65" t="str">
        <f>VLOOKUP(L358,'Đơn đặt'!$C$3:$E$275,2,0)</f>
        <v>02-03-TS</v>
      </c>
      <c r="N358" s="65" t="str">
        <f>VLOOKUP(L358,'Đơn đặt'!$C$3:$E$275,3,0)</f>
        <v>21-2026/TS-AVP/ĐĐH</v>
      </c>
      <c r="O358" s="66">
        <v>46097.0</v>
      </c>
      <c r="P358" s="67" t="s">
        <v>759</v>
      </c>
      <c r="Q358" s="68">
        <v>2000.0</v>
      </c>
      <c r="R358" s="76">
        <v>16258.2</v>
      </c>
      <c r="S358" s="68">
        <v>3.25164E7</v>
      </c>
      <c r="T358" s="77">
        <v>2601312.0</v>
      </c>
      <c r="U358" s="60">
        <f t="shared" si="2"/>
        <v>35117712</v>
      </c>
      <c r="V358" s="70"/>
      <c r="W358" s="23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</row>
    <row r="359" ht="25.5" customHeight="1">
      <c r="A359" s="55">
        <v>46097.0</v>
      </c>
      <c r="B359" s="56" t="s">
        <v>758</v>
      </c>
      <c r="C359" s="56" t="s">
        <v>222</v>
      </c>
      <c r="D359" s="58" t="s">
        <v>223</v>
      </c>
      <c r="E359" s="58" t="s">
        <v>70</v>
      </c>
      <c r="F359" s="56" t="s">
        <v>71</v>
      </c>
      <c r="G359" s="60">
        <v>720.0</v>
      </c>
      <c r="H359" s="62">
        <v>19310.0</v>
      </c>
      <c r="I359" s="64">
        <v>1.39032E7</v>
      </c>
      <c r="J359" s="64">
        <v>1112256.0</v>
      </c>
      <c r="K359" s="64">
        <v>1.5015456E7</v>
      </c>
      <c r="L359" s="65" t="s">
        <v>680</v>
      </c>
      <c r="M359" s="65" t="str">
        <f>VLOOKUP(L359,'Đơn đặt'!$C$3:$E$275,2,0)</f>
        <v>01-04-TS</v>
      </c>
      <c r="N359" s="65" t="str">
        <f>VLOOKUP(L359,'Đơn đặt'!$C$3:$E$275,3,0)</f>
        <v>07-2026/TS-AVP/ĐĐH</v>
      </c>
      <c r="O359" s="66">
        <v>46097.0</v>
      </c>
      <c r="P359" s="67" t="s">
        <v>759</v>
      </c>
      <c r="Q359" s="68">
        <v>720.0</v>
      </c>
      <c r="R359" s="76">
        <v>17438.0</v>
      </c>
      <c r="S359" s="77">
        <v>1.255536E7</v>
      </c>
      <c r="T359" s="77">
        <v>1004429.0</v>
      </c>
      <c r="U359" s="60">
        <f t="shared" si="2"/>
        <v>13559789</v>
      </c>
      <c r="V359" s="70"/>
      <c r="W359" s="23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</row>
    <row r="360" ht="25.5" customHeight="1">
      <c r="A360" s="55">
        <v>46097.0</v>
      </c>
      <c r="B360" s="56" t="s">
        <v>758</v>
      </c>
      <c r="C360" s="56" t="s">
        <v>119</v>
      </c>
      <c r="D360" s="58" t="s">
        <v>120</v>
      </c>
      <c r="E360" s="58" t="s">
        <v>70</v>
      </c>
      <c r="F360" s="56" t="s">
        <v>71</v>
      </c>
      <c r="G360" s="60">
        <v>2000.0</v>
      </c>
      <c r="H360" s="62">
        <v>19310.0</v>
      </c>
      <c r="I360" s="64">
        <v>3.862E7</v>
      </c>
      <c r="J360" s="64">
        <v>3089600.0</v>
      </c>
      <c r="K360" s="64">
        <v>4.17096E7</v>
      </c>
      <c r="L360" s="65" t="s">
        <v>228</v>
      </c>
      <c r="M360" s="65" t="str">
        <f>VLOOKUP(L360,'Đơn đặt'!$C$3:$E$275,2,0)</f>
        <v>01-02-TS</v>
      </c>
      <c r="N360" s="65" t="str">
        <f>VLOOKUP(L360,'Đơn đặt'!$C$3:$E$275,3,0)</f>
        <v>04-2026/TS-AVP/ĐĐH</v>
      </c>
      <c r="O360" s="66">
        <v>46097.0</v>
      </c>
      <c r="P360" s="67" t="s">
        <v>759</v>
      </c>
      <c r="Q360" s="68">
        <v>2000.0</v>
      </c>
      <c r="R360" s="76">
        <v>17438.0</v>
      </c>
      <c r="S360" s="77">
        <v>3.4876E7</v>
      </c>
      <c r="T360" s="77">
        <v>2790080.0</v>
      </c>
      <c r="U360" s="60">
        <f t="shared" si="2"/>
        <v>37666080</v>
      </c>
      <c r="V360" s="70"/>
      <c r="W360" s="23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</row>
    <row r="361" ht="25.5" customHeight="1">
      <c r="A361" s="55">
        <v>46097.0</v>
      </c>
      <c r="B361" s="56" t="s">
        <v>758</v>
      </c>
      <c r="C361" s="56" t="s">
        <v>206</v>
      </c>
      <c r="D361" s="58" t="s">
        <v>207</v>
      </c>
      <c r="E361" s="58" t="s">
        <v>70</v>
      </c>
      <c r="F361" s="56" t="s">
        <v>71</v>
      </c>
      <c r="G361" s="60">
        <v>810.0</v>
      </c>
      <c r="H361" s="62">
        <v>18134.0</v>
      </c>
      <c r="I361" s="64">
        <v>1.468854E7</v>
      </c>
      <c r="J361" s="64">
        <v>1175083.0</v>
      </c>
      <c r="K361" s="64">
        <v>1.5863623E7</v>
      </c>
      <c r="L361" s="65" t="s">
        <v>451</v>
      </c>
      <c r="M361" s="65" t="str">
        <f>VLOOKUP(L361,'Đơn đặt'!$C$3:$E$275,2,0)</f>
        <v>01-04-TS</v>
      </c>
      <c r="N361" s="65" t="str">
        <f>VLOOKUP(L361,'Đơn đặt'!$C$3:$E$275,3,0)</f>
        <v>07-2026/TS-AVP/ĐĐH</v>
      </c>
      <c r="O361" s="66">
        <v>46097.0</v>
      </c>
      <c r="P361" s="67" t="s">
        <v>759</v>
      </c>
      <c r="Q361" s="68">
        <v>810.0</v>
      </c>
      <c r="R361" s="76">
        <v>17202.8</v>
      </c>
      <c r="S361" s="77">
        <v>1.3934268E7</v>
      </c>
      <c r="T361" s="77">
        <v>1114741.0</v>
      </c>
      <c r="U361" s="60">
        <f t="shared" si="2"/>
        <v>15049009</v>
      </c>
      <c r="V361" s="70"/>
      <c r="W361" s="23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</row>
    <row r="362" ht="25.5" customHeight="1">
      <c r="A362" s="55">
        <v>46097.0</v>
      </c>
      <c r="B362" s="56" t="s">
        <v>760</v>
      </c>
      <c r="C362" s="56" t="s">
        <v>55</v>
      </c>
      <c r="D362" s="58" t="s">
        <v>53</v>
      </c>
      <c r="E362" s="58" t="s">
        <v>70</v>
      </c>
      <c r="F362" s="56" t="s">
        <v>71</v>
      </c>
      <c r="G362" s="60">
        <v>3740.0</v>
      </c>
      <c r="H362" s="62">
        <v>20024.0</v>
      </c>
      <c r="I362" s="64">
        <v>7.488976E7</v>
      </c>
      <c r="J362" s="64">
        <v>5991181.0</v>
      </c>
      <c r="K362" s="64">
        <v>8.0880941E7</v>
      </c>
      <c r="L362" s="65" t="s">
        <v>693</v>
      </c>
      <c r="M362" s="65" t="str">
        <f>VLOOKUP(L362,'Đơn đặt'!$C$3:$E$275,2,0)</f>
        <v>02-03-TS</v>
      </c>
      <c r="N362" s="65" t="str">
        <f>VLOOKUP(L362,'Đơn đặt'!$C$3:$E$275,3,0)</f>
        <v>23-2026/TS-AVP/ĐĐH</v>
      </c>
      <c r="O362" s="66">
        <v>46097.0</v>
      </c>
      <c r="P362" s="67" t="s">
        <v>761</v>
      </c>
      <c r="Q362" s="68">
        <v>3740.0</v>
      </c>
      <c r="R362" s="76">
        <v>16788.8</v>
      </c>
      <c r="S362" s="77">
        <v>6.2790112E7</v>
      </c>
      <c r="T362" s="77">
        <v>5023209.0</v>
      </c>
      <c r="U362" s="60">
        <f t="shared" si="2"/>
        <v>67813321</v>
      </c>
      <c r="V362" s="70"/>
      <c r="W362" s="23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</row>
    <row r="363" ht="25.5" customHeight="1">
      <c r="A363" s="78">
        <v>46098.0</v>
      </c>
      <c r="B363" s="79" t="s">
        <v>570</v>
      </c>
      <c r="C363" s="79" t="s">
        <v>110</v>
      </c>
      <c r="D363" s="80" t="s">
        <v>444</v>
      </c>
      <c r="E363" s="58" t="s">
        <v>70</v>
      </c>
      <c r="F363" s="79" t="s">
        <v>112</v>
      </c>
      <c r="G363" s="81">
        <v>4680.0</v>
      </c>
      <c r="H363" s="82">
        <v>28000.0</v>
      </c>
      <c r="I363" s="83">
        <v>1.3104E8</v>
      </c>
      <c r="J363" s="83">
        <v>1.04832E7</v>
      </c>
      <c r="K363" s="83">
        <v>1.415232E8</v>
      </c>
      <c r="L363" s="84" t="s">
        <v>445</v>
      </c>
      <c r="M363" s="84" t="str">
        <f>VLOOKUP(L363,'Đơn đặt'!$C$3:$E$275,2,0)</f>
        <v>01/09/TSC-LT</v>
      </c>
      <c r="N363" s="84" t="str">
        <f>VLOOKUP(L363,'Đơn đặt'!$C$3:$E$275,3,0)</f>
        <v>Hàng SX</v>
      </c>
      <c r="O363" s="78" t="s">
        <v>98</v>
      </c>
      <c r="P363" s="92"/>
      <c r="Q363" s="81">
        <f>G363</f>
        <v>4680</v>
      </c>
      <c r="R363" s="92"/>
      <c r="S363" s="83">
        <f>ROUND(Q363*R363,0)</f>
        <v>0</v>
      </c>
      <c r="T363" s="83">
        <f>ROUND(S363*0.08,0)</f>
        <v>0</v>
      </c>
      <c r="U363" s="81">
        <f t="shared" si="2"/>
        <v>0</v>
      </c>
      <c r="V363" s="70"/>
      <c r="W363" s="23"/>
      <c r="X363" s="69"/>
      <c r="Y363" s="69"/>
      <c r="Z363" s="69"/>
      <c r="AA363" s="69"/>
      <c r="AB363" s="69"/>
      <c r="AC363" s="69"/>
      <c r="AD363" s="69"/>
      <c r="AE363" s="69"/>
      <c r="AF363" s="69"/>
      <c r="AG363" s="69"/>
      <c r="AH363" s="69"/>
      <c r="AI363" s="69"/>
      <c r="AJ363" s="69"/>
      <c r="AK363" s="69"/>
      <c r="AL363" s="69"/>
      <c r="AM363" s="69"/>
      <c r="AN363" s="69"/>
      <c r="AO363" s="69"/>
    </row>
    <row r="364" ht="25.5" customHeight="1">
      <c r="A364" s="55">
        <v>46099.0</v>
      </c>
      <c r="B364" s="56" t="s">
        <v>762</v>
      </c>
      <c r="C364" s="56" t="s">
        <v>206</v>
      </c>
      <c r="D364" s="58" t="s">
        <v>207</v>
      </c>
      <c r="E364" s="58" t="s">
        <v>70</v>
      </c>
      <c r="F364" s="56" t="s">
        <v>71</v>
      </c>
      <c r="G364" s="60">
        <v>4000.0</v>
      </c>
      <c r="H364" s="62">
        <v>18134.0</v>
      </c>
      <c r="I364" s="64">
        <v>7.2536E7</v>
      </c>
      <c r="J364" s="64">
        <v>5802880.0</v>
      </c>
      <c r="K364" s="64">
        <v>7.833888E7</v>
      </c>
      <c r="L364" s="65" t="s">
        <v>451</v>
      </c>
      <c r="M364" s="65" t="str">
        <f>VLOOKUP(L364,'Đơn đặt'!$C$3:$E$275,2,0)</f>
        <v>01-04-TS</v>
      </c>
      <c r="N364" s="65" t="str">
        <f>VLOOKUP(L364,'Đơn đặt'!$C$3:$E$275,3,0)</f>
        <v>07-2026/TS-AVP/ĐĐH</v>
      </c>
      <c r="O364" s="66">
        <v>46099.0</v>
      </c>
      <c r="P364" s="67" t="s">
        <v>763</v>
      </c>
      <c r="Q364" s="68">
        <v>4000.0</v>
      </c>
      <c r="R364" s="76">
        <v>17202.8</v>
      </c>
      <c r="S364" s="77">
        <v>6.88112E7</v>
      </c>
      <c r="T364" s="77">
        <v>5504896.0</v>
      </c>
      <c r="U364" s="60">
        <f t="shared" si="2"/>
        <v>74316096</v>
      </c>
      <c r="V364" s="70"/>
      <c r="W364" s="23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</row>
    <row r="365" ht="25.5" customHeight="1">
      <c r="A365" s="55">
        <v>46099.0</v>
      </c>
      <c r="B365" s="56" t="s">
        <v>762</v>
      </c>
      <c r="C365" s="56" t="s">
        <v>38</v>
      </c>
      <c r="D365" s="58" t="s">
        <v>36</v>
      </c>
      <c r="E365" s="58" t="s">
        <v>70</v>
      </c>
      <c r="F365" s="56" t="s">
        <v>71</v>
      </c>
      <c r="G365" s="60">
        <v>1000.0</v>
      </c>
      <c r="H365" s="62">
        <v>18953.0</v>
      </c>
      <c r="I365" s="64">
        <v>1.8953E7</v>
      </c>
      <c r="J365" s="64">
        <v>1516240.0</v>
      </c>
      <c r="K365" s="64">
        <v>2.046924E7</v>
      </c>
      <c r="L365" s="65" t="s">
        <v>656</v>
      </c>
      <c r="M365" s="65" t="str">
        <f>VLOOKUP(L365,'Đơn đặt'!$C$3:$E$275,2,0)</f>
        <v>02-03-TS</v>
      </c>
      <c r="N365" s="65" t="str">
        <f>VLOOKUP(L365,'Đơn đặt'!$C$3:$E$275,3,0)</f>
        <v>21-2026/TS-AVP/ĐĐH</v>
      </c>
      <c r="O365" s="66">
        <v>46099.0</v>
      </c>
      <c r="P365" s="67" t="s">
        <v>763</v>
      </c>
      <c r="Q365" s="68">
        <v>1000.0</v>
      </c>
      <c r="R365" s="76">
        <v>18246.6</v>
      </c>
      <c r="S365" s="77">
        <v>1.82466E7</v>
      </c>
      <c r="T365" s="77">
        <v>1459728.0</v>
      </c>
      <c r="U365" s="60">
        <f t="shared" si="2"/>
        <v>19706328</v>
      </c>
      <c r="V365" s="70"/>
      <c r="W365" s="23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</row>
    <row r="366" ht="25.5" customHeight="1">
      <c r="A366" s="55">
        <v>46100.0</v>
      </c>
      <c r="B366" s="56" t="s">
        <v>764</v>
      </c>
      <c r="C366" s="56" t="s">
        <v>3</v>
      </c>
      <c r="D366" s="58" t="s">
        <v>164</v>
      </c>
      <c r="E366" s="58" t="s">
        <v>70</v>
      </c>
      <c r="F366" s="56" t="s">
        <v>112</v>
      </c>
      <c r="G366" s="60">
        <v>7000.0</v>
      </c>
      <c r="H366" s="62">
        <v>38000.0</v>
      </c>
      <c r="I366" s="64">
        <v>2.66E8</v>
      </c>
      <c r="J366" s="64">
        <v>2.128E7</v>
      </c>
      <c r="K366" s="64">
        <v>2.8728E8</v>
      </c>
      <c r="L366" s="65" t="s">
        <v>767</v>
      </c>
      <c r="M366" s="65" t="str">
        <f>VLOOKUP(L366,'Đơn đặt'!$C$3:$E$275,2,0)</f>
        <v>02-49/TS-LP</v>
      </c>
      <c r="N366" s="65" t="str">
        <f>VLOOKUP(L366,'Đơn đặt'!$C$3:$E$275,3,0)</f>
        <v>30-2026/TS-AVP/ĐĐH</v>
      </c>
      <c r="O366" s="66">
        <v>46100.0</v>
      </c>
      <c r="P366" s="67" t="s">
        <v>768</v>
      </c>
      <c r="Q366" s="68">
        <v>7000.0</v>
      </c>
      <c r="R366" s="76">
        <v>34800.0</v>
      </c>
      <c r="S366" s="77">
        <v>2.436E8</v>
      </c>
      <c r="T366" s="77">
        <v>1.9488E7</v>
      </c>
      <c r="U366" s="60">
        <f t="shared" si="2"/>
        <v>263088000</v>
      </c>
      <c r="V366" s="70"/>
      <c r="W366" s="23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</row>
    <row r="367" ht="25.5" customHeight="1">
      <c r="A367" s="55">
        <v>46100.0</v>
      </c>
      <c r="B367" s="56" t="s">
        <v>769</v>
      </c>
      <c r="C367" s="56" t="s">
        <v>48</v>
      </c>
      <c r="D367" s="58" t="s">
        <v>47</v>
      </c>
      <c r="E367" s="58" t="s">
        <v>70</v>
      </c>
      <c r="F367" s="56" t="s">
        <v>71</v>
      </c>
      <c r="G367" s="60">
        <v>6000.0</v>
      </c>
      <c r="H367" s="62">
        <v>18291.0</v>
      </c>
      <c r="I367" s="64">
        <v>1.09746E8</v>
      </c>
      <c r="J367" s="64">
        <v>8779680.0</v>
      </c>
      <c r="K367" s="64">
        <v>1.1852568E8</v>
      </c>
      <c r="L367" s="65" t="s">
        <v>771</v>
      </c>
      <c r="M367" s="65" t="str">
        <f>VLOOKUP(L367,'Đơn đặt'!$C$3:$E$275,2,0)</f>
        <v>02-03-TS</v>
      </c>
      <c r="N367" s="65" t="str">
        <f>VLOOKUP(L367,'Đơn đặt'!$C$3:$E$275,3,0)</f>
        <v>22-2026/TS-AVP/ĐĐH</v>
      </c>
      <c r="O367" s="66">
        <v>46100.0</v>
      </c>
      <c r="P367" s="67" t="s">
        <v>772</v>
      </c>
      <c r="Q367" s="68">
        <v>6000.0</v>
      </c>
      <c r="R367" s="68">
        <v>14482.2</v>
      </c>
      <c r="S367" s="68">
        <v>8.68932E7</v>
      </c>
      <c r="T367" s="68">
        <v>6951456.0</v>
      </c>
      <c r="U367" s="60">
        <f t="shared" si="2"/>
        <v>93844656</v>
      </c>
      <c r="V367" s="70"/>
      <c r="W367" s="23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</row>
    <row r="368" ht="25.5" customHeight="1">
      <c r="A368" s="55">
        <v>46100.0</v>
      </c>
      <c r="B368" s="56" t="s">
        <v>769</v>
      </c>
      <c r="C368" s="56" t="s">
        <v>50</v>
      </c>
      <c r="D368" s="58" t="s">
        <v>49</v>
      </c>
      <c r="E368" s="58" t="s">
        <v>70</v>
      </c>
      <c r="F368" s="56" t="s">
        <v>71</v>
      </c>
      <c r="G368" s="60">
        <v>1000.0</v>
      </c>
      <c r="H368" s="62">
        <v>18291.0</v>
      </c>
      <c r="I368" s="64">
        <v>1.8291E7</v>
      </c>
      <c r="J368" s="64">
        <v>1463280.0</v>
      </c>
      <c r="K368" s="64">
        <v>1.975428E7</v>
      </c>
      <c r="L368" s="65" t="s">
        <v>773</v>
      </c>
      <c r="M368" s="65" t="str">
        <f>VLOOKUP(L368,'Đơn đặt'!$C$3:$E$275,2,0)</f>
        <v>02-03-TS</v>
      </c>
      <c r="N368" s="65" t="str">
        <f>VLOOKUP(L368,'Đơn đặt'!$C$3:$E$275,3,0)</f>
        <v>22-2026/TS-AVP/ĐĐH</v>
      </c>
      <c r="O368" s="66">
        <v>46100.0</v>
      </c>
      <c r="P368" s="67" t="s">
        <v>772</v>
      </c>
      <c r="Q368" s="68">
        <v>1000.0</v>
      </c>
      <c r="R368" s="76">
        <v>14482.2</v>
      </c>
      <c r="S368" s="77">
        <v>1.44822E7</v>
      </c>
      <c r="T368" s="77">
        <v>1158576.0</v>
      </c>
      <c r="U368" s="60">
        <f t="shared" si="2"/>
        <v>15640776</v>
      </c>
      <c r="V368" s="70"/>
      <c r="W368" s="23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</row>
    <row r="369" ht="25.5" customHeight="1">
      <c r="A369" s="55">
        <v>46100.0</v>
      </c>
      <c r="B369" s="56" t="s">
        <v>588</v>
      </c>
      <c r="C369" s="56" t="s">
        <v>59</v>
      </c>
      <c r="D369" s="58" t="s">
        <v>105</v>
      </c>
      <c r="E369" s="58" t="s">
        <v>70</v>
      </c>
      <c r="F369" s="56" t="s">
        <v>71</v>
      </c>
      <c r="G369" s="60">
        <v>3500.0</v>
      </c>
      <c r="H369" s="62">
        <v>18291.0</v>
      </c>
      <c r="I369" s="64">
        <v>6.40185E7</v>
      </c>
      <c r="J369" s="64">
        <v>5121480.0</v>
      </c>
      <c r="K369" s="64">
        <v>6.913998E7</v>
      </c>
      <c r="L369" s="65" t="s">
        <v>743</v>
      </c>
      <c r="M369" s="65" t="str">
        <f>VLOOKUP(L369,'Đơn đặt'!$C$3:$E$275,2,0)</f>
        <v>02-03-TS</v>
      </c>
      <c r="N369" s="65" t="str">
        <f>VLOOKUP(L369,'Đơn đặt'!$C$3:$E$275,3,0)</f>
        <v>21-2026/TS-AVP/ĐĐH</v>
      </c>
      <c r="O369" s="66">
        <v>46100.0</v>
      </c>
      <c r="P369" s="67" t="s">
        <v>774</v>
      </c>
      <c r="Q369" s="68">
        <v>3500.0</v>
      </c>
      <c r="R369" s="76">
        <v>16258.2</v>
      </c>
      <c r="S369" s="68">
        <v>5.69037E7</v>
      </c>
      <c r="T369" s="77">
        <v>4552296.0</v>
      </c>
      <c r="U369" s="60">
        <f t="shared" si="2"/>
        <v>61455996</v>
      </c>
      <c r="V369" s="70"/>
      <c r="W369" s="23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</row>
    <row r="370" ht="25.5" customHeight="1">
      <c r="A370" s="55">
        <v>46101.0</v>
      </c>
      <c r="B370" s="56" t="s">
        <v>775</v>
      </c>
      <c r="C370" s="56" t="s">
        <v>83</v>
      </c>
      <c r="D370" s="58" t="s">
        <v>84</v>
      </c>
      <c r="E370" s="58" t="s">
        <v>776</v>
      </c>
      <c r="F370" s="56" t="s">
        <v>500</v>
      </c>
      <c r="G370" s="60">
        <v>27000.0</v>
      </c>
      <c r="H370" s="62">
        <v>235.0</v>
      </c>
      <c r="I370" s="64">
        <v>6345000.0</v>
      </c>
      <c r="J370" s="64">
        <v>507600.0</v>
      </c>
      <c r="K370" s="64">
        <v>6852600.0</v>
      </c>
      <c r="L370" s="91" t="s">
        <v>777</v>
      </c>
      <c r="M370" s="65" t="str">
        <f>VLOOKUP(L370,'Đơn đặt'!$C$3:$E$275,2,0)</f>
        <v>151a</v>
      </c>
      <c r="N370" s="65" t="str">
        <f>VLOOKUP(L370,'Đơn đặt'!$C$3:$E$275,3,0)</f>
        <v>26/TB/01</v>
      </c>
      <c r="O370" s="66">
        <v>46097.0</v>
      </c>
      <c r="P370" s="67" t="s">
        <v>780</v>
      </c>
      <c r="Q370" s="68">
        <v>27000.0</v>
      </c>
      <c r="R370" s="76">
        <v>212.44</v>
      </c>
      <c r="S370" s="64">
        <v>5735880.0</v>
      </c>
      <c r="T370" s="64">
        <v>458871.0</v>
      </c>
      <c r="U370" s="60">
        <f t="shared" si="2"/>
        <v>6194751</v>
      </c>
      <c r="V370" s="70"/>
      <c r="W370" s="23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</row>
    <row r="371" ht="25.5" customHeight="1">
      <c r="A371" s="55">
        <v>46101.0</v>
      </c>
      <c r="B371" s="56" t="s">
        <v>775</v>
      </c>
      <c r="C371" s="56" t="s">
        <v>88</v>
      </c>
      <c r="D371" s="58" t="s">
        <v>89</v>
      </c>
      <c r="E371" s="58" t="s">
        <v>776</v>
      </c>
      <c r="F371" s="56" t="s">
        <v>500</v>
      </c>
      <c r="G371" s="60">
        <v>541000.0</v>
      </c>
      <c r="H371" s="62">
        <v>235.0</v>
      </c>
      <c r="I371" s="64">
        <v>1.27135E8</v>
      </c>
      <c r="J371" s="64">
        <v>1.01708E7</v>
      </c>
      <c r="K371" s="64">
        <v>1.373058E8</v>
      </c>
      <c r="L371" s="91" t="s">
        <v>782</v>
      </c>
      <c r="M371" s="65" t="str">
        <f>VLOOKUP(L371,'Đơn đặt'!$C$3:$E$275,2,0)</f>
        <v>151a</v>
      </c>
      <c r="N371" s="65" t="str">
        <f>VLOOKUP(L371,'Đơn đặt'!$C$3:$E$275,3,0)</f>
        <v>26/TB/01</v>
      </c>
      <c r="O371" s="66">
        <v>46097.0</v>
      </c>
      <c r="P371" s="67" t="s">
        <v>780</v>
      </c>
      <c r="Q371" s="68">
        <v>541000.0</v>
      </c>
      <c r="R371" s="76">
        <v>212.44</v>
      </c>
      <c r="S371" s="77">
        <v>1.1493004E8</v>
      </c>
      <c r="T371" s="77">
        <v>9194403.0</v>
      </c>
      <c r="U371" s="60">
        <f t="shared" si="2"/>
        <v>124124443</v>
      </c>
      <c r="V371" s="70"/>
      <c r="W371" s="23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</row>
    <row r="372" ht="25.5" customHeight="1">
      <c r="A372" s="55">
        <v>46101.0</v>
      </c>
      <c r="B372" s="56" t="s">
        <v>609</v>
      </c>
      <c r="C372" s="56" t="s">
        <v>72</v>
      </c>
      <c r="D372" s="58" t="s">
        <v>73</v>
      </c>
      <c r="E372" s="58" t="s">
        <v>776</v>
      </c>
      <c r="F372" s="56" t="s">
        <v>71</v>
      </c>
      <c r="G372" s="60">
        <v>1000.0</v>
      </c>
      <c r="H372" s="62">
        <v>15600.0</v>
      </c>
      <c r="I372" s="64">
        <v>1.56E7</v>
      </c>
      <c r="J372" s="64">
        <v>1248000.0</v>
      </c>
      <c r="K372" s="64">
        <v>1.6848E7</v>
      </c>
      <c r="L372" s="102" t="s">
        <v>784</v>
      </c>
      <c r="M372" s="65">
        <f>VLOOKUP(L372,'Đơn đặt'!$C$3:$E$275,2,0)</f>
        <v>151</v>
      </c>
      <c r="N372" s="65" t="str">
        <f>VLOOKUP(L372,'Đơn đặt'!$C$3:$E$275,3,0)</f>
        <v>26/YFY/01</v>
      </c>
      <c r="O372" s="66">
        <v>46098.0</v>
      </c>
      <c r="P372" s="67" t="s">
        <v>785</v>
      </c>
      <c r="Q372" s="68">
        <v>1000.0</v>
      </c>
      <c r="R372" s="76">
        <v>11920.0</v>
      </c>
      <c r="S372" s="77">
        <v>1.192E7</v>
      </c>
      <c r="T372" s="77">
        <v>953600.0</v>
      </c>
      <c r="U372" s="60">
        <f t="shared" si="2"/>
        <v>12873600</v>
      </c>
      <c r="V372" s="70"/>
      <c r="W372" s="23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</row>
    <row r="373" ht="25.5" customHeight="1">
      <c r="A373" s="55">
        <v>46101.0</v>
      </c>
      <c r="B373" s="56" t="s">
        <v>605</v>
      </c>
      <c r="C373" s="56" t="s">
        <v>55</v>
      </c>
      <c r="D373" s="58" t="s">
        <v>53</v>
      </c>
      <c r="E373" s="58" t="s">
        <v>70</v>
      </c>
      <c r="F373" s="56" t="s">
        <v>71</v>
      </c>
      <c r="G373" s="60">
        <v>3260.0</v>
      </c>
      <c r="H373" s="62">
        <v>20024.0</v>
      </c>
      <c r="I373" s="64">
        <v>6.527824E7</v>
      </c>
      <c r="J373" s="64">
        <v>5222259.0</v>
      </c>
      <c r="K373" s="64">
        <v>7.0500499E7</v>
      </c>
      <c r="L373" s="65" t="s">
        <v>693</v>
      </c>
      <c r="M373" s="65" t="str">
        <f>VLOOKUP(L373,'Đơn đặt'!$C$3:$E$275,2,0)</f>
        <v>02-03-TS</v>
      </c>
      <c r="N373" s="65" t="str">
        <f>VLOOKUP(L373,'Đơn đặt'!$C$3:$E$275,3,0)</f>
        <v>23-2026/TS-AVP/ĐĐH</v>
      </c>
      <c r="O373" s="66">
        <v>46101.0</v>
      </c>
      <c r="P373" s="67" t="s">
        <v>787</v>
      </c>
      <c r="Q373" s="68">
        <v>3260.0</v>
      </c>
      <c r="R373" s="76">
        <v>16788.8</v>
      </c>
      <c r="S373" s="77">
        <v>5.4731488E7</v>
      </c>
      <c r="T373" s="77">
        <v>4378519.0</v>
      </c>
      <c r="U373" s="60">
        <f t="shared" si="2"/>
        <v>59110007</v>
      </c>
      <c r="V373" s="70"/>
      <c r="W373" s="23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</row>
    <row r="374" ht="25.5" customHeight="1">
      <c r="A374" s="55">
        <v>46101.0</v>
      </c>
      <c r="B374" s="56" t="s">
        <v>612</v>
      </c>
      <c r="C374" s="56" t="s">
        <v>59</v>
      </c>
      <c r="D374" s="58" t="s">
        <v>105</v>
      </c>
      <c r="E374" s="58" t="s">
        <v>70</v>
      </c>
      <c r="F374" s="56" t="s">
        <v>71</v>
      </c>
      <c r="G374" s="60">
        <v>1670.0</v>
      </c>
      <c r="H374" s="62">
        <v>18291.0</v>
      </c>
      <c r="I374" s="64">
        <v>3.054597E7</v>
      </c>
      <c r="J374" s="64">
        <v>2443678.0</v>
      </c>
      <c r="K374" s="64">
        <v>3.2989648E7</v>
      </c>
      <c r="L374" s="65" t="s">
        <v>743</v>
      </c>
      <c r="M374" s="65" t="str">
        <f>VLOOKUP(L374,'Đơn đặt'!$C$3:$E$275,2,0)</f>
        <v>02-03-TS</v>
      </c>
      <c r="N374" s="65" t="str">
        <f>VLOOKUP(L374,'Đơn đặt'!$C$3:$E$275,3,0)</f>
        <v>21-2026/TS-AVP/ĐĐH</v>
      </c>
      <c r="O374" s="66">
        <v>46101.0</v>
      </c>
      <c r="P374" s="67" t="s">
        <v>789</v>
      </c>
      <c r="Q374" s="68">
        <v>1670.0</v>
      </c>
      <c r="R374" s="76">
        <v>16258.2</v>
      </c>
      <c r="S374" s="68">
        <v>2.7151194E7</v>
      </c>
      <c r="T374" s="77">
        <v>2172096.0</v>
      </c>
      <c r="U374" s="60">
        <f t="shared" si="2"/>
        <v>29323290</v>
      </c>
      <c r="V374" s="70"/>
      <c r="W374" s="23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</row>
    <row r="375" ht="25.5" customHeight="1">
      <c r="A375" s="55">
        <v>46101.0</v>
      </c>
      <c r="B375" s="56" t="s">
        <v>612</v>
      </c>
      <c r="C375" s="56" t="s">
        <v>38</v>
      </c>
      <c r="D375" s="58" t="s">
        <v>36</v>
      </c>
      <c r="E375" s="58" t="s">
        <v>70</v>
      </c>
      <c r="F375" s="56" t="s">
        <v>71</v>
      </c>
      <c r="G375" s="60">
        <v>1700.0</v>
      </c>
      <c r="H375" s="62">
        <v>18953.0</v>
      </c>
      <c r="I375" s="64">
        <v>3.22201E7</v>
      </c>
      <c r="J375" s="64">
        <v>2577608.0</v>
      </c>
      <c r="K375" s="64">
        <v>3.4797708E7</v>
      </c>
      <c r="L375" s="65" t="s">
        <v>497</v>
      </c>
      <c r="M375" s="65" t="str">
        <f>VLOOKUP(L375,'Đơn đặt'!$C$3:$E$275,2,0)</f>
        <v>01-14-TS</v>
      </c>
      <c r="N375" s="65" t="str">
        <f>VLOOKUP(L375,'Đơn đặt'!$C$3:$E$275,3,0)</f>
        <v>12-2026/TS-AVP/ĐĐH</v>
      </c>
      <c r="O375" s="66">
        <v>46101.0</v>
      </c>
      <c r="P375" s="67" t="s">
        <v>789</v>
      </c>
      <c r="Q375" s="68">
        <v>1700.0</v>
      </c>
      <c r="R375" s="76">
        <v>18246.6</v>
      </c>
      <c r="S375" s="77">
        <v>3.101922E7</v>
      </c>
      <c r="T375" s="77">
        <v>2481537.0</v>
      </c>
      <c r="U375" s="60">
        <f t="shared" si="2"/>
        <v>33500757</v>
      </c>
      <c r="V375" s="70"/>
      <c r="W375" s="23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</row>
    <row r="376" ht="25.5" customHeight="1">
      <c r="A376" s="55">
        <v>46101.0</v>
      </c>
      <c r="B376" s="56" t="s">
        <v>791</v>
      </c>
      <c r="C376" s="56" t="s">
        <v>48</v>
      </c>
      <c r="D376" s="58" t="s">
        <v>47</v>
      </c>
      <c r="E376" s="58" t="s">
        <v>70</v>
      </c>
      <c r="F376" s="56" t="s">
        <v>71</v>
      </c>
      <c r="G376" s="60">
        <v>6000.0</v>
      </c>
      <c r="H376" s="62">
        <v>18291.0</v>
      </c>
      <c r="I376" s="64">
        <v>1.09746E8</v>
      </c>
      <c r="J376" s="64">
        <v>8779680.0</v>
      </c>
      <c r="K376" s="64">
        <v>1.1852568E8</v>
      </c>
      <c r="L376" s="65" t="s">
        <v>771</v>
      </c>
      <c r="M376" s="65" t="str">
        <f>VLOOKUP(L376,'Đơn đặt'!$C$3:$E$275,2,0)</f>
        <v>02-03-TS</v>
      </c>
      <c r="N376" s="65" t="str">
        <f>VLOOKUP(L376,'Đơn đặt'!$C$3:$E$275,3,0)</f>
        <v>22-2026/TS-AVP/ĐĐH</v>
      </c>
      <c r="O376" s="66">
        <v>46101.0</v>
      </c>
      <c r="P376" s="67" t="s">
        <v>792</v>
      </c>
      <c r="Q376" s="68">
        <v>6000.0</v>
      </c>
      <c r="R376" s="68">
        <v>14482.2</v>
      </c>
      <c r="S376" s="68">
        <v>8.68932E7</v>
      </c>
      <c r="T376" s="68">
        <v>6951456.0</v>
      </c>
      <c r="U376" s="60">
        <f t="shared" si="2"/>
        <v>93844656</v>
      </c>
      <c r="V376" s="70"/>
      <c r="W376" s="23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</row>
    <row r="377" ht="25.5" customHeight="1">
      <c r="A377" s="55">
        <v>46101.0</v>
      </c>
      <c r="B377" s="56" t="s">
        <v>791</v>
      </c>
      <c r="C377" s="56" t="s">
        <v>50</v>
      </c>
      <c r="D377" s="58" t="s">
        <v>49</v>
      </c>
      <c r="E377" s="58" t="s">
        <v>70</v>
      </c>
      <c r="F377" s="56" t="s">
        <v>71</v>
      </c>
      <c r="G377" s="60">
        <v>3000.0</v>
      </c>
      <c r="H377" s="62">
        <v>18291.0</v>
      </c>
      <c r="I377" s="64">
        <v>5.4873E7</v>
      </c>
      <c r="J377" s="64">
        <v>4389840.0</v>
      </c>
      <c r="K377" s="64">
        <v>5.926284E7</v>
      </c>
      <c r="L377" s="65" t="s">
        <v>589</v>
      </c>
      <c r="M377" s="65" t="str">
        <f>VLOOKUP(L377,'Đơn đặt'!$C$3:$E$275,2,0)</f>
        <v>01-14-TS</v>
      </c>
      <c r="N377" s="65" t="str">
        <f>VLOOKUP(L377,'Đơn đặt'!$C$3:$E$275,3,0)</f>
        <v>11-2026/TS-AVP/ĐĐH</v>
      </c>
      <c r="O377" s="66">
        <v>46101.0</v>
      </c>
      <c r="P377" s="67" t="s">
        <v>792</v>
      </c>
      <c r="Q377" s="68">
        <v>3000.0</v>
      </c>
      <c r="R377" s="76">
        <v>14482.2</v>
      </c>
      <c r="S377" s="77">
        <v>4.34466E7</v>
      </c>
      <c r="T377" s="77">
        <v>3475728.0</v>
      </c>
      <c r="U377" s="60">
        <f t="shared" si="2"/>
        <v>46922328</v>
      </c>
      <c r="V377" s="70"/>
      <c r="W377" s="23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</row>
    <row r="378" ht="25.5" customHeight="1">
      <c r="A378" s="55">
        <v>46101.0</v>
      </c>
      <c r="B378" s="56" t="s">
        <v>794</v>
      </c>
      <c r="C378" s="56" t="s">
        <v>59</v>
      </c>
      <c r="D378" s="58" t="s">
        <v>105</v>
      </c>
      <c r="E378" s="58" t="s">
        <v>70</v>
      </c>
      <c r="F378" s="56" t="s">
        <v>71</v>
      </c>
      <c r="G378" s="60">
        <v>1330.0</v>
      </c>
      <c r="H378" s="62">
        <v>18291.0</v>
      </c>
      <c r="I378" s="64">
        <v>2.432703E7</v>
      </c>
      <c r="J378" s="64">
        <v>1946162.0</v>
      </c>
      <c r="K378" s="64">
        <v>2.6273192E7</v>
      </c>
      <c r="L378" s="65" t="s">
        <v>743</v>
      </c>
      <c r="M378" s="65" t="str">
        <f>VLOOKUP(L378,'Đơn đặt'!$C$3:$E$275,2,0)</f>
        <v>02-03-TS</v>
      </c>
      <c r="N378" s="65" t="str">
        <f>VLOOKUP(L378,'Đơn đặt'!$C$3:$E$275,3,0)</f>
        <v>21-2026/TS-AVP/ĐĐH</v>
      </c>
      <c r="O378" s="66">
        <v>46101.0</v>
      </c>
      <c r="P378" s="67" t="s">
        <v>795</v>
      </c>
      <c r="Q378" s="68">
        <v>1330.0</v>
      </c>
      <c r="R378" s="76">
        <v>16258.2</v>
      </c>
      <c r="S378" s="68">
        <v>2.1623406E7</v>
      </c>
      <c r="T378" s="77">
        <v>1729872.0</v>
      </c>
      <c r="U378" s="60">
        <f t="shared" si="2"/>
        <v>23353278</v>
      </c>
      <c r="V378" s="70"/>
      <c r="W378" s="23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</row>
    <row r="379" ht="25.5" customHeight="1">
      <c r="A379" s="55">
        <v>46102.0</v>
      </c>
      <c r="B379" s="56" t="s">
        <v>796</v>
      </c>
      <c r="C379" s="56" t="s">
        <v>59</v>
      </c>
      <c r="D379" s="58" t="s">
        <v>105</v>
      </c>
      <c r="E379" s="58" t="s">
        <v>70</v>
      </c>
      <c r="F379" s="56" t="s">
        <v>71</v>
      </c>
      <c r="G379" s="60">
        <v>3000.0</v>
      </c>
      <c r="H379" s="62">
        <v>18291.0</v>
      </c>
      <c r="I379" s="64">
        <v>5.4873E7</v>
      </c>
      <c r="J379" s="64">
        <v>4389840.0</v>
      </c>
      <c r="K379" s="64">
        <v>5.926284E7</v>
      </c>
      <c r="L379" s="65" t="s">
        <v>743</v>
      </c>
      <c r="M379" s="65" t="str">
        <f>VLOOKUP(L379,'Đơn đặt'!$C$3:$E$275,2,0)</f>
        <v>02-03-TS</v>
      </c>
      <c r="N379" s="65" t="str">
        <f>VLOOKUP(L379,'Đơn đặt'!$C$3:$E$275,3,0)</f>
        <v>21-2026/TS-AVP/ĐĐH</v>
      </c>
      <c r="O379" s="66">
        <v>46102.0</v>
      </c>
      <c r="P379" s="67" t="s">
        <v>797</v>
      </c>
      <c r="Q379" s="68">
        <v>3000.0</v>
      </c>
      <c r="R379" s="76">
        <v>16258.2</v>
      </c>
      <c r="S379" s="68">
        <v>4.87746E7</v>
      </c>
      <c r="T379" s="77">
        <v>3901968.0</v>
      </c>
      <c r="U379" s="60">
        <f t="shared" si="2"/>
        <v>52676568</v>
      </c>
      <c r="V379" s="70"/>
      <c r="W379" s="23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</row>
    <row r="380" ht="25.5" customHeight="1">
      <c r="A380" s="55">
        <v>46102.0</v>
      </c>
      <c r="B380" s="56" t="s">
        <v>798</v>
      </c>
      <c r="C380" s="56" t="s">
        <v>14</v>
      </c>
      <c r="D380" s="58" t="s">
        <v>13</v>
      </c>
      <c r="E380" s="58" t="s">
        <v>70</v>
      </c>
      <c r="F380" s="56" t="s">
        <v>71</v>
      </c>
      <c r="G380" s="60">
        <v>2780.0</v>
      </c>
      <c r="H380" s="62">
        <v>19404.0</v>
      </c>
      <c r="I380" s="64">
        <v>5.394312E7</v>
      </c>
      <c r="J380" s="64">
        <v>4315450.0</v>
      </c>
      <c r="K380" s="64">
        <v>5.825857E7</v>
      </c>
      <c r="L380" s="65" t="s">
        <v>564</v>
      </c>
      <c r="M380" s="65" t="str">
        <f>VLOOKUP(L380,'Đơn đặt'!$C$3:$E$275,2,0)</f>
        <v>01-14-TS</v>
      </c>
      <c r="N380" s="65" t="str">
        <f>VLOOKUP(L380,'Đơn đặt'!$C$3:$E$275,3,0)</f>
        <v>12-2026/TS-AVP/ĐĐH</v>
      </c>
      <c r="O380" s="66">
        <v>46102.0</v>
      </c>
      <c r="P380" s="67" t="s">
        <v>799</v>
      </c>
      <c r="Q380" s="68">
        <v>2780.0</v>
      </c>
      <c r="R380" s="76">
        <v>17776.8</v>
      </c>
      <c r="S380" s="77">
        <v>4.9419504E7</v>
      </c>
      <c r="T380" s="77">
        <v>3953560.0</v>
      </c>
      <c r="U380" s="60">
        <f t="shared" si="2"/>
        <v>53373064</v>
      </c>
      <c r="V380" s="70"/>
      <c r="W380" s="23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</row>
    <row r="381" ht="25.5" customHeight="1">
      <c r="A381" s="55">
        <v>46102.0</v>
      </c>
      <c r="B381" s="56" t="s">
        <v>798</v>
      </c>
      <c r="C381" s="56" t="s">
        <v>272</v>
      </c>
      <c r="D381" s="58" t="s">
        <v>273</v>
      </c>
      <c r="E381" s="58" t="s">
        <v>70</v>
      </c>
      <c r="F381" s="56" t="s">
        <v>71</v>
      </c>
      <c r="G381" s="60">
        <v>500.0</v>
      </c>
      <c r="H381" s="62">
        <v>17325.0</v>
      </c>
      <c r="I381" s="64">
        <v>8662500.0</v>
      </c>
      <c r="J381" s="64">
        <v>693000.0</v>
      </c>
      <c r="K381" s="64">
        <v>9355500.0</v>
      </c>
      <c r="L381" s="65" t="s">
        <v>800</v>
      </c>
      <c r="M381" s="65" t="str">
        <f>VLOOKUP(L381,'Đơn đặt'!$C$3:$E$275,2,0)</f>
        <v>01-04-TS</v>
      </c>
      <c r="N381" s="65" t="str">
        <f>VLOOKUP(L381,'Đơn đặt'!$C$3:$E$275,3,0)</f>
        <v>07-2026/TS-AVP/ĐĐH</v>
      </c>
      <c r="O381" s="66">
        <v>46102.0</v>
      </c>
      <c r="P381" s="67" t="s">
        <v>799</v>
      </c>
      <c r="Q381" s="68">
        <v>500.0</v>
      </c>
      <c r="R381" s="76">
        <v>16505.0</v>
      </c>
      <c r="S381" s="77">
        <v>8252500.0</v>
      </c>
      <c r="T381" s="77">
        <v>660200.0</v>
      </c>
      <c r="U381" s="60">
        <f t="shared" si="2"/>
        <v>8912700</v>
      </c>
      <c r="V381" s="70"/>
      <c r="W381" s="23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</row>
    <row r="382" ht="25.5" customHeight="1">
      <c r="A382" s="55">
        <v>46102.0</v>
      </c>
      <c r="B382" s="56" t="s">
        <v>801</v>
      </c>
      <c r="C382" s="56" t="s">
        <v>38</v>
      </c>
      <c r="D382" s="58" t="s">
        <v>36</v>
      </c>
      <c r="E382" s="58" t="s">
        <v>70</v>
      </c>
      <c r="F382" s="56" t="s">
        <v>71</v>
      </c>
      <c r="G382" s="60">
        <v>2000.0</v>
      </c>
      <c r="H382" s="62">
        <v>18953.0</v>
      </c>
      <c r="I382" s="64">
        <v>3.7906E7</v>
      </c>
      <c r="J382" s="64">
        <v>3032480.0</v>
      </c>
      <c r="K382" s="64">
        <v>4.093848E7</v>
      </c>
      <c r="L382" s="65" t="s">
        <v>656</v>
      </c>
      <c r="M382" s="65" t="str">
        <f>VLOOKUP(L382,'Đơn đặt'!$C$3:$E$275,2,0)</f>
        <v>02-03-TS</v>
      </c>
      <c r="N382" s="65" t="str">
        <f>VLOOKUP(L382,'Đơn đặt'!$C$3:$E$275,3,0)</f>
        <v>21-2026/TS-AVP/ĐĐH</v>
      </c>
      <c r="O382" s="66">
        <v>46102.0</v>
      </c>
      <c r="P382" s="67" t="s">
        <v>802</v>
      </c>
      <c r="Q382" s="68">
        <v>2000.0</v>
      </c>
      <c r="R382" s="76">
        <v>18246.6</v>
      </c>
      <c r="S382" s="77">
        <v>3.64932E7</v>
      </c>
      <c r="T382" s="77">
        <v>2919456.0</v>
      </c>
      <c r="U382" s="60">
        <f t="shared" si="2"/>
        <v>39412656</v>
      </c>
      <c r="V382" s="70"/>
      <c r="W382" s="23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</row>
    <row r="383" ht="25.5" customHeight="1">
      <c r="A383" s="55">
        <v>46102.0</v>
      </c>
      <c r="B383" s="56" t="s">
        <v>801</v>
      </c>
      <c r="C383" s="56" t="s">
        <v>119</v>
      </c>
      <c r="D383" s="58" t="s">
        <v>120</v>
      </c>
      <c r="E383" s="58" t="s">
        <v>70</v>
      </c>
      <c r="F383" s="56" t="s">
        <v>71</v>
      </c>
      <c r="G383" s="60">
        <v>3000.0</v>
      </c>
      <c r="H383" s="62">
        <v>19310.0</v>
      </c>
      <c r="I383" s="64">
        <v>5.793E7</v>
      </c>
      <c r="J383" s="64">
        <v>4634400.0</v>
      </c>
      <c r="K383" s="64">
        <v>6.25644E7</v>
      </c>
      <c r="L383" s="65" t="s">
        <v>228</v>
      </c>
      <c r="M383" s="65" t="str">
        <f>VLOOKUP(L383,'Đơn đặt'!$C$3:$E$275,2,0)</f>
        <v>01-02-TS</v>
      </c>
      <c r="N383" s="65" t="str">
        <f>VLOOKUP(L383,'Đơn đặt'!$C$3:$E$275,3,0)</f>
        <v>04-2026/TS-AVP/ĐĐH</v>
      </c>
      <c r="O383" s="66">
        <v>46102.0</v>
      </c>
      <c r="P383" s="93" t="s">
        <v>803</v>
      </c>
      <c r="Q383" s="90">
        <v>3000.0</v>
      </c>
      <c r="R383" s="76">
        <v>17438.0</v>
      </c>
      <c r="S383" s="64">
        <f>ROUND(Q383*R383,0)</f>
        <v>52314000</v>
      </c>
      <c r="T383" s="64">
        <f>ROUND(S383*0.08,0)</f>
        <v>4185120</v>
      </c>
      <c r="U383" s="60">
        <f t="shared" si="2"/>
        <v>56499120</v>
      </c>
      <c r="V383" s="70"/>
      <c r="W383" s="23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</row>
    <row r="384" ht="25.5" customHeight="1">
      <c r="A384" s="55">
        <v>46104.0</v>
      </c>
      <c r="B384" s="56" t="s">
        <v>631</v>
      </c>
      <c r="C384" s="56" t="s">
        <v>3</v>
      </c>
      <c r="D384" s="58" t="s">
        <v>164</v>
      </c>
      <c r="E384" s="58" t="s">
        <v>70</v>
      </c>
      <c r="F384" s="56" t="s">
        <v>112</v>
      </c>
      <c r="G384" s="60">
        <v>7000.0</v>
      </c>
      <c r="H384" s="62">
        <v>38000.0</v>
      </c>
      <c r="I384" s="64">
        <v>2.66E8</v>
      </c>
      <c r="J384" s="64">
        <v>2.128E7</v>
      </c>
      <c r="K384" s="64">
        <v>2.8728E8</v>
      </c>
      <c r="L384" s="65" t="s">
        <v>767</v>
      </c>
      <c r="M384" s="65" t="str">
        <f>VLOOKUP(L384,'Đơn đặt'!$C$3:$E$275,2,0)</f>
        <v>02-49/TS-LP</v>
      </c>
      <c r="N384" s="65" t="str">
        <f>VLOOKUP(L384,'Đơn đặt'!$C$3:$E$275,3,0)</f>
        <v>30-2026/TS-AVP/ĐĐH</v>
      </c>
      <c r="O384" s="66">
        <v>46104.0</v>
      </c>
      <c r="P384" s="67" t="s">
        <v>806</v>
      </c>
      <c r="Q384" s="68">
        <v>7000.0</v>
      </c>
      <c r="R384" s="76">
        <v>34800.0</v>
      </c>
      <c r="S384" s="77">
        <v>2.436E8</v>
      </c>
      <c r="T384" s="77">
        <v>1.9488E7</v>
      </c>
      <c r="U384" s="60">
        <f t="shared" si="2"/>
        <v>263088000</v>
      </c>
      <c r="V384" s="70"/>
      <c r="W384" s="23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</row>
    <row r="385" ht="25.5" customHeight="1">
      <c r="A385" s="55">
        <v>46104.0</v>
      </c>
      <c r="B385" s="56" t="s">
        <v>634</v>
      </c>
      <c r="C385" s="56" t="s">
        <v>59</v>
      </c>
      <c r="D385" s="58" t="s">
        <v>105</v>
      </c>
      <c r="E385" s="58" t="s">
        <v>70</v>
      </c>
      <c r="F385" s="56" t="s">
        <v>71</v>
      </c>
      <c r="G385" s="60">
        <v>3160.0</v>
      </c>
      <c r="H385" s="62">
        <v>18291.0</v>
      </c>
      <c r="I385" s="64">
        <v>5.779956E7</v>
      </c>
      <c r="J385" s="64">
        <v>4623965.0</v>
      </c>
      <c r="K385" s="64">
        <v>6.2423525E7</v>
      </c>
      <c r="L385" s="65" t="s">
        <v>743</v>
      </c>
      <c r="M385" s="65" t="str">
        <f>VLOOKUP(L385,'Đơn đặt'!$C$3:$E$275,2,0)</f>
        <v>02-03-TS</v>
      </c>
      <c r="N385" s="65" t="str">
        <f>VLOOKUP(L385,'Đơn đặt'!$C$3:$E$275,3,0)</f>
        <v>21-2026/TS-AVP/ĐĐH</v>
      </c>
      <c r="O385" s="66">
        <v>46104.0</v>
      </c>
      <c r="P385" s="67" t="s">
        <v>807</v>
      </c>
      <c r="Q385" s="68">
        <v>3160.0</v>
      </c>
      <c r="R385" s="76">
        <v>16258.2</v>
      </c>
      <c r="S385" s="68">
        <v>5.1375912E7</v>
      </c>
      <c r="T385" s="77">
        <v>4110073.0</v>
      </c>
      <c r="U385" s="60">
        <f t="shared" si="2"/>
        <v>55485985</v>
      </c>
      <c r="V385" s="70"/>
      <c r="W385" s="23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</row>
    <row r="386" ht="25.5" customHeight="1">
      <c r="A386" s="55">
        <v>46104.0</v>
      </c>
      <c r="B386" s="56" t="s">
        <v>634</v>
      </c>
      <c r="C386" s="56" t="s">
        <v>272</v>
      </c>
      <c r="D386" s="58" t="s">
        <v>273</v>
      </c>
      <c r="E386" s="58" t="s">
        <v>70</v>
      </c>
      <c r="F386" s="56" t="s">
        <v>71</v>
      </c>
      <c r="G386" s="60">
        <v>1085.0</v>
      </c>
      <c r="H386" s="62">
        <v>17325.0</v>
      </c>
      <c r="I386" s="64">
        <v>1.8797625E7</v>
      </c>
      <c r="J386" s="64">
        <v>1503810.0</v>
      </c>
      <c r="K386" s="64">
        <v>2.0301435E7</v>
      </c>
      <c r="L386" s="65" t="s">
        <v>800</v>
      </c>
      <c r="M386" s="65" t="str">
        <f>VLOOKUP(L386,'Đơn đặt'!$C$3:$E$275,2,0)</f>
        <v>01-04-TS</v>
      </c>
      <c r="N386" s="65" t="str">
        <f>VLOOKUP(L386,'Đơn đặt'!$C$3:$E$275,3,0)</f>
        <v>07-2026/TS-AVP/ĐĐH</v>
      </c>
      <c r="O386" s="66">
        <v>46104.0</v>
      </c>
      <c r="P386" s="67" t="s">
        <v>807</v>
      </c>
      <c r="Q386" s="68">
        <v>1085.0</v>
      </c>
      <c r="R386" s="76">
        <v>16505.0</v>
      </c>
      <c r="S386" s="77">
        <v>1.7907925E7</v>
      </c>
      <c r="T386" s="77">
        <v>1432634.0</v>
      </c>
      <c r="U386" s="60">
        <f t="shared" si="2"/>
        <v>19340559</v>
      </c>
      <c r="V386" s="70"/>
      <c r="W386" s="23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</row>
    <row r="387" ht="25.5" customHeight="1">
      <c r="A387" s="55">
        <v>46104.0</v>
      </c>
      <c r="B387" s="56" t="s">
        <v>637</v>
      </c>
      <c r="C387" s="56" t="s">
        <v>59</v>
      </c>
      <c r="D387" s="58" t="s">
        <v>105</v>
      </c>
      <c r="E387" s="58" t="s">
        <v>70</v>
      </c>
      <c r="F387" s="56" t="s">
        <v>71</v>
      </c>
      <c r="G387" s="60">
        <v>840.0</v>
      </c>
      <c r="H387" s="62">
        <v>18291.0</v>
      </c>
      <c r="I387" s="64">
        <v>1.536444E7</v>
      </c>
      <c r="J387" s="64">
        <v>1229155.0</v>
      </c>
      <c r="K387" s="64">
        <v>1.6593595E7</v>
      </c>
      <c r="L387" s="65" t="s">
        <v>743</v>
      </c>
      <c r="M387" s="65" t="str">
        <f>VLOOKUP(L387,'Đơn đặt'!$C$3:$E$275,2,0)</f>
        <v>02-03-TS</v>
      </c>
      <c r="N387" s="65" t="str">
        <f>VLOOKUP(L387,'Đơn đặt'!$C$3:$E$275,3,0)</f>
        <v>21-2026/TS-AVP/ĐĐH</v>
      </c>
      <c r="O387" s="66">
        <v>46104.0</v>
      </c>
      <c r="P387" s="67" t="s">
        <v>809</v>
      </c>
      <c r="Q387" s="68">
        <v>840.0</v>
      </c>
      <c r="R387" s="76">
        <v>16258.2</v>
      </c>
      <c r="S387" s="68">
        <v>1.3656888E7</v>
      </c>
      <c r="T387" s="77">
        <v>1092551.0</v>
      </c>
      <c r="U387" s="60">
        <f t="shared" si="2"/>
        <v>14749439</v>
      </c>
      <c r="V387" s="70"/>
      <c r="W387" s="23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</row>
    <row r="388" ht="25.5" customHeight="1">
      <c r="A388" s="55">
        <v>46104.0</v>
      </c>
      <c r="B388" s="56" t="s">
        <v>637</v>
      </c>
      <c r="C388" s="56" t="s">
        <v>244</v>
      </c>
      <c r="D388" s="58" t="s">
        <v>245</v>
      </c>
      <c r="E388" s="58" t="s">
        <v>70</v>
      </c>
      <c r="F388" s="56" t="s">
        <v>71</v>
      </c>
      <c r="G388" s="60">
        <v>900.0</v>
      </c>
      <c r="H388" s="62">
        <v>18953.0</v>
      </c>
      <c r="I388" s="64">
        <v>1.70577E7</v>
      </c>
      <c r="J388" s="64">
        <v>1364616.0</v>
      </c>
      <c r="K388" s="64">
        <v>1.8422316E7</v>
      </c>
      <c r="L388" s="65" t="s">
        <v>652</v>
      </c>
      <c r="M388" s="65" t="str">
        <f>VLOOKUP(L388,'Đơn đặt'!$C$3:$E$275,2,0)</f>
        <v>02-03-TS</v>
      </c>
      <c r="N388" s="65" t="str">
        <f>VLOOKUP(L388,'Đơn đặt'!$C$3:$E$275,3,0)</f>
        <v>21-2026/TS-AVP/ĐĐH</v>
      </c>
      <c r="O388" s="66">
        <v>46104.0</v>
      </c>
      <c r="P388" s="67" t="s">
        <v>809</v>
      </c>
      <c r="Q388" s="68">
        <v>900.0</v>
      </c>
      <c r="R388" s="76">
        <v>18246.6</v>
      </c>
      <c r="S388" s="77">
        <v>1.642194E7</v>
      </c>
      <c r="T388" s="77">
        <v>1313755.0</v>
      </c>
      <c r="U388" s="60">
        <f t="shared" si="2"/>
        <v>17735695</v>
      </c>
      <c r="V388" s="70"/>
      <c r="W388" s="23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</row>
    <row r="389" ht="25.5" customHeight="1">
      <c r="A389" s="55">
        <v>46105.0</v>
      </c>
      <c r="B389" s="56" t="s">
        <v>810</v>
      </c>
      <c r="C389" s="56" t="s">
        <v>48</v>
      </c>
      <c r="D389" s="58" t="s">
        <v>47</v>
      </c>
      <c r="E389" s="58" t="s">
        <v>70</v>
      </c>
      <c r="F389" s="56" t="s">
        <v>71</v>
      </c>
      <c r="G389" s="60">
        <v>5000.0</v>
      </c>
      <c r="H389" s="62">
        <v>18291.0</v>
      </c>
      <c r="I389" s="64">
        <v>9.1455E7</v>
      </c>
      <c r="J389" s="64">
        <v>7316400.0</v>
      </c>
      <c r="K389" s="64">
        <v>9.87714E7</v>
      </c>
      <c r="L389" s="65" t="s">
        <v>771</v>
      </c>
      <c r="M389" s="65" t="str">
        <f>VLOOKUP(L389,'Đơn đặt'!$C$3:$E$275,2,0)</f>
        <v>02-03-TS</v>
      </c>
      <c r="N389" s="65" t="str">
        <f>VLOOKUP(L389,'Đơn đặt'!$C$3:$E$275,3,0)</f>
        <v>22-2026/TS-AVP/ĐĐH</v>
      </c>
      <c r="O389" s="66">
        <v>46104.0</v>
      </c>
      <c r="P389" s="67" t="s">
        <v>813</v>
      </c>
      <c r="Q389" s="68">
        <v>5000.0</v>
      </c>
      <c r="R389" s="68">
        <v>14482.2</v>
      </c>
      <c r="S389" s="68">
        <v>7.2411E7</v>
      </c>
      <c r="T389" s="68">
        <v>5792880.0</v>
      </c>
      <c r="U389" s="60">
        <f t="shared" si="2"/>
        <v>78203880</v>
      </c>
      <c r="V389" s="70"/>
      <c r="W389" s="23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</row>
    <row r="390" ht="25.5" customHeight="1">
      <c r="A390" s="55">
        <v>46105.0</v>
      </c>
      <c r="B390" s="56" t="s">
        <v>810</v>
      </c>
      <c r="C390" s="56" t="s">
        <v>50</v>
      </c>
      <c r="D390" s="58" t="s">
        <v>49</v>
      </c>
      <c r="E390" s="58" t="s">
        <v>70</v>
      </c>
      <c r="F390" s="56" t="s">
        <v>71</v>
      </c>
      <c r="G390" s="60">
        <v>1000.0</v>
      </c>
      <c r="H390" s="62">
        <v>18291.0</v>
      </c>
      <c r="I390" s="64">
        <v>1.8291E7</v>
      </c>
      <c r="J390" s="64">
        <v>1463280.0</v>
      </c>
      <c r="K390" s="64">
        <v>1.975428E7</v>
      </c>
      <c r="L390" s="65" t="s">
        <v>773</v>
      </c>
      <c r="M390" s="65" t="str">
        <f>VLOOKUP(L390,'Đơn đặt'!$C$3:$E$275,2,0)</f>
        <v>02-03-TS</v>
      </c>
      <c r="N390" s="65" t="str">
        <f>VLOOKUP(L390,'Đơn đặt'!$C$3:$E$275,3,0)</f>
        <v>22-2026/TS-AVP/ĐĐH</v>
      </c>
      <c r="O390" s="66">
        <v>46104.0</v>
      </c>
      <c r="P390" s="67" t="s">
        <v>813</v>
      </c>
      <c r="Q390" s="68">
        <v>1000.0</v>
      </c>
      <c r="R390" s="76">
        <v>14482.2</v>
      </c>
      <c r="S390" s="77">
        <v>1.44822E7</v>
      </c>
      <c r="T390" s="77">
        <v>1158576.0</v>
      </c>
      <c r="U390" s="60">
        <f t="shared" si="2"/>
        <v>15640776</v>
      </c>
      <c r="V390" s="70"/>
      <c r="W390" s="23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</row>
    <row r="391" ht="25.5" customHeight="1">
      <c r="A391" s="55">
        <v>46105.0</v>
      </c>
      <c r="B391" s="56" t="s">
        <v>814</v>
      </c>
      <c r="C391" s="56" t="s">
        <v>119</v>
      </c>
      <c r="D391" s="58" t="s">
        <v>120</v>
      </c>
      <c r="E391" s="58" t="s">
        <v>70</v>
      </c>
      <c r="F391" s="56" t="s">
        <v>71</v>
      </c>
      <c r="G391" s="60">
        <v>3000.0</v>
      </c>
      <c r="H391" s="62">
        <v>19310.0</v>
      </c>
      <c r="I391" s="64">
        <v>5.793E7</v>
      </c>
      <c r="J391" s="64">
        <v>4634400.0</v>
      </c>
      <c r="K391" s="64">
        <v>6.25644E7</v>
      </c>
      <c r="L391" s="65" t="s">
        <v>228</v>
      </c>
      <c r="M391" s="65" t="str">
        <f>VLOOKUP(L391,'Đơn đặt'!$C$3:$E$275,2,0)</f>
        <v>01-02-TS</v>
      </c>
      <c r="N391" s="65" t="str">
        <f>VLOOKUP(L391,'Đơn đặt'!$C$3:$E$275,3,0)</f>
        <v>04-2026/TS-AVP/ĐĐH</v>
      </c>
      <c r="O391" s="66">
        <v>46105.0</v>
      </c>
      <c r="P391" s="67" t="s">
        <v>815</v>
      </c>
      <c r="Q391" s="68">
        <v>3000.0</v>
      </c>
      <c r="R391" s="76">
        <v>17438.0</v>
      </c>
      <c r="S391" s="77">
        <v>5.2314E7</v>
      </c>
      <c r="T391" s="77">
        <v>4185120.0</v>
      </c>
      <c r="U391" s="60">
        <f t="shared" si="2"/>
        <v>56499120</v>
      </c>
      <c r="V391" s="70"/>
      <c r="W391" s="23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</row>
    <row r="392" ht="25.5" customHeight="1">
      <c r="A392" s="55">
        <v>46105.0</v>
      </c>
      <c r="B392" s="56" t="s">
        <v>814</v>
      </c>
      <c r="C392" s="56" t="s">
        <v>222</v>
      </c>
      <c r="D392" s="58" t="s">
        <v>223</v>
      </c>
      <c r="E392" s="58" t="s">
        <v>70</v>
      </c>
      <c r="F392" s="56" t="s">
        <v>71</v>
      </c>
      <c r="G392" s="60">
        <v>2000.0</v>
      </c>
      <c r="H392" s="62">
        <v>19310.0</v>
      </c>
      <c r="I392" s="64">
        <v>3.862E7</v>
      </c>
      <c r="J392" s="64">
        <v>3089600.0</v>
      </c>
      <c r="K392" s="64">
        <v>4.17096E7</v>
      </c>
      <c r="L392" s="65" t="s">
        <v>680</v>
      </c>
      <c r="M392" s="65" t="str">
        <f>VLOOKUP(L392,'Đơn đặt'!$C$3:$E$275,2,0)</f>
        <v>01-04-TS</v>
      </c>
      <c r="N392" s="65" t="str">
        <f>VLOOKUP(L392,'Đơn đặt'!$C$3:$E$275,3,0)</f>
        <v>07-2026/TS-AVP/ĐĐH</v>
      </c>
      <c r="O392" s="66">
        <v>46105.0</v>
      </c>
      <c r="P392" s="67" t="s">
        <v>815</v>
      </c>
      <c r="Q392" s="68">
        <v>2000.0</v>
      </c>
      <c r="R392" s="76">
        <v>17438.0</v>
      </c>
      <c r="S392" s="77">
        <v>3.4876E7</v>
      </c>
      <c r="T392" s="77">
        <v>2790080.0</v>
      </c>
      <c r="U392" s="60">
        <f t="shared" si="2"/>
        <v>37666080</v>
      </c>
      <c r="V392" s="70"/>
      <c r="W392" s="23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</row>
    <row r="393" ht="25.5" customHeight="1">
      <c r="A393" s="55">
        <v>46105.0</v>
      </c>
      <c r="B393" s="56" t="s">
        <v>814</v>
      </c>
      <c r="C393" s="56" t="s">
        <v>492</v>
      </c>
      <c r="D393" s="58" t="s">
        <v>493</v>
      </c>
      <c r="E393" s="58" t="s">
        <v>70</v>
      </c>
      <c r="F393" s="56" t="s">
        <v>819</v>
      </c>
      <c r="G393" s="60">
        <v>60.0</v>
      </c>
      <c r="H393" s="62">
        <v>304290.0</v>
      </c>
      <c r="I393" s="64">
        <v>1.82574E7</v>
      </c>
      <c r="J393" s="64">
        <v>1460592.0</v>
      </c>
      <c r="K393" s="64">
        <v>1.9717992E7</v>
      </c>
      <c r="L393" s="65" t="s">
        <v>820</v>
      </c>
      <c r="M393" s="65" t="str">
        <f>VLOOKUP(L393,'Đơn đặt'!$C$3:$E$275,2,0)</f>
        <v>03-03-TS</v>
      </c>
      <c r="N393" s="65" t="str">
        <f>VLOOKUP(L393,'Đơn đặt'!$C$3:$E$275,3,0)</f>
        <v>33-2026/TS-AVP/ĐĐH</v>
      </c>
      <c r="O393" s="66">
        <v>46105.0</v>
      </c>
      <c r="P393" s="67" t="s">
        <v>815</v>
      </c>
      <c r="Q393" s="68">
        <v>60.0</v>
      </c>
      <c r="R393" s="76">
        <v>279258.0</v>
      </c>
      <c r="S393" s="77">
        <v>1.675548E7</v>
      </c>
      <c r="T393" s="77">
        <v>1340438.0</v>
      </c>
      <c r="U393" s="60">
        <f t="shared" si="2"/>
        <v>18095918</v>
      </c>
      <c r="V393" s="70"/>
      <c r="W393" s="23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</row>
    <row r="394" ht="25.5" customHeight="1">
      <c r="A394" s="55">
        <v>46105.0</v>
      </c>
      <c r="B394" s="56" t="s">
        <v>821</v>
      </c>
      <c r="C394" s="56" t="s">
        <v>492</v>
      </c>
      <c r="D394" s="58" t="s">
        <v>493</v>
      </c>
      <c r="E394" s="58" t="s">
        <v>70</v>
      </c>
      <c r="F394" s="56" t="s">
        <v>819</v>
      </c>
      <c r="G394" s="60">
        <v>440.0</v>
      </c>
      <c r="H394" s="62">
        <v>304290.0</v>
      </c>
      <c r="I394" s="64">
        <v>1.338876E8</v>
      </c>
      <c r="J394" s="64">
        <v>1.0711008E7</v>
      </c>
      <c r="K394" s="64">
        <v>1.44598608E8</v>
      </c>
      <c r="L394" s="65" t="s">
        <v>820</v>
      </c>
      <c r="M394" s="65" t="str">
        <f>VLOOKUP(L394,'Đơn đặt'!$C$3:$E$275,2,0)</f>
        <v>03-03-TS</v>
      </c>
      <c r="N394" s="65" t="str">
        <f>VLOOKUP(L394,'Đơn đặt'!$C$3:$E$275,3,0)</f>
        <v>33-2026/TS-AVP/ĐĐH</v>
      </c>
      <c r="O394" s="66">
        <v>46105.0</v>
      </c>
      <c r="P394" s="67" t="s">
        <v>822</v>
      </c>
      <c r="Q394" s="68">
        <v>440.0</v>
      </c>
      <c r="R394" s="76">
        <v>279258.0</v>
      </c>
      <c r="S394" s="77">
        <v>1.2287352E8</v>
      </c>
      <c r="T394" s="77">
        <v>9829882.0</v>
      </c>
      <c r="U394" s="60">
        <f t="shared" si="2"/>
        <v>132703402</v>
      </c>
      <c r="V394" s="70"/>
      <c r="W394" s="23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</row>
    <row r="395" ht="25.5" customHeight="1">
      <c r="A395" s="55">
        <v>46106.0</v>
      </c>
      <c r="B395" s="56" t="s">
        <v>823</v>
      </c>
      <c r="C395" s="56" t="s">
        <v>492</v>
      </c>
      <c r="D395" s="58" t="s">
        <v>493</v>
      </c>
      <c r="E395" s="58" t="s">
        <v>70</v>
      </c>
      <c r="F395" s="56" t="s">
        <v>819</v>
      </c>
      <c r="G395" s="60">
        <v>420.0</v>
      </c>
      <c r="H395" s="62">
        <v>304290.0</v>
      </c>
      <c r="I395" s="64">
        <v>1.278018E8</v>
      </c>
      <c r="J395" s="64">
        <v>1.0224144E7</v>
      </c>
      <c r="K395" s="64">
        <v>1.38025944E8</v>
      </c>
      <c r="L395" s="65" t="s">
        <v>820</v>
      </c>
      <c r="M395" s="65" t="str">
        <f>VLOOKUP(L395,'Đơn đặt'!$C$3:$E$275,2,0)</f>
        <v>03-03-TS</v>
      </c>
      <c r="N395" s="65" t="str">
        <f>VLOOKUP(L395,'Đơn đặt'!$C$3:$E$275,3,0)</f>
        <v>33-2026/TS-AVP/ĐĐH</v>
      </c>
      <c r="O395" s="66">
        <v>46106.0</v>
      </c>
      <c r="P395" s="67" t="s">
        <v>824</v>
      </c>
      <c r="Q395" s="68">
        <v>420.0</v>
      </c>
      <c r="R395" s="76">
        <v>279258.0</v>
      </c>
      <c r="S395" s="77">
        <v>1.1728836E8</v>
      </c>
      <c r="T395" s="77">
        <v>9383069.0</v>
      </c>
      <c r="U395" s="60">
        <f t="shared" si="2"/>
        <v>126671429</v>
      </c>
      <c r="V395" s="70"/>
      <c r="W395" s="23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</row>
    <row r="396" ht="25.5" customHeight="1">
      <c r="A396" s="55">
        <v>46106.0</v>
      </c>
      <c r="B396" s="56" t="s">
        <v>825</v>
      </c>
      <c r="C396" s="56" t="s">
        <v>48</v>
      </c>
      <c r="D396" s="58" t="s">
        <v>47</v>
      </c>
      <c r="E396" s="58" t="s">
        <v>70</v>
      </c>
      <c r="F396" s="56" t="s">
        <v>71</v>
      </c>
      <c r="G396" s="60">
        <v>6000.0</v>
      </c>
      <c r="H396" s="62">
        <v>18291.0</v>
      </c>
      <c r="I396" s="64">
        <v>1.09746E8</v>
      </c>
      <c r="J396" s="64">
        <v>8779680.0</v>
      </c>
      <c r="K396" s="64">
        <v>1.1852568E8</v>
      </c>
      <c r="L396" s="65" t="s">
        <v>771</v>
      </c>
      <c r="M396" s="65" t="str">
        <f>VLOOKUP(L396,'Đơn đặt'!$C$3:$E$275,2,0)</f>
        <v>02-03-TS</v>
      </c>
      <c r="N396" s="65" t="str">
        <f>VLOOKUP(L396,'Đơn đặt'!$C$3:$E$275,3,0)</f>
        <v>22-2026/TS-AVP/ĐĐH</v>
      </c>
      <c r="O396" s="66">
        <v>46106.0</v>
      </c>
      <c r="P396" s="67" t="s">
        <v>826</v>
      </c>
      <c r="Q396" s="68">
        <v>6000.0</v>
      </c>
      <c r="R396" s="68">
        <v>14482.2</v>
      </c>
      <c r="S396" s="68">
        <v>8.68932E7</v>
      </c>
      <c r="T396" s="68">
        <v>6951456.0</v>
      </c>
      <c r="U396" s="60">
        <f t="shared" si="2"/>
        <v>93844656</v>
      </c>
      <c r="V396" s="70"/>
      <c r="W396" s="23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</row>
    <row r="397" ht="25.5" customHeight="1">
      <c r="A397" s="55">
        <v>46106.0</v>
      </c>
      <c r="B397" s="56" t="s">
        <v>825</v>
      </c>
      <c r="C397" s="56" t="s">
        <v>50</v>
      </c>
      <c r="D397" s="58" t="s">
        <v>49</v>
      </c>
      <c r="E397" s="58" t="s">
        <v>70</v>
      </c>
      <c r="F397" s="56" t="s">
        <v>71</v>
      </c>
      <c r="G397" s="60">
        <v>2000.0</v>
      </c>
      <c r="H397" s="62">
        <v>18291.0</v>
      </c>
      <c r="I397" s="64">
        <v>3.6582E7</v>
      </c>
      <c r="J397" s="64">
        <v>2926560.0</v>
      </c>
      <c r="K397" s="64">
        <v>3.950856E7</v>
      </c>
      <c r="L397" s="65" t="s">
        <v>773</v>
      </c>
      <c r="M397" s="65" t="str">
        <f>VLOOKUP(L397,'Đơn đặt'!$C$3:$E$275,2,0)</f>
        <v>02-03-TS</v>
      </c>
      <c r="N397" s="65" t="str">
        <f>VLOOKUP(L397,'Đơn đặt'!$C$3:$E$275,3,0)</f>
        <v>22-2026/TS-AVP/ĐĐH</v>
      </c>
      <c r="O397" s="66">
        <v>46106.0</v>
      </c>
      <c r="P397" s="67" t="s">
        <v>826</v>
      </c>
      <c r="Q397" s="68">
        <v>2000.0</v>
      </c>
      <c r="R397" s="76">
        <v>14482.2</v>
      </c>
      <c r="S397" s="77">
        <v>2.89644E7</v>
      </c>
      <c r="T397" s="77">
        <v>2317152.0</v>
      </c>
      <c r="U397" s="60">
        <f t="shared" si="2"/>
        <v>31281552</v>
      </c>
      <c r="V397" s="70"/>
      <c r="W397" s="23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</row>
    <row r="398" ht="25.5" customHeight="1">
      <c r="A398" s="55">
        <v>46106.0</v>
      </c>
      <c r="B398" s="56" t="s">
        <v>827</v>
      </c>
      <c r="C398" s="56" t="s">
        <v>492</v>
      </c>
      <c r="D398" s="58" t="s">
        <v>493</v>
      </c>
      <c r="E398" s="58" t="s">
        <v>70</v>
      </c>
      <c r="F398" s="56" t="s">
        <v>819</v>
      </c>
      <c r="G398" s="60">
        <v>150.0</v>
      </c>
      <c r="H398" s="62">
        <v>304290.0</v>
      </c>
      <c r="I398" s="64">
        <v>4.56435E7</v>
      </c>
      <c r="J398" s="64">
        <v>3651480.0</v>
      </c>
      <c r="K398" s="64">
        <v>4.929498E7</v>
      </c>
      <c r="L398" s="65" t="s">
        <v>820</v>
      </c>
      <c r="M398" s="65" t="str">
        <f>VLOOKUP(L398,'Đơn đặt'!$C$3:$E$275,2,0)</f>
        <v>03-03-TS</v>
      </c>
      <c r="N398" s="65" t="str">
        <f>VLOOKUP(L398,'Đơn đặt'!$C$3:$E$275,3,0)</f>
        <v>33-2026/TS-AVP/ĐĐH</v>
      </c>
      <c r="O398" s="66">
        <v>46106.0</v>
      </c>
      <c r="P398" s="67" t="s">
        <v>828</v>
      </c>
      <c r="Q398" s="68">
        <v>150.0</v>
      </c>
      <c r="R398" s="76">
        <v>279258.0</v>
      </c>
      <c r="S398" s="77">
        <v>4.18887E7</v>
      </c>
      <c r="T398" s="77">
        <v>3351096.0</v>
      </c>
      <c r="U398" s="60">
        <f t="shared" si="2"/>
        <v>45239796</v>
      </c>
      <c r="V398" s="70"/>
      <c r="W398" s="23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</row>
    <row r="399" ht="25.5" customHeight="1">
      <c r="A399" s="55">
        <v>46106.0</v>
      </c>
      <c r="B399" s="56" t="s">
        <v>827</v>
      </c>
      <c r="C399" s="56" t="s">
        <v>14</v>
      </c>
      <c r="D399" s="58" t="s">
        <v>13</v>
      </c>
      <c r="E399" s="58" t="s">
        <v>70</v>
      </c>
      <c r="F399" s="56" t="s">
        <v>71</v>
      </c>
      <c r="G399" s="60">
        <v>2000.0</v>
      </c>
      <c r="H399" s="62">
        <v>19404.0</v>
      </c>
      <c r="I399" s="64">
        <v>3.8808E7</v>
      </c>
      <c r="J399" s="64">
        <v>3104640.0</v>
      </c>
      <c r="K399" s="64">
        <v>4.191264E7</v>
      </c>
      <c r="L399" s="65" t="s">
        <v>564</v>
      </c>
      <c r="M399" s="65" t="str">
        <f>VLOOKUP(L399,'Đơn đặt'!$C$3:$E$275,2,0)</f>
        <v>01-14-TS</v>
      </c>
      <c r="N399" s="65" t="str">
        <f>VLOOKUP(L399,'Đơn đặt'!$C$3:$E$275,3,0)</f>
        <v>12-2026/TS-AVP/ĐĐH</v>
      </c>
      <c r="O399" s="66">
        <v>46106.0</v>
      </c>
      <c r="P399" s="67" t="s">
        <v>828</v>
      </c>
      <c r="Q399" s="68">
        <v>2000.0</v>
      </c>
      <c r="R399" s="76">
        <v>17776.8</v>
      </c>
      <c r="S399" s="77">
        <v>3.55536E7</v>
      </c>
      <c r="T399" s="77">
        <v>2844288.0</v>
      </c>
      <c r="U399" s="60">
        <f t="shared" si="2"/>
        <v>38397888</v>
      </c>
      <c r="V399" s="70"/>
      <c r="W399" s="23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</row>
    <row r="400" ht="25.5" customHeight="1">
      <c r="A400" s="55">
        <v>46107.0</v>
      </c>
      <c r="B400" s="56" t="s">
        <v>829</v>
      </c>
      <c r="C400" s="56" t="s">
        <v>492</v>
      </c>
      <c r="D400" s="58" t="s">
        <v>493</v>
      </c>
      <c r="E400" s="58" t="s">
        <v>70</v>
      </c>
      <c r="F400" s="56" t="s">
        <v>819</v>
      </c>
      <c r="G400" s="60">
        <v>430.0</v>
      </c>
      <c r="H400" s="62">
        <v>304290.0</v>
      </c>
      <c r="I400" s="64">
        <v>1.308447E8</v>
      </c>
      <c r="J400" s="64">
        <v>1.0467576E7</v>
      </c>
      <c r="K400" s="64">
        <v>1.41312276E8</v>
      </c>
      <c r="L400" s="65" t="s">
        <v>820</v>
      </c>
      <c r="M400" s="65" t="str">
        <f>VLOOKUP(L400,'Đơn đặt'!$C$3:$E$275,2,0)</f>
        <v>03-03-TS</v>
      </c>
      <c r="N400" s="65" t="str">
        <f>VLOOKUP(L400,'Đơn đặt'!$C$3:$E$275,3,0)</f>
        <v>33-2026/TS-AVP/ĐĐH</v>
      </c>
      <c r="O400" s="66">
        <v>46107.0</v>
      </c>
      <c r="P400" s="67" t="s">
        <v>830</v>
      </c>
      <c r="Q400" s="68">
        <v>430.0</v>
      </c>
      <c r="R400" s="76">
        <v>279258.0</v>
      </c>
      <c r="S400" s="77">
        <v>1.2008094E8</v>
      </c>
      <c r="T400" s="77">
        <v>9606475.0</v>
      </c>
      <c r="U400" s="60">
        <f t="shared" si="2"/>
        <v>129687415</v>
      </c>
      <c r="V400" s="70"/>
      <c r="W400" s="23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</row>
    <row r="401" ht="25.5" customHeight="1">
      <c r="A401" s="55">
        <v>46107.0</v>
      </c>
      <c r="B401" s="56" t="s">
        <v>831</v>
      </c>
      <c r="C401" s="56" t="s">
        <v>119</v>
      </c>
      <c r="D401" s="58" t="s">
        <v>120</v>
      </c>
      <c r="E401" s="58" t="s">
        <v>70</v>
      </c>
      <c r="F401" s="56" t="s">
        <v>71</v>
      </c>
      <c r="G401" s="60">
        <v>2000.0</v>
      </c>
      <c r="H401" s="62">
        <v>19310.0</v>
      </c>
      <c r="I401" s="64">
        <v>3.862E7</v>
      </c>
      <c r="J401" s="64">
        <v>3089600.0</v>
      </c>
      <c r="K401" s="64">
        <v>4.17096E7</v>
      </c>
      <c r="L401" s="65" t="s">
        <v>228</v>
      </c>
      <c r="M401" s="65" t="str">
        <f>VLOOKUP(L401,'Đơn đặt'!$C$3:$E$275,2,0)</f>
        <v>01-02-TS</v>
      </c>
      <c r="N401" s="65" t="str">
        <f>VLOOKUP(L401,'Đơn đặt'!$C$3:$E$275,3,0)</f>
        <v>04-2026/TS-AVP/ĐĐH</v>
      </c>
      <c r="O401" s="66">
        <v>46107.0</v>
      </c>
      <c r="P401" s="67" t="s">
        <v>832</v>
      </c>
      <c r="Q401" s="68">
        <v>2000.0</v>
      </c>
      <c r="R401" s="76">
        <v>17438.0</v>
      </c>
      <c r="S401" s="77">
        <v>3.4876E7</v>
      </c>
      <c r="T401" s="77">
        <v>2790080.0</v>
      </c>
      <c r="U401" s="60">
        <f t="shared" si="2"/>
        <v>37666080</v>
      </c>
      <c r="V401" s="70"/>
      <c r="W401" s="23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</row>
    <row r="402" ht="25.5" customHeight="1">
      <c r="A402" s="55">
        <v>46108.0</v>
      </c>
      <c r="B402" s="56" t="s">
        <v>833</v>
      </c>
      <c r="C402" s="56" t="s">
        <v>48</v>
      </c>
      <c r="D402" s="58" t="s">
        <v>47</v>
      </c>
      <c r="E402" s="58" t="s">
        <v>70</v>
      </c>
      <c r="F402" s="56" t="s">
        <v>71</v>
      </c>
      <c r="G402" s="60">
        <v>8000.0</v>
      </c>
      <c r="H402" s="62">
        <v>18291.0</v>
      </c>
      <c r="I402" s="64">
        <v>1.46328E8</v>
      </c>
      <c r="J402" s="64">
        <v>1.170624E7</v>
      </c>
      <c r="K402" s="64">
        <v>1.5803424E8</v>
      </c>
      <c r="L402" s="65" t="s">
        <v>771</v>
      </c>
      <c r="M402" s="65" t="str">
        <f>VLOOKUP(L402,'Đơn đặt'!$C$3:$E$275,2,0)</f>
        <v>02-03-TS</v>
      </c>
      <c r="N402" s="65" t="str">
        <f>VLOOKUP(L402,'Đơn đặt'!$C$3:$E$275,3,0)</f>
        <v>22-2026/TS-AVP/ĐĐH</v>
      </c>
      <c r="O402" s="66">
        <v>46108.0</v>
      </c>
      <c r="P402" s="93" t="s">
        <v>834</v>
      </c>
      <c r="Q402" s="68">
        <v>8000.0</v>
      </c>
      <c r="R402" s="68">
        <v>14482.2</v>
      </c>
      <c r="S402" s="60">
        <f>ROUND(Q402*R402,0)</f>
        <v>115857600</v>
      </c>
      <c r="T402" s="60">
        <f>ROUND(S402*0.08,0)</f>
        <v>9268608</v>
      </c>
      <c r="U402" s="60">
        <f t="shared" si="2"/>
        <v>125126208</v>
      </c>
      <c r="V402" s="70"/>
      <c r="W402" s="23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</row>
    <row r="403" ht="25.5" customHeight="1">
      <c r="A403" s="55">
        <v>46108.0</v>
      </c>
      <c r="B403" s="56" t="s">
        <v>833</v>
      </c>
      <c r="C403" s="56" t="s">
        <v>50</v>
      </c>
      <c r="D403" s="58" t="s">
        <v>49</v>
      </c>
      <c r="E403" s="58" t="s">
        <v>70</v>
      </c>
      <c r="F403" s="56" t="s">
        <v>71</v>
      </c>
      <c r="G403" s="60">
        <v>2000.0</v>
      </c>
      <c r="H403" s="62">
        <v>18291.0</v>
      </c>
      <c r="I403" s="64">
        <v>3.6582E7</v>
      </c>
      <c r="J403" s="64">
        <v>2926560.0</v>
      </c>
      <c r="K403" s="64">
        <v>3.950856E7</v>
      </c>
      <c r="L403" s="65" t="s">
        <v>773</v>
      </c>
      <c r="M403" s="65" t="str">
        <f>VLOOKUP(L403,'Đơn đặt'!$C$3:$E$275,2,0)</f>
        <v>02-03-TS</v>
      </c>
      <c r="N403" s="65" t="str">
        <f>VLOOKUP(L403,'Đơn đặt'!$C$3:$E$275,3,0)</f>
        <v>22-2026/TS-AVP/ĐĐH</v>
      </c>
      <c r="O403" s="66">
        <v>46108.0</v>
      </c>
      <c r="P403" s="67" t="s">
        <v>836</v>
      </c>
      <c r="Q403" s="68">
        <v>2000.0</v>
      </c>
      <c r="R403" s="76">
        <v>14482.2</v>
      </c>
      <c r="S403" s="77">
        <v>2.89644E7</v>
      </c>
      <c r="T403" s="77">
        <v>2317152.0</v>
      </c>
      <c r="U403" s="60">
        <f t="shared" si="2"/>
        <v>31281552</v>
      </c>
      <c r="V403" s="70"/>
      <c r="W403" s="23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</row>
    <row r="404" ht="25.5" customHeight="1">
      <c r="A404" s="55">
        <v>46108.0</v>
      </c>
      <c r="B404" s="56" t="s">
        <v>837</v>
      </c>
      <c r="C404" s="56" t="s">
        <v>59</v>
      </c>
      <c r="D404" s="58" t="s">
        <v>105</v>
      </c>
      <c r="E404" s="58" t="s">
        <v>70</v>
      </c>
      <c r="F404" s="56" t="s">
        <v>71</v>
      </c>
      <c r="G404" s="60">
        <v>2800.0</v>
      </c>
      <c r="H404" s="62">
        <v>18291.0</v>
      </c>
      <c r="I404" s="64">
        <v>5.12148E7</v>
      </c>
      <c r="J404" s="64">
        <v>4097184.0</v>
      </c>
      <c r="K404" s="64">
        <v>5.5311984E7</v>
      </c>
      <c r="L404" s="65" t="s">
        <v>743</v>
      </c>
      <c r="M404" s="65" t="str">
        <f>VLOOKUP(L404,'Đơn đặt'!$C$3:$E$275,2,0)</f>
        <v>02-03-TS</v>
      </c>
      <c r="N404" s="65" t="str">
        <f>VLOOKUP(L404,'Đơn đặt'!$C$3:$E$275,3,0)</f>
        <v>21-2026/TS-AVP/ĐĐH</v>
      </c>
      <c r="O404" s="66">
        <v>46108.0</v>
      </c>
      <c r="P404" s="67" t="s">
        <v>839</v>
      </c>
      <c r="Q404" s="68">
        <v>2800.0</v>
      </c>
      <c r="R404" s="76">
        <v>16258.2</v>
      </c>
      <c r="S404" s="68">
        <v>4.552296E7</v>
      </c>
      <c r="T404" s="77">
        <v>3641837.0</v>
      </c>
      <c r="U404" s="60">
        <f t="shared" si="2"/>
        <v>49164797</v>
      </c>
      <c r="V404" s="70"/>
      <c r="W404" s="23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</row>
    <row r="405" ht="25.5" customHeight="1">
      <c r="A405" s="55">
        <v>46108.0</v>
      </c>
      <c r="B405" s="56" t="s">
        <v>837</v>
      </c>
      <c r="C405" s="56" t="s">
        <v>14</v>
      </c>
      <c r="D405" s="58" t="s">
        <v>13</v>
      </c>
      <c r="E405" s="58" t="s">
        <v>70</v>
      </c>
      <c r="F405" s="56" t="s">
        <v>71</v>
      </c>
      <c r="G405" s="60">
        <v>890.0</v>
      </c>
      <c r="H405" s="62">
        <v>19404.0</v>
      </c>
      <c r="I405" s="64">
        <v>1.726956E7</v>
      </c>
      <c r="J405" s="64">
        <v>1381565.0</v>
      </c>
      <c r="K405" s="64">
        <v>1.8651125E7</v>
      </c>
      <c r="L405" s="65" t="s">
        <v>840</v>
      </c>
      <c r="M405" s="65" t="str">
        <f>VLOOKUP(L405,'Đơn đặt'!$C$3:$E$275,2,0)</f>
        <v>02-03-TS</v>
      </c>
      <c r="N405" s="65" t="str">
        <f>VLOOKUP(L405,'Đơn đặt'!$C$3:$E$275,3,0)</f>
        <v>21-2026/TS-AVP/ĐĐH</v>
      </c>
      <c r="O405" s="66">
        <v>46108.0</v>
      </c>
      <c r="P405" s="67" t="s">
        <v>839</v>
      </c>
      <c r="Q405" s="68">
        <v>890.0</v>
      </c>
      <c r="R405" s="76">
        <v>17776.8</v>
      </c>
      <c r="S405" s="77">
        <v>1.5821352E7</v>
      </c>
      <c r="T405" s="77">
        <v>1265708.0</v>
      </c>
      <c r="U405" s="60">
        <f t="shared" si="2"/>
        <v>17087060</v>
      </c>
      <c r="V405" s="70"/>
      <c r="W405" s="23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</row>
    <row r="406" ht="25.5" customHeight="1">
      <c r="A406" s="55">
        <v>46108.0</v>
      </c>
      <c r="B406" s="56" t="s">
        <v>641</v>
      </c>
      <c r="C406" s="56" t="s">
        <v>492</v>
      </c>
      <c r="D406" s="58" t="s">
        <v>493</v>
      </c>
      <c r="E406" s="58" t="s">
        <v>70</v>
      </c>
      <c r="F406" s="56" t="s">
        <v>819</v>
      </c>
      <c r="G406" s="60">
        <v>311.0</v>
      </c>
      <c r="H406" s="62">
        <v>304290.0</v>
      </c>
      <c r="I406" s="64">
        <v>9.463419E7</v>
      </c>
      <c r="J406" s="64">
        <v>7570735.0</v>
      </c>
      <c r="K406" s="64">
        <v>1.02204925E8</v>
      </c>
      <c r="L406" s="65" t="s">
        <v>820</v>
      </c>
      <c r="M406" s="65" t="str">
        <f>VLOOKUP(L406,'Đơn đặt'!$C$3:$E$275,2,0)</f>
        <v>03-03-TS</v>
      </c>
      <c r="N406" s="65" t="str">
        <f>VLOOKUP(L406,'Đơn đặt'!$C$3:$E$275,3,0)</f>
        <v>33-2026/TS-AVP/ĐĐH</v>
      </c>
      <c r="O406" s="66">
        <v>46108.0</v>
      </c>
      <c r="P406" s="67" t="s">
        <v>841</v>
      </c>
      <c r="Q406" s="68">
        <v>311.0</v>
      </c>
      <c r="R406" s="76">
        <v>279258.0</v>
      </c>
      <c r="S406" s="77">
        <v>8.6849238E7</v>
      </c>
      <c r="T406" s="77">
        <v>6947939.0</v>
      </c>
      <c r="U406" s="60">
        <f t="shared" si="2"/>
        <v>93797177</v>
      </c>
      <c r="V406" s="70"/>
      <c r="W406" s="23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</row>
    <row r="407" ht="25.5" customHeight="1">
      <c r="A407" s="55">
        <v>46108.0</v>
      </c>
      <c r="B407" s="56" t="s">
        <v>641</v>
      </c>
      <c r="C407" s="56" t="s">
        <v>222</v>
      </c>
      <c r="D407" s="58" t="s">
        <v>223</v>
      </c>
      <c r="E407" s="58" t="s">
        <v>70</v>
      </c>
      <c r="F407" s="56" t="s">
        <v>71</v>
      </c>
      <c r="G407" s="60">
        <v>2000.0</v>
      </c>
      <c r="H407" s="62">
        <v>19310.0</v>
      </c>
      <c r="I407" s="64">
        <v>3.862E7</v>
      </c>
      <c r="J407" s="64">
        <v>3089600.0</v>
      </c>
      <c r="K407" s="64">
        <v>4.17096E7</v>
      </c>
      <c r="L407" s="65" t="s">
        <v>680</v>
      </c>
      <c r="M407" s="65" t="str">
        <f>VLOOKUP(L407,'Đơn đặt'!$C$3:$E$275,2,0)</f>
        <v>01-04-TS</v>
      </c>
      <c r="N407" s="65" t="str">
        <f>VLOOKUP(L407,'Đơn đặt'!$C$3:$E$275,3,0)</f>
        <v>07-2026/TS-AVP/ĐĐH</v>
      </c>
      <c r="O407" s="66">
        <v>46108.0</v>
      </c>
      <c r="P407" s="67" t="s">
        <v>841</v>
      </c>
      <c r="Q407" s="68">
        <v>2000.0</v>
      </c>
      <c r="R407" s="76">
        <v>17438.0</v>
      </c>
      <c r="S407" s="77">
        <v>3.4876E7</v>
      </c>
      <c r="T407" s="77">
        <v>2790080.0</v>
      </c>
      <c r="U407" s="60">
        <f t="shared" si="2"/>
        <v>37666080</v>
      </c>
      <c r="V407" s="70"/>
      <c r="W407" s="23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</row>
    <row r="408" ht="25.5" customHeight="1">
      <c r="A408" s="55">
        <v>46108.0</v>
      </c>
      <c r="B408" s="56" t="s">
        <v>643</v>
      </c>
      <c r="C408" s="56" t="s">
        <v>59</v>
      </c>
      <c r="D408" s="58" t="s">
        <v>105</v>
      </c>
      <c r="E408" s="58" t="s">
        <v>70</v>
      </c>
      <c r="F408" s="56" t="s">
        <v>71</v>
      </c>
      <c r="G408" s="60">
        <v>200.0</v>
      </c>
      <c r="H408" s="62">
        <v>18291.0</v>
      </c>
      <c r="I408" s="64">
        <v>3658200.0</v>
      </c>
      <c r="J408" s="64">
        <v>292656.0</v>
      </c>
      <c r="K408" s="64">
        <v>3950856.0</v>
      </c>
      <c r="L408" s="65" t="s">
        <v>743</v>
      </c>
      <c r="M408" s="65" t="str">
        <f>VLOOKUP(L408,'Đơn đặt'!$C$3:$E$275,2,0)</f>
        <v>02-03-TS</v>
      </c>
      <c r="N408" s="65" t="str">
        <f>VLOOKUP(L408,'Đơn đặt'!$C$3:$E$275,3,0)</f>
        <v>21-2026/TS-AVP/ĐĐH</v>
      </c>
      <c r="O408" s="66">
        <v>46108.0</v>
      </c>
      <c r="P408" s="67" t="s">
        <v>843</v>
      </c>
      <c r="Q408" s="68">
        <v>200.0</v>
      </c>
      <c r="R408" s="76">
        <v>16258.2</v>
      </c>
      <c r="S408" s="68">
        <v>3251640.0</v>
      </c>
      <c r="T408" s="77">
        <v>260131.0</v>
      </c>
      <c r="U408" s="60">
        <f t="shared" si="2"/>
        <v>3511771</v>
      </c>
      <c r="V408" s="70"/>
      <c r="W408" s="23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</row>
    <row r="409" ht="25.5" customHeight="1">
      <c r="A409" s="55">
        <v>46108.0</v>
      </c>
      <c r="B409" s="56" t="s">
        <v>643</v>
      </c>
      <c r="C409" s="56" t="s">
        <v>14</v>
      </c>
      <c r="D409" s="58" t="s">
        <v>13</v>
      </c>
      <c r="E409" s="58" t="s">
        <v>70</v>
      </c>
      <c r="F409" s="56" t="s">
        <v>71</v>
      </c>
      <c r="G409" s="60">
        <v>1110.0</v>
      </c>
      <c r="H409" s="62">
        <v>19404.0</v>
      </c>
      <c r="I409" s="64">
        <v>2.153844E7</v>
      </c>
      <c r="J409" s="64">
        <v>1723075.0</v>
      </c>
      <c r="K409" s="64">
        <v>2.3261515E7</v>
      </c>
      <c r="L409" s="65" t="s">
        <v>840</v>
      </c>
      <c r="M409" s="65" t="str">
        <f>VLOOKUP(L409,'Đơn đặt'!$C$3:$E$275,2,0)</f>
        <v>02-03-TS</v>
      </c>
      <c r="N409" s="65" t="str">
        <f>VLOOKUP(L409,'Đơn đặt'!$C$3:$E$275,3,0)</f>
        <v>21-2026/TS-AVP/ĐĐH</v>
      </c>
      <c r="O409" s="66">
        <v>46108.0</v>
      </c>
      <c r="P409" s="67" t="s">
        <v>843</v>
      </c>
      <c r="Q409" s="68">
        <v>1110.0</v>
      </c>
      <c r="R409" s="76">
        <v>17776.8</v>
      </c>
      <c r="S409" s="77">
        <v>1.9732248E7</v>
      </c>
      <c r="T409" s="77">
        <v>1578580.0</v>
      </c>
      <c r="U409" s="60">
        <f t="shared" si="2"/>
        <v>21310828</v>
      </c>
      <c r="V409" s="70"/>
      <c r="W409" s="23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</row>
    <row r="410" ht="25.5" customHeight="1">
      <c r="A410" s="55">
        <v>46109.0</v>
      </c>
      <c r="B410" s="56" t="s">
        <v>846</v>
      </c>
      <c r="C410" s="56" t="s">
        <v>14</v>
      </c>
      <c r="D410" s="58" t="s">
        <v>13</v>
      </c>
      <c r="E410" s="58" t="s">
        <v>70</v>
      </c>
      <c r="F410" s="56" t="s">
        <v>71</v>
      </c>
      <c r="G410" s="60">
        <v>2000.0</v>
      </c>
      <c r="H410" s="62">
        <v>19404.0</v>
      </c>
      <c r="I410" s="64">
        <v>3.8808E7</v>
      </c>
      <c r="J410" s="64">
        <v>3104640.0</v>
      </c>
      <c r="K410" s="64">
        <v>4.191264E7</v>
      </c>
      <c r="L410" s="65" t="s">
        <v>840</v>
      </c>
      <c r="M410" s="65" t="str">
        <f>VLOOKUP(L410,'Đơn đặt'!$C$3:$E$275,2,0)</f>
        <v>02-03-TS</v>
      </c>
      <c r="N410" s="65" t="str">
        <f>VLOOKUP(L410,'Đơn đặt'!$C$3:$E$275,3,0)</f>
        <v>21-2026/TS-AVP/ĐĐH</v>
      </c>
      <c r="O410" s="66">
        <v>46109.0</v>
      </c>
      <c r="P410" s="67" t="s">
        <v>847</v>
      </c>
      <c r="Q410" s="68">
        <v>2000.0</v>
      </c>
      <c r="R410" s="76">
        <v>17776.8</v>
      </c>
      <c r="S410" s="77">
        <v>3.55536E7</v>
      </c>
      <c r="T410" s="77">
        <v>2844289.0</v>
      </c>
      <c r="U410" s="60">
        <f t="shared" si="2"/>
        <v>38397889</v>
      </c>
      <c r="V410" s="70"/>
      <c r="W410" s="23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</row>
    <row r="411" ht="25.5" customHeight="1">
      <c r="A411" s="55">
        <v>46109.0</v>
      </c>
      <c r="B411" s="56" t="s">
        <v>846</v>
      </c>
      <c r="C411" s="56" t="s">
        <v>21</v>
      </c>
      <c r="D411" s="58" t="s">
        <v>371</v>
      </c>
      <c r="E411" s="58" t="s">
        <v>70</v>
      </c>
      <c r="F411" s="56" t="s">
        <v>71</v>
      </c>
      <c r="G411" s="60">
        <v>300.0</v>
      </c>
      <c r="H411" s="62">
        <v>18029.0</v>
      </c>
      <c r="I411" s="64">
        <f t="shared" ref="I411:I412" si="75">ROUND(G411*H411,0)</f>
        <v>5408700</v>
      </c>
      <c r="J411" s="64">
        <f t="shared" ref="J411:J412" si="76">ROUND(I411*0.08,0)</f>
        <v>432696</v>
      </c>
      <c r="K411" s="64">
        <f t="shared" ref="K411:K412" si="77">I411+J411</f>
        <v>5841396</v>
      </c>
      <c r="L411" s="65" t="s">
        <v>552</v>
      </c>
      <c r="M411" s="65" t="str">
        <f>VLOOKUP(L411,'Đơn đặt'!$C$3:$E$275,2,0)</f>
        <v>02-03-TS</v>
      </c>
      <c r="N411" s="65" t="str">
        <f>VLOOKUP(L411,'Đơn đặt'!$C$3:$E$275,3,0)</f>
        <v>21-2026/TS-AVP/ĐĐH</v>
      </c>
      <c r="O411" s="66">
        <v>46109.0</v>
      </c>
      <c r="P411" s="67" t="s">
        <v>847</v>
      </c>
      <c r="Q411" s="68">
        <v>300.0</v>
      </c>
      <c r="R411" s="76">
        <v>17469.8</v>
      </c>
      <c r="S411" s="64">
        <f t="shared" ref="S411:S412" si="78">ROUND(Q411*R411,0)</f>
        <v>5240940</v>
      </c>
      <c r="T411" s="64">
        <f t="shared" ref="T411:T412" si="79">ROUND(S411*0.08,0)</f>
        <v>419275</v>
      </c>
      <c r="U411" s="60">
        <f t="shared" si="2"/>
        <v>5660215</v>
      </c>
      <c r="V411" s="70"/>
      <c r="W411" s="23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</row>
    <row r="412" ht="25.5" customHeight="1">
      <c r="A412" s="55">
        <v>46109.0</v>
      </c>
      <c r="B412" s="56" t="s">
        <v>846</v>
      </c>
      <c r="C412" s="56" t="s">
        <v>21</v>
      </c>
      <c r="D412" s="58" t="s">
        <v>371</v>
      </c>
      <c r="E412" s="58" t="s">
        <v>70</v>
      </c>
      <c r="F412" s="56" t="s">
        <v>71</v>
      </c>
      <c r="G412" s="60">
        <v>920.0</v>
      </c>
      <c r="H412" s="62">
        <v>18029.0</v>
      </c>
      <c r="I412" s="64">
        <f t="shared" si="75"/>
        <v>16586680</v>
      </c>
      <c r="J412" s="64">
        <f t="shared" si="76"/>
        <v>1326934</v>
      </c>
      <c r="K412" s="64">
        <f t="shared" si="77"/>
        <v>17913614</v>
      </c>
      <c r="L412" s="65" t="s">
        <v>848</v>
      </c>
      <c r="M412" s="65" t="str">
        <f>VLOOKUP(L412,'Đơn đặt'!$C$3:$E$275,2,0)</f>
        <v>03-12-TS</v>
      </c>
      <c r="N412" s="65" t="str">
        <f>VLOOKUP(L412,'Đơn đặt'!$C$3:$E$275,3,0)</f>
        <v>38-2026/TS-AVP/ĐĐH</v>
      </c>
      <c r="O412" s="66">
        <v>46109.0</v>
      </c>
      <c r="P412" s="67" t="s">
        <v>847</v>
      </c>
      <c r="Q412" s="68">
        <f>1220-300</f>
        <v>920</v>
      </c>
      <c r="R412" s="76">
        <v>17469.8</v>
      </c>
      <c r="S412" s="64">
        <f t="shared" si="78"/>
        <v>16072216</v>
      </c>
      <c r="T412" s="64">
        <f t="shared" si="79"/>
        <v>1285777</v>
      </c>
      <c r="U412" s="60">
        <f t="shared" si="2"/>
        <v>17357993</v>
      </c>
      <c r="V412" s="70"/>
      <c r="W412" s="23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</row>
    <row r="413" ht="25.5" customHeight="1">
      <c r="A413" s="55">
        <v>46109.0</v>
      </c>
      <c r="B413" s="56" t="s">
        <v>846</v>
      </c>
      <c r="C413" s="56" t="s">
        <v>316</v>
      </c>
      <c r="D413" s="58" t="s">
        <v>375</v>
      </c>
      <c r="E413" s="58" t="s">
        <v>70</v>
      </c>
      <c r="F413" s="56" t="s">
        <v>71</v>
      </c>
      <c r="G413" s="60">
        <v>200.0</v>
      </c>
      <c r="H413" s="62">
        <v>18071.0</v>
      </c>
      <c r="I413" s="64">
        <v>3614200.0</v>
      </c>
      <c r="J413" s="64">
        <v>289136.0</v>
      </c>
      <c r="K413" s="64">
        <v>3903336.0</v>
      </c>
      <c r="L413" s="65" t="s">
        <v>849</v>
      </c>
      <c r="M413" s="65" t="str">
        <f>VLOOKUP(L413,'Đơn đặt'!$C$3:$E$275,2,0)</f>
        <v>03-12-TS</v>
      </c>
      <c r="N413" s="65" t="str">
        <f>VLOOKUP(L413,'Đơn đặt'!$C$3:$E$275,3,0)</f>
        <v>38-2026/TS-AVP/ĐĐH</v>
      </c>
      <c r="O413" s="66">
        <v>46109.0</v>
      </c>
      <c r="P413" s="67" t="s">
        <v>847</v>
      </c>
      <c r="Q413" s="68">
        <v>200.0</v>
      </c>
      <c r="R413" s="76">
        <v>16446.2</v>
      </c>
      <c r="S413" s="77">
        <v>3289240.0</v>
      </c>
      <c r="T413" s="77">
        <v>263139.0</v>
      </c>
      <c r="U413" s="60">
        <f t="shared" si="2"/>
        <v>3552379</v>
      </c>
      <c r="V413" s="70"/>
      <c r="W413" s="23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</row>
    <row r="414" ht="25.5" customHeight="1">
      <c r="A414" s="55">
        <v>46109.0</v>
      </c>
      <c r="B414" s="56" t="s">
        <v>851</v>
      </c>
      <c r="C414" s="56" t="s">
        <v>59</v>
      </c>
      <c r="D414" s="58" t="s">
        <v>105</v>
      </c>
      <c r="E414" s="58" t="s">
        <v>70</v>
      </c>
      <c r="F414" s="56" t="s">
        <v>71</v>
      </c>
      <c r="G414" s="60">
        <v>1200.0</v>
      </c>
      <c r="H414" s="62">
        <v>18291.0</v>
      </c>
      <c r="I414" s="64">
        <v>2.19492E7</v>
      </c>
      <c r="J414" s="64">
        <v>1755936.0</v>
      </c>
      <c r="K414" s="64">
        <v>2.3705136E7</v>
      </c>
      <c r="L414" s="65" t="s">
        <v>743</v>
      </c>
      <c r="M414" s="65" t="str">
        <f>VLOOKUP(L414,'Đơn đặt'!$C$3:$E$275,2,0)</f>
        <v>02-03-TS</v>
      </c>
      <c r="N414" s="65" t="str">
        <f>VLOOKUP(L414,'Đơn đặt'!$C$3:$E$275,3,0)</f>
        <v>21-2026/TS-AVP/ĐĐH</v>
      </c>
      <c r="O414" s="66">
        <v>46109.0</v>
      </c>
      <c r="P414" s="67" t="s">
        <v>852</v>
      </c>
      <c r="Q414" s="68">
        <v>1200.0</v>
      </c>
      <c r="R414" s="76">
        <v>16258.2</v>
      </c>
      <c r="S414" s="68">
        <v>1.950984E7</v>
      </c>
      <c r="T414" s="77">
        <v>1560787.0</v>
      </c>
      <c r="U414" s="60">
        <f t="shared" si="2"/>
        <v>21070627</v>
      </c>
      <c r="V414" s="70"/>
      <c r="W414" s="23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</row>
    <row r="415" ht="25.5" customHeight="1">
      <c r="A415" s="55">
        <v>46109.0</v>
      </c>
      <c r="B415" s="56" t="s">
        <v>851</v>
      </c>
      <c r="C415" s="56" t="s">
        <v>26</v>
      </c>
      <c r="D415" s="58" t="s">
        <v>25</v>
      </c>
      <c r="E415" s="58" t="s">
        <v>70</v>
      </c>
      <c r="F415" s="56" t="s">
        <v>71</v>
      </c>
      <c r="G415" s="60">
        <v>600.0</v>
      </c>
      <c r="H415" s="62">
        <v>15719.0</v>
      </c>
      <c r="I415" s="64">
        <v>9431400.0</v>
      </c>
      <c r="J415" s="64">
        <v>754512.0</v>
      </c>
      <c r="K415" s="64">
        <v>1.0185912E7</v>
      </c>
      <c r="L415" s="65" t="s">
        <v>854</v>
      </c>
      <c r="M415" s="65" t="str">
        <f>VLOOKUP(L415,'Đơn đặt'!$C$3:$E$275,2,0)</f>
        <v>03-12-TS</v>
      </c>
      <c r="N415" s="65" t="str">
        <f>VLOOKUP(L415,'Đơn đặt'!$C$3:$E$275,3,0)</f>
        <v>38-2026/TS-AVP/ĐĐH</v>
      </c>
      <c r="O415" s="66">
        <v>46109.0</v>
      </c>
      <c r="P415" s="67" t="s">
        <v>852</v>
      </c>
      <c r="Q415" s="68">
        <v>600.0</v>
      </c>
      <c r="R415" s="76">
        <v>15695.8</v>
      </c>
      <c r="S415" s="77">
        <v>9417480.0</v>
      </c>
      <c r="T415" s="77">
        <v>753398.0</v>
      </c>
      <c r="U415" s="60">
        <f t="shared" si="2"/>
        <v>10170878</v>
      </c>
      <c r="V415" s="70"/>
      <c r="W415" s="23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</row>
    <row r="416" ht="25.5" customHeight="1">
      <c r="A416" s="55">
        <v>46109.0</v>
      </c>
      <c r="B416" s="56" t="s">
        <v>851</v>
      </c>
      <c r="C416" s="56" t="s">
        <v>329</v>
      </c>
      <c r="D416" s="58" t="s">
        <v>461</v>
      </c>
      <c r="E416" s="58" t="s">
        <v>70</v>
      </c>
      <c r="F416" s="56" t="s">
        <v>71</v>
      </c>
      <c r="G416" s="60">
        <v>700.0</v>
      </c>
      <c r="H416" s="62">
        <v>20024.0</v>
      </c>
      <c r="I416" s="64">
        <v>1.40168E7</v>
      </c>
      <c r="J416" s="64">
        <v>1121344.0</v>
      </c>
      <c r="K416" s="64">
        <v>1.5138144E7</v>
      </c>
      <c r="L416" s="65" t="s">
        <v>855</v>
      </c>
      <c r="M416" s="65" t="str">
        <f>VLOOKUP(L416,'Đơn đặt'!$C$3:$E$275,2,0)</f>
        <v>03-12-TS</v>
      </c>
      <c r="N416" s="65" t="str">
        <f>VLOOKUP(L416,'Đơn đặt'!$C$3:$E$275,3,0)</f>
        <v>38-2026/TS-AVP/ĐĐH</v>
      </c>
      <c r="O416" s="66">
        <v>46109.0</v>
      </c>
      <c r="P416" s="67" t="s">
        <v>852</v>
      </c>
      <c r="Q416" s="68">
        <v>700.0</v>
      </c>
      <c r="R416" s="76">
        <v>17900.8</v>
      </c>
      <c r="S416" s="77">
        <v>1.253056E7</v>
      </c>
      <c r="T416" s="77">
        <v>1002445.0</v>
      </c>
      <c r="U416" s="60">
        <f t="shared" si="2"/>
        <v>13533005</v>
      </c>
      <c r="V416" s="70"/>
      <c r="W416" s="23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</row>
    <row r="417" ht="25.5" customHeight="1">
      <c r="A417" s="55">
        <v>46109.0</v>
      </c>
      <c r="B417" s="56" t="s">
        <v>851</v>
      </c>
      <c r="C417" s="56" t="s">
        <v>21</v>
      </c>
      <c r="D417" s="58" t="s">
        <v>371</v>
      </c>
      <c r="E417" s="58" t="s">
        <v>70</v>
      </c>
      <c r="F417" s="56" t="s">
        <v>71</v>
      </c>
      <c r="G417" s="60">
        <v>580.0</v>
      </c>
      <c r="H417" s="62">
        <v>18029.0</v>
      </c>
      <c r="I417" s="64">
        <v>1.045682E7</v>
      </c>
      <c r="J417" s="64">
        <v>836546.0</v>
      </c>
      <c r="K417" s="64">
        <v>1.1293366E7</v>
      </c>
      <c r="L417" s="65" t="s">
        <v>848</v>
      </c>
      <c r="M417" s="65" t="str">
        <f>VLOOKUP(L417,'Đơn đặt'!$C$3:$E$275,2,0)</f>
        <v>03-12-TS</v>
      </c>
      <c r="N417" s="65" t="str">
        <f>VLOOKUP(L417,'Đơn đặt'!$C$3:$E$275,3,0)</f>
        <v>38-2026/TS-AVP/ĐĐH</v>
      </c>
      <c r="O417" s="66">
        <v>46109.0</v>
      </c>
      <c r="P417" s="67" t="s">
        <v>852</v>
      </c>
      <c r="Q417" s="68">
        <v>580.0</v>
      </c>
      <c r="R417" s="76">
        <v>17469.8</v>
      </c>
      <c r="S417" s="77">
        <v>1.0132484E7</v>
      </c>
      <c r="T417" s="77">
        <v>810599.0</v>
      </c>
      <c r="U417" s="60">
        <f t="shared" si="2"/>
        <v>10943083</v>
      </c>
      <c r="V417" s="70"/>
      <c r="W417" s="23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</row>
    <row r="418" ht="25.5" customHeight="1">
      <c r="A418" s="55">
        <v>46112.0</v>
      </c>
      <c r="B418" s="56" t="s">
        <v>651</v>
      </c>
      <c r="C418" s="56" t="s">
        <v>48</v>
      </c>
      <c r="D418" s="58" t="s">
        <v>47</v>
      </c>
      <c r="E418" s="58" t="s">
        <v>70</v>
      </c>
      <c r="F418" s="56" t="s">
        <v>71</v>
      </c>
      <c r="G418" s="60">
        <v>5000.0</v>
      </c>
      <c r="H418" s="62">
        <v>18291.0</v>
      </c>
      <c r="I418" s="64">
        <v>9.1455E7</v>
      </c>
      <c r="J418" s="64">
        <v>7316400.0</v>
      </c>
      <c r="K418" s="64">
        <v>9.87714E7</v>
      </c>
      <c r="L418" s="65" t="s">
        <v>771</v>
      </c>
      <c r="M418" s="65" t="str">
        <f>VLOOKUP(L418,'Đơn đặt'!$C$3:$E$275,2,0)</f>
        <v>02-03-TS</v>
      </c>
      <c r="N418" s="65" t="str">
        <f>VLOOKUP(L418,'Đơn đặt'!$C$3:$E$275,3,0)</f>
        <v>22-2026/TS-AVP/ĐĐH</v>
      </c>
      <c r="O418" s="66">
        <v>46111.0</v>
      </c>
      <c r="P418" s="67" t="s">
        <v>859</v>
      </c>
      <c r="Q418" s="68">
        <v>5000.0</v>
      </c>
      <c r="R418" s="68">
        <v>14482.2</v>
      </c>
      <c r="S418" s="68">
        <v>7.2411E7</v>
      </c>
      <c r="T418" s="68">
        <v>5792880.0</v>
      </c>
      <c r="U418" s="60">
        <f t="shared" si="2"/>
        <v>78203880</v>
      </c>
      <c r="V418" s="70"/>
      <c r="W418" s="23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</row>
    <row r="419" ht="25.5" customHeight="1">
      <c r="A419" s="55">
        <v>46112.0</v>
      </c>
      <c r="B419" s="56" t="s">
        <v>651</v>
      </c>
      <c r="C419" s="56" t="s">
        <v>50</v>
      </c>
      <c r="D419" s="58" t="s">
        <v>49</v>
      </c>
      <c r="E419" s="58" t="s">
        <v>70</v>
      </c>
      <c r="F419" s="56" t="s">
        <v>71</v>
      </c>
      <c r="G419" s="60">
        <v>1000.0</v>
      </c>
      <c r="H419" s="62">
        <v>18291.0</v>
      </c>
      <c r="I419" s="64">
        <v>1.8291E7</v>
      </c>
      <c r="J419" s="64">
        <v>1463280.0</v>
      </c>
      <c r="K419" s="64">
        <v>1.975428E7</v>
      </c>
      <c r="L419" s="65" t="s">
        <v>773</v>
      </c>
      <c r="M419" s="65" t="str">
        <f>VLOOKUP(L419,'Đơn đặt'!$C$3:$E$275,2,0)</f>
        <v>02-03-TS</v>
      </c>
      <c r="N419" s="65" t="str">
        <f>VLOOKUP(L419,'Đơn đặt'!$C$3:$E$275,3,0)</f>
        <v>22-2026/TS-AVP/ĐĐH</v>
      </c>
      <c r="O419" s="66">
        <v>46111.0</v>
      </c>
      <c r="P419" s="67" t="s">
        <v>859</v>
      </c>
      <c r="Q419" s="68">
        <v>1000.0</v>
      </c>
      <c r="R419" s="76">
        <v>14482.2</v>
      </c>
      <c r="S419" s="77">
        <v>1.44822E7</v>
      </c>
      <c r="T419" s="77">
        <v>1158576.0</v>
      </c>
      <c r="U419" s="60">
        <f t="shared" si="2"/>
        <v>15640776</v>
      </c>
      <c r="V419" s="70"/>
      <c r="W419" s="23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</row>
    <row r="420" ht="25.5" customHeight="1">
      <c r="A420" s="55">
        <v>46112.0</v>
      </c>
      <c r="B420" s="56" t="s">
        <v>655</v>
      </c>
      <c r="C420" s="56" t="s">
        <v>59</v>
      </c>
      <c r="D420" s="58" t="s">
        <v>105</v>
      </c>
      <c r="E420" s="58" t="s">
        <v>70</v>
      </c>
      <c r="F420" s="56" t="s">
        <v>71</v>
      </c>
      <c r="G420" s="60">
        <v>800.0</v>
      </c>
      <c r="H420" s="62">
        <v>18291.0</v>
      </c>
      <c r="I420" s="64">
        <v>1.46328E7</v>
      </c>
      <c r="J420" s="64">
        <v>1170624.0</v>
      </c>
      <c r="K420" s="64">
        <v>1.5803424E7</v>
      </c>
      <c r="L420" s="65" t="s">
        <v>743</v>
      </c>
      <c r="M420" s="65" t="str">
        <f>VLOOKUP(L420,'Đơn đặt'!$C$3:$E$275,2,0)</f>
        <v>02-03-TS</v>
      </c>
      <c r="N420" s="65" t="str">
        <f>VLOOKUP(L420,'Đơn đặt'!$C$3:$E$275,3,0)</f>
        <v>21-2026/TS-AVP/ĐĐH</v>
      </c>
      <c r="O420" s="66">
        <v>46111.0</v>
      </c>
      <c r="P420" s="67" t="s">
        <v>861</v>
      </c>
      <c r="Q420" s="68">
        <v>800.0</v>
      </c>
      <c r="R420" s="76">
        <v>16258.2</v>
      </c>
      <c r="S420" s="68">
        <v>1.300656E7</v>
      </c>
      <c r="T420" s="77">
        <v>1040525.0</v>
      </c>
      <c r="U420" s="60">
        <f t="shared" si="2"/>
        <v>14047085</v>
      </c>
      <c r="V420" s="70"/>
      <c r="W420" s="23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</row>
    <row r="421" ht="25.5" customHeight="1">
      <c r="A421" s="55">
        <v>46112.0</v>
      </c>
      <c r="B421" s="56" t="s">
        <v>655</v>
      </c>
      <c r="C421" s="56" t="s">
        <v>423</v>
      </c>
      <c r="D421" s="58" t="s">
        <v>424</v>
      </c>
      <c r="E421" s="58" t="s">
        <v>70</v>
      </c>
      <c r="F421" s="56" t="s">
        <v>71</v>
      </c>
      <c r="G421" s="60">
        <v>500.0</v>
      </c>
      <c r="H421" s="62">
        <v>18365.0</v>
      </c>
      <c r="I421" s="64">
        <v>9182500.0</v>
      </c>
      <c r="J421" s="64">
        <v>734600.0</v>
      </c>
      <c r="K421" s="64">
        <v>9917100.0</v>
      </c>
      <c r="L421" s="91" t="s">
        <v>863</v>
      </c>
      <c r="M421" s="65" t="str">
        <f>VLOOKUP(L421,'Đơn đặt'!$C$3:$E$275,2,0)</f>
        <v>03-12-TS</v>
      </c>
      <c r="N421" s="65" t="str">
        <f>VLOOKUP(L421,'Đơn đặt'!$C$3:$E$275,3,0)</f>
        <v>38-2026/TS-AVP/ĐĐH</v>
      </c>
      <c r="O421" s="66">
        <v>46111.0</v>
      </c>
      <c r="P421" s="67" t="s">
        <v>861</v>
      </c>
      <c r="Q421" s="68">
        <v>500.0</v>
      </c>
      <c r="R421" s="76">
        <v>17489.0</v>
      </c>
      <c r="S421" s="77">
        <v>8744500.0</v>
      </c>
      <c r="T421" s="77">
        <v>699560.0</v>
      </c>
      <c r="U421" s="60">
        <f t="shared" si="2"/>
        <v>9444060</v>
      </c>
      <c r="V421" s="70"/>
      <c r="W421" s="23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</row>
    <row r="422" ht="25.5" customHeight="1">
      <c r="A422" s="78">
        <v>46112.0</v>
      </c>
      <c r="B422" s="79" t="s">
        <v>864</v>
      </c>
      <c r="C422" s="56" t="s">
        <v>166</v>
      </c>
      <c r="D422" s="80" t="s">
        <v>167</v>
      </c>
      <c r="E422" s="58" t="s">
        <v>248</v>
      </c>
      <c r="F422" s="56" t="s">
        <v>95</v>
      </c>
      <c r="G422" s="81">
        <v>60.0</v>
      </c>
      <c r="H422" s="62">
        <v>431197.0</v>
      </c>
      <c r="I422" s="64">
        <v>2.587182E7</v>
      </c>
      <c r="J422" s="64">
        <v>2069746.0</v>
      </c>
      <c r="K422" s="64">
        <v>2.7941566E7</v>
      </c>
      <c r="L422" s="91" t="s">
        <v>865</v>
      </c>
      <c r="M422" s="65">
        <f>VLOOKUP(L422,'Đơn đặt'!$C$3:$E$275,2,0)</f>
        <v>239</v>
      </c>
      <c r="N422" s="65" t="str">
        <f>VLOOKUP(L422,'Đơn đặt'!$C$3:$E$275,3,0)</f>
        <v>Hàng SX</v>
      </c>
      <c r="O422" s="78" t="s">
        <v>98</v>
      </c>
      <c r="P422" s="92"/>
      <c r="Q422" s="81">
        <f t="shared" ref="Q422:Q424" si="80">G422</f>
        <v>60</v>
      </c>
      <c r="R422" s="92"/>
      <c r="S422" s="83">
        <f t="shared" ref="S422:S424" si="81">ROUND(Q422*R422,0)</f>
        <v>0</v>
      </c>
      <c r="T422" s="83">
        <f t="shared" ref="T422:T424" si="82">ROUND(S422*0.08,0)</f>
        <v>0</v>
      </c>
      <c r="U422" s="81">
        <f t="shared" si="2"/>
        <v>0</v>
      </c>
      <c r="V422" s="70"/>
      <c r="W422" s="23"/>
      <c r="X422" s="69"/>
      <c r="Y422" s="69"/>
      <c r="Z422" s="69"/>
      <c r="AA422" s="69"/>
      <c r="AB422" s="69"/>
      <c r="AC422" s="69"/>
      <c r="AD422" s="69"/>
      <c r="AE422" s="69"/>
      <c r="AF422" s="69"/>
      <c r="AG422" s="69"/>
      <c r="AH422" s="69"/>
      <c r="AI422" s="69"/>
      <c r="AJ422" s="69"/>
      <c r="AK422" s="69"/>
      <c r="AL422" s="69"/>
      <c r="AM422" s="69"/>
      <c r="AN422" s="69"/>
      <c r="AO422" s="69"/>
    </row>
    <row r="423" ht="25.5" customHeight="1">
      <c r="A423" s="78">
        <v>46112.0</v>
      </c>
      <c r="B423" s="79" t="s">
        <v>864</v>
      </c>
      <c r="C423" s="56" t="s">
        <v>148</v>
      </c>
      <c r="D423" s="80" t="s">
        <v>149</v>
      </c>
      <c r="E423" s="58" t="s">
        <v>248</v>
      </c>
      <c r="F423" s="56" t="s">
        <v>95</v>
      </c>
      <c r="G423" s="81">
        <v>300.0</v>
      </c>
      <c r="H423" s="62">
        <v>366012.0</v>
      </c>
      <c r="I423" s="64">
        <v>1.098036E8</v>
      </c>
      <c r="J423" s="64">
        <v>8784288.0</v>
      </c>
      <c r="K423" s="64">
        <v>1.18587888E8</v>
      </c>
      <c r="L423" s="91" t="s">
        <v>867</v>
      </c>
      <c r="M423" s="65">
        <f>VLOOKUP(L423,'Đơn đặt'!$C$3:$E$275,2,0)</f>
        <v>239</v>
      </c>
      <c r="N423" s="65" t="str">
        <f>VLOOKUP(L423,'Đơn đặt'!$C$3:$E$275,3,0)</f>
        <v>Hàng SX</v>
      </c>
      <c r="O423" s="78" t="s">
        <v>98</v>
      </c>
      <c r="P423" s="92"/>
      <c r="Q423" s="81">
        <f t="shared" si="80"/>
        <v>300</v>
      </c>
      <c r="R423" s="92"/>
      <c r="S423" s="83">
        <f t="shared" si="81"/>
        <v>0</v>
      </c>
      <c r="T423" s="83">
        <f t="shared" si="82"/>
        <v>0</v>
      </c>
      <c r="U423" s="81">
        <f t="shared" si="2"/>
        <v>0</v>
      </c>
      <c r="V423" s="70"/>
      <c r="W423" s="23"/>
      <c r="X423" s="69"/>
      <c r="Y423" s="69"/>
      <c r="Z423" s="69"/>
      <c r="AA423" s="69"/>
      <c r="AB423" s="69"/>
      <c r="AC423" s="69"/>
      <c r="AD423" s="69"/>
      <c r="AE423" s="69"/>
      <c r="AF423" s="69"/>
      <c r="AG423" s="69"/>
      <c r="AH423" s="69"/>
      <c r="AI423" s="69"/>
      <c r="AJ423" s="69"/>
      <c r="AK423" s="69"/>
      <c r="AL423" s="69"/>
      <c r="AM423" s="69"/>
      <c r="AN423" s="69"/>
      <c r="AO423" s="69"/>
    </row>
    <row r="424" ht="25.5" customHeight="1">
      <c r="A424" s="78">
        <v>46112.0</v>
      </c>
      <c r="B424" s="79" t="s">
        <v>868</v>
      </c>
      <c r="C424" s="56" t="s">
        <v>173</v>
      </c>
      <c r="D424" s="80" t="s">
        <v>174</v>
      </c>
      <c r="E424" s="58" t="s">
        <v>248</v>
      </c>
      <c r="F424" s="56" t="s">
        <v>95</v>
      </c>
      <c r="G424" s="81">
        <v>22.0</v>
      </c>
      <c r="H424" s="62">
        <v>497322.0</v>
      </c>
      <c r="I424" s="64">
        <v>1.0941084E7</v>
      </c>
      <c r="J424" s="64">
        <v>875287.0</v>
      </c>
      <c r="K424" s="64">
        <v>1.1816371E7</v>
      </c>
      <c r="L424" s="91" t="s">
        <v>871</v>
      </c>
      <c r="M424" s="65">
        <f>VLOOKUP(L424,'Đơn đặt'!$C$3:$E$275,2,0)</f>
        <v>294</v>
      </c>
      <c r="N424" s="65" t="str">
        <f>VLOOKUP(L424,'Đơn đặt'!$C$3:$E$275,3,0)</f>
        <v>Hàng SX</v>
      </c>
      <c r="O424" s="78" t="s">
        <v>98</v>
      </c>
      <c r="P424" s="92"/>
      <c r="Q424" s="81">
        <f t="shared" si="80"/>
        <v>22</v>
      </c>
      <c r="R424" s="92"/>
      <c r="S424" s="83">
        <f t="shared" si="81"/>
        <v>0</v>
      </c>
      <c r="T424" s="83">
        <f t="shared" si="82"/>
        <v>0</v>
      </c>
      <c r="U424" s="81">
        <f t="shared" si="2"/>
        <v>0</v>
      </c>
      <c r="V424" s="70"/>
      <c r="W424" s="23"/>
      <c r="X424" s="69"/>
      <c r="Y424" s="69"/>
      <c r="Z424" s="69"/>
      <c r="AA424" s="69"/>
      <c r="AB424" s="69"/>
      <c r="AC424" s="69"/>
      <c r="AD424" s="69"/>
      <c r="AE424" s="69"/>
      <c r="AF424" s="69"/>
      <c r="AG424" s="69"/>
      <c r="AH424" s="69"/>
      <c r="AI424" s="69"/>
      <c r="AJ424" s="69"/>
      <c r="AK424" s="69"/>
      <c r="AL424" s="69"/>
      <c r="AM424" s="69"/>
      <c r="AN424" s="69"/>
      <c r="AO424" s="69"/>
    </row>
    <row r="425" ht="25.5" customHeight="1">
      <c r="A425" s="55">
        <v>46112.0</v>
      </c>
      <c r="B425" s="56" t="s">
        <v>872</v>
      </c>
      <c r="C425" s="56" t="s">
        <v>119</v>
      </c>
      <c r="D425" s="58" t="s">
        <v>120</v>
      </c>
      <c r="E425" s="58" t="s">
        <v>70</v>
      </c>
      <c r="F425" s="56" t="s">
        <v>71</v>
      </c>
      <c r="G425" s="60">
        <v>2200.0</v>
      </c>
      <c r="H425" s="62">
        <v>19310.0</v>
      </c>
      <c r="I425" s="64">
        <v>4.2482E7</v>
      </c>
      <c r="J425" s="64">
        <v>3398560.0</v>
      </c>
      <c r="K425" s="64">
        <v>4.588056E7</v>
      </c>
      <c r="L425" s="65" t="s">
        <v>228</v>
      </c>
      <c r="M425" s="65" t="str">
        <f>VLOOKUP(L425,'Đơn đặt'!$C$3:$E$275,2,0)</f>
        <v>01-02-TS</v>
      </c>
      <c r="N425" s="65" t="str">
        <f>VLOOKUP(L425,'Đơn đặt'!$C$3:$E$275,3,0)</f>
        <v>04-2026/TS-AVP/ĐĐH</v>
      </c>
      <c r="O425" s="66">
        <v>46112.0</v>
      </c>
      <c r="P425" s="67" t="s">
        <v>873</v>
      </c>
      <c r="Q425" s="68">
        <v>2200.0</v>
      </c>
      <c r="R425" s="76">
        <v>17438.0</v>
      </c>
      <c r="S425" s="77">
        <v>3.83636E7</v>
      </c>
      <c r="T425" s="77">
        <v>3069088.0</v>
      </c>
      <c r="U425" s="60">
        <f t="shared" si="2"/>
        <v>41432688</v>
      </c>
      <c r="V425" s="70"/>
      <c r="W425" s="23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</row>
    <row r="426" ht="25.5" customHeight="1">
      <c r="A426" s="78">
        <v>46112.0</v>
      </c>
      <c r="B426" s="79" t="s">
        <v>675</v>
      </c>
      <c r="C426" s="79" t="s">
        <v>110</v>
      </c>
      <c r="D426" s="80" t="s">
        <v>874</v>
      </c>
      <c r="E426" s="58" t="s">
        <v>70</v>
      </c>
      <c r="F426" s="79" t="s">
        <v>112</v>
      </c>
      <c r="G426" s="81">
        <v>4680.0</v>
      </c>
      <c r="H426" s="82">
        <v>28000.0</v>
      </c>
      <c r="I426" s="83">
        <v>1.3104E8</v>
      </c>
      <c r="J426" s="83">
        <v>1.04832E7</v>
      </c>
      <c r="K426" s="83">
        <v>1.415232E8</v>
      </c>
      <c r="L426" s="84" t="s">
        <v>875</v>
      </c>
      <c r="M426" s="84" t="str">
        <f>VLOOKUP(L426,'Đơn đặt'!$C$3:$E$275,2,0)</f>
        <v>2/10/TSC-LT</v>
      </c>
      <c r="N426" s="84" t="str">
        <f>VLOOKUP(L426,'Đơn đặt'!$C$3:$E$275,3,0)</f>
        <v>Hàng SX</v>
      </c>
      <c r="O426" s="78" t="s">
        <v>98</v>
      </c>
      <c r="P426" s="92"/>
      <c r="Q426" s="81">
        <f>G426</f>
        <v>4680</v>
      </c>
      <c r="R426" s="92"/>
      <c r="S426" s="83">
        <f t="shared" ref="S426:S428" si="83">ROUND(Q426*R426,0)</f>
        <v>0</v>
      </c>
      <c r="T426" s="83">
        <f t="shared" ref="T426:T428" si="84">ROUND(S426*0.08,0)</f>
        <v>0</v>
      </c>
      <c r="U426" s="81">
        <f t="shared" si="2"/>
        <v>0</v>
      </c>
      <c r="V426" s="70"/>
      <c r="W426" s="23"/>
      <c r="X426" s="69"/>
      <c r="Y426" s="69"/>
      <c r="Z426" s="69"/>
      <c r="AA426" s="69"/>
      <c r="AB426" s="69"/>
      <c r="AC426" s="69"/>
      <c r="AD426" s="69"/>
      <c r="AE426" s="69"/>
      <c r="AF426" s="69"/>
      <c r="AG426" s="69"/>
      <c r="AH426" s="69"/>
      <c r="AI426" s="69"/>
      <c r="AJ426" s="69"/>
      <c r="AK426" s="69"/>
      <c r="AL426" s="69"/>
      <c r="AM426" s="69"/>
      <c r="AN426" s="69"/>
      <c r="AO426" s="69"/>
    </row>
    <row r="427" ht="25.5" customHeight="1">
      <c r="A427" s="55">
        <v>46113.0</v>
      </c>
      <c r="B427" s="56" t="s">
        <v>879</v>
      </c>
      <c r="C427" s="56" t="s">
        <v>247</v>
      </c>
      <c r="D427" s="58" t="s">
        <v>380</v>
      </c>
      <c r="E427" s="58" t="s">
        <v>70</v>
      </c>
      <c r="F427" s="56" t="s">
        <v>71</v>
      </c>
      <c r="G427" s="60">
        <v>1500.0</v>
      </c>
      <c r="H427" s="62">
        <v>18365.0</v>
      </c>
      <c r="I427" s="64">
        <f t="shared" ref="I427:I428" si="85">ROUND(G427*H427,0)</f>
        <v>27547500</v>
      </c>
      <c r="J427" s="64">
        <f t="shared" ref="J427:J428" si="86">ROUND(I427*0.08,0)</f>
        <v>2203800</v>
      </c>
      <c r="K427" s="64">
        <f t="shared" ref="K427:K428" si="87">I427+J427</f>
        <v>29751300</v>
      </c>
      <c r="L427" s="65" t="s">
        <v>639</v>
      </c>
      <c r="M427" s="65" t="str">
        <f>VLOOKUP(L427,'Đơn đặt'!$C$3:$E$275,2,0)</f>
        <v>02-03-TS</v>
      </c>
      <c r="N427" s="65" t="str">
        <f>VLOOKUP(L427,'Đơn đặt'!$C$3:$E$275,3,0)</f>
        <v>21-2026/TS-AVP/ĐĐH</v>
      </c>
      <c r="O427" s="66">
        <v>46113.0</v>
      </c>
      <c r="P427" s="67" t="s">
        <v>881</v>
      </c>
      <c r="Q427" s="68">
        <v>1500.0</v>
      </c>
      <c r="R427" s="76">
        <v>17569.0</v>
      </c>
      <c r="S427" s="64">
        <f t="shared" si="83"/>
        <v>26353500</v>
      </c>
      <c r="T427" s="64">
        <f t="shared" si="84"/>
        <v>2108280</v>
      </c>
      <c r="U427" s="60">
        <f t="shared" si="2"/>
        <v>28461780</v>
      </c>
      <c r="V427" s="70"/>
      <c r="W427" s="23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</row>
    <row r="428" ht="25.5" customHeight="1">
      <c r="A428" s="55">
        <v>46113.0</v>
      </c>
      <c r="B428" s="56" t="s">
        <v>879</v>
      </c>
      <c r="C428" s="56" t="s">
        <v>247</v>
      </c>
      <c r="D428" s="58" t="s">
        <v>380</v>
      </c>
      <c r="E428" s="58" t="s">
        <v>70</v>
      </c>
      <c r="F428" s="56" t="s">
        <v>71</v>
      </c>
      <c r="G428" s="60">
        <v>200.0</v>
      </c>
      <c r="H428" s="62">
        <v>18365.0</v>
      </c>
      <c r="I428" s="64">
        <f t="shared" si="85"/>
        <v>3673000</v>
      </c>
      <c r="J428" s="64">
        <f t="shared" si="86"/>
        <v>293840</v>
      </c>
      <c r="K428" s="64">
        <f t="shared" si="87"/>
        <v>3966840</v>
      </c>
      <c r="L428" s="65" t="s">
        <v>883</v>
      </c>
      <c r="M428" s="65" t="str">
        <f>VLOOKUP(L428,'Đơn đặt'!$C$3:$E$275,2,0)</f>
        <v>03-12-TS</v>
      </c>
      <c r="N428" s="65" t="str">
        <f>VLOOKUP(L428,'Đơn đặt'!$C$3:$E$275,3,0)</f>
        <v>38-2026/TS-AVP/ĐĐH</v>
      </c>
      <c r="O428" s="66">
        <v>46113.0</v>
      </c>
      <c r="P428" s="67" t="s">
        <v>881</v>
      </c>
      <c r="Q428" s="68">
        <v>200.0</v>
      </c>
      <c r="R428" s="76">
        <v>17569.0</v>
      </c>
      <c r="S428" s="64">
        <f t="shared" si="83"/>
        <v>3513800</v>
      </c>
      <c r="T428" s="64">
        <f t="shared" si="84"/>
        <v>281104</v>
      </c>
      <c r="U428" s="60">
        <f t="shared" si="2"/>
        <v>3794904</v>
      </c>
      <c r="V428" s="70"/>
      <c r="W428" s="23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</row>
    <row r="429" ht="25.5" customHeight="1">
      <c r="A429" s="55">
        <v>46113.0</v>
      </c>
      <c r="B429" s="56" t="s">
        <v>879</v>
      </c>
      <c r="C429" s="56" t="s">
        <v>561</v>
      </c>
      <c r="D429" s="58" t="s">
        <v>562</v>
      </c>
      <c r="E429" s="58" t="s">
        <v>70</v>
      </c>
      <c r="F429" s="56" t="s">
        <v>71</v>
      </c>
      <c r="G429" s="60">
        <v>140.0</v>
      </c>
      <c r="H429" s="62">
        <v>18795.0</v>
      </c>
      <c r="I429" s="64">
        <v>2631300.0</v>
      </c>
      <c r="J429" s="64">
        <v>210504.0</v>
      </c>
      <c r="K429" s="64">
        <v>2841804.0</v>
      </c>
      <c r="L429" s="65" t="s">
        <v>884</v>
      </c>
      <c r="M429" s="65" t="str">
        <f>VLOOKUP(L429,'Đơn đặt'!$C$3:$E$275,2,0)</f>
        <v>03-12-TS</v>
      </c>
      <c r="N429" s="65" t="str">
        <f>VLOOKUP(L429,'Đơn đặt'!$C$3:$E$275,3,0)</f>
        <v>38-2026/TS-AVP/ĐĐH</v>
      </c>
      <c r="O429" s="66">
        <v>46113.0</v>
      </c>
      <c r="P429" s="67" t="s">
        <v>885</v>
      </c>
      <c r="Q429" s="68">
        <v>140.0</v>
      </c>
      <c r="R429" s="76">
        <v>18615.0</v>
      </c>
      <c r="S429" s="77">
        <v>2606100.0</v>
      </c>
      <c r="T429" s="77">
        <v>208488.0</v>
      </c>
      <c r="U429" s="60">
        <f t="shared" si="2"/>
        <v>2814588</v>
      </c>
      <c r="V429" s="70"/>
      <c r="W429" s="23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</row>
    <row r="430" ht="25.5" customHeight="1">
      <c r="A430" s="55">
        <v>46113.0</v>
      </c>
      <c r="B430" s="56" t="s">
        <v>879</v>
      </c>
      <c r="C430" s="56" t="s">
        <v>402</v>
      </c>
      <c r="D430" s="58" t="s">
        <v>403</v>
      </c>
      <c r="E430" s="58" t="s">
        <v>70</v>
      </c>
      <c r="F430" s="56" t="s">
        <v>71</v>
      </c>
      <c r="G430" s="60">
        <v>1500.0</v>
      </c>
      <c r="H430" s="62">
        <v>18953.0</v>
      </c>
      <c r="I430" s="64">
        <f t="shared" ref="I430:I431" si="88">ROUND(G430*H430,0)</f>
        <v>28429500</v>
      </c>
      <c r="J430" s="64">
        <f t="shared" ref="J430:J431" si="89">ROUND(I430*0.08,0)</f>
        <v>2274360</v>
      </c>
      <c r="K430" s="64">
        <f t="shared" ref="K430:K431" si="90">I430+J430</f>
        <v>30703860</v>
      </c>
      <c r="L430" s="65" t="s">
        <v>633</v>
      </c>
      <c r="M430" s="65" t="str">
        <f>VLOOKUP(L430,'Đơn đặt'!$C$3:$E$275,2,0)</f>
        <v>02-03-TS</v>
      </c>
      <c r="N430" s="65" t="str">
        <f>VLOOKUP(L430,'Đơn đặt'!$C$3:$E$275,3,0)</f>
        <v>21-2026/TS-AVP/ĐĐH</v>
      </c>
      <c r="O430" s="66">
        <v>46113.0</v>
      </c>
      <c r="P430" s="93" t="s">
        <v>887</v>
      </c>
      <c r="Q430" s="90">
        <v>1500.0</v>
      </c>
      <c r="R430" s="76">
        <v>18246.6</v>
      </c>
      <c r="S430" s="64">
        <f t="shared" ref="S430:S431" si="91">ROUND(Q430*R430,0)</f>
        <v>27369900</v>
      </c>
      <c r="T430" s="64">
        <f t="shared" ref="T430:T431" si="92">ROUND(S430*0.08,0)</f>
        <v>2189592</v>
      </c>
      <c r="U430" s="60">
        <f t="shared" si="2"/>
        <v>29559492</v>
      </c>
      <c r="V430" s="70"/>
      <c r="W430" s="23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</row>
    <row r="431" ht="25.5" customHeight="1">
      <c r="A431" s="55">
        <v>46113.0</v>
      </c>
      <c r="B431" s="56" t="s">
        <v>879</v>
      </c>
      <c r="C431" s="56" t="s">
        <v>402</v>
      </c>
      <c r="D431" s="58" t="s">
        <v>403</v>
      </c>
      <c r="E431" s="58" t="s">
        <v>70</v>
      </c>
      <c r="F431" s="56" t="s">
        <v>71</v>
      </c>
      <c r="G431" s="60">
        <v>500.0</v>
      </c>
      <c r="H431" s="62">
        <v>18953.0</v>
      </c>
      <c r="I431" s="64">
        <f t="shared" si="88"/>
        <v>9476500</v>
      </c>
      <c r="J431" s="64">
        <f t="shared" si="89"/>
        <v>758120</v>
      </c>
      <c r="K431" s="64">
        <f t="shared" si="90"/>
        <v>10234620</v>
      </c>
      <c r="L431" s="65" t="s">
        <v>890</v>
      </c>
      <c r="M431" s="65" t="str">
        <f>VLOOKUP(L431,'Đơn đặt'!$C$3:$E$275,2,0)</f>
        <v>03-12-TS</v>
      </c>
      <c r="N431" s="65" t="str">
        <f>VLOOKUP(L431,'Đơn đặt'!$C$3:$E$275,3,0)</f>
        <v>38-2026/TS-AVP/ĐĐH</v>
      </c>
      <c r="O431" s="66">
        <v>46113.0</v>
      </c>
      <c r="P431" s="93" t="s">
        <v>887</v>
      </c>
      <c r="Q431" s="90">
        <v>500.0</v>
      </c>
      <c r="R431" s="76">
        <v>18246.6</v>
      </c>
      <c r="S431" s="64">
        <f t="shared" si="91"/>
        <v>9123300</v>
      </c>
      <c r="T431" s="64">
        <f t="shared" si="92"/>
        <v>729864</v>
      </c>
      <c r="U431" s="60">
        <f t="shared" si="2"/>
        <v>9853164</v>
      </c>
      <c r="V431" s="70"/>
      <c r="W431" s="23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</row>
    <row r="432" ht="25.5" customHeight="1">
      <c r="A432" s="55">
        <v>46113.0</v>
      </c>
      <c r="B432" s="56" t="s">
        <v>891</v>
      </c>
      <c r="C432" s="56" t="s">
        <v>59</v>
      </c>
      <c r="D432" s="58" t="s">
        <v>105</v>
      </c>
      <c r="E432" s="58" t="s">
        <v>70</v>
      </c>
      <c r="F432" s="56" t="s">
        <v>71</v>
      </c>
      <c r="G432" s="60">
        <v>2000.0</v>
      </c>
      <c r="H432" s="62">
        <v>18291.0</v>
      </c>
      <c r="I432" s="64">
        <v>3.6582E7</v>
      </c>
      <c r="J432" s="64">
        <v>2926560.0</v>
      </c>
      <c r="K432" s="64">
        <v>3.950856E7</v>
      </c>
      <c r="L432" s="65" t="s">
        <v>743</v>
      </c>
      <c r="M432" s="65" t="str">
        <f>VLOOKUP(L432,'Đơn đặt'!$C$3:$E$275,2,0)</f>
        <v>02-03-TS</v>
      </c>
      <c r="N432" s="65" t="str">
        <f>VLOOKUP(L432,'Đơn đặt'!$C$3:$E$275,3,0)</f>
        <v>21-2026/TS-AVP/ĐĐH</v>
      </c>
      <c r="O432" s="66">
        <v>46113.0</v>
      </c>
      <c r="P432" s="67" t="s">
        <v>892</v>
      </c>
      <c r="Q432" s="68">
        <v>2000.0</v>
      </c>
      <c r="R432" s="76">
        <v>16258.2</v>
      </c>
      <c r="S432" s="68">
        <v>3.25164E7</v>
      </c>
      <c r="T432" s="77">
        <v>2601312.0</v>
      </c>
      <c r="U432" s="60">
        <f t="shared" si="2"/>
        <v>35117712</v>
      </c>
      <c r="V432" s="70"/>
      <c r="W432" s="23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</row>
    <row r="433" ht="25.5" customHeight="1">
      <c r="A433" s="55">
        <v>46113.0</v>
      </c>
      <c r="B433" s="56" t="s">
        <v>891</v>
      </c>
      <c r="C433" s="56" t="s">
        <v>419</v>
      </c>
      <c r="D433" s="58" t="s">
        <v>555</v>
      </c>
      <c r="E433" s="58" t="s">
        <v>70</v>
      </c>
      <c r="F433" s="56" t="s">
        <v>71</v>
      </c>
      <c r="G433" s="60">
        <v>730.0</v>
      </c>
      <c r="H433" s="62">
        <v>20024.0</v>
      </c>
      <c r="I433" s="64">
        <v>1.461752E7</v>
      </c>
      <c r="J433" s="64">
        <v>1169402.0</v>
      </c>
      <c r="K433" s="64">
        <v>1.5786922E7</v>
      </c>
      <c r="L433" s="65" t="s">
        <v>895</v>
      </c>
      <c r="M433" s="65" t="str">
        <f>VLOOKUP(L433,'Đơn đặt'!$C$3:$E$275,2,0)</f>
        <v>03-12-TS</v>
      </c>
      <c r="N433" s="65" t="str">
        <f>VLOOKUP(L433,'Đơn đặt'!$C$3:$E$275,3,0)</f>
        <v>38-2026/TS-AVP/ĐĐH</v>
      </c>
      <c r="O433" s="66">
        <v>46113.0</v>
      </c>
      <c r="P433" s="67" t="s">
        <v>892</v>
      </c>
      <c r="Q433" s="68">
        <v>730.0</v>
      </c>
      <c r="R433" s="76">
        <v>17900.8</v>
      </c>
      <c r="S433" s="77">
        <v>1.3067584E7</v>
      </c>
      <c r="T433" s="77">
        <v>1045407.0</v>
      </c>
      <c r="U433" s="60">
        <f t="shared" si="2"/>
        <v>14112991</v>
      </c>
      <c r="V433" s="70"/>
      <c r="W433" s="23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</row>
    <row r="434" ht="25.5" customHeight="1">
      <c r="A434" s="55">
        <v>46113.0</v>
      </c>
      <c r="B434" s="56" t="s">
        <v>898</v>
      </c>
      <c r="C434" s="56" t="s">
        <v>48</v>
      </c>
      <c r="D434" s="58" t="s">
        <v>47</v>
      </c>
      <c r="E434" s="58" t="s">
        <v>70</v>
      </c>
      <c r="F434" s="56" t="s">
        <v>71</v>
      </c>
      <c r="G434" s="60">
        <v>6000.0</v>
      </c>
      <c r="H434" s="62">
        <v>18291.0</v>
      </c>
      <c r="I434" s="64">
        <v>1.09746E8</v>
      </c>
      <c r="J434" s="64">
        <v>8779680.0</v>
      </c>
      <c r="K434" s="64">
        <v>1.1852568E8</v>
      </c>
      <c r="L434" s="65" t="s">
        <v>771</v>
      </c>
      <c r="M434" s="65" t="str">
        <f>VLOOKUP(L434,'Đơn đặt'!$C$3:$E$275,2,0)</f>
        <v>02-03-TS</v>
      </c>
      <c r="N434" s="65" t="str">
        <f>VLOOKUP(L434,'Đơn đặt'!$C$3:$E$275,3,0)</f>
        <v>22-2026/TS-AVP/ĐĐH</v>
      </c>
      <c r="O434" s="66">
        <v>46113.0</v>
      </c>
      <c r="P434" s="67" t="s">
        <v>899</v>
      </c>
      <c r="Q434" s="68">
        <v>6000.0</v>
      </c>
      <c r="R434" s="68">
        <v>14482.2</v>
      </c>
      <c r="S434" s="68">
        <v>8.68932E7</v>
      </c>
      <c r="T434" s="68">
        <v>6951456.0</v>
      </c>
      <c r="U434" s="60">
        <f t="shared" si="2"/>
        <v>93844656</v>
      </c>
      <c r="V434" s="70"/>
      <c r="W434" s="23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</row>
    <row r="435" ht="25.5" customHeight="1">
      <c r="A435" s="55">
        <v>46113.0</v>
      </c>
      <c r="B435" s="56" t="s">
        <v>898</v>
      </c>
      <c r="C435" s="56" t="s">
        <v>50</v>
      </c>
      <c r="D435" s="58" t="s">
        <v>49</v>
      </c>
      <c r="E435" s="58" t="s">
        <v>70</v>
      </c>
      <c r="F435" s="56" t="s">
        <v>71</v>
      </c>
      <c r="G435" s="60">
        <v>2000.0</v>
      </c>
      <c r="H435" s="62">
        <v>18291.0</v>
      </c>
      <c r="I435" s="64">
        <v>3.6582E7</v>
      </c>
      <c r="J435" s="64">
        <v>2926560.0</v>
      </c>
      <c r="K435" s="64">
        <v>3.950856E7</v>
      </c>
      <c r="L435" s="65" t="s">
        <v>773</v>
      </c>
      <c r="M435" s="65" t="str">
        <f>VLOOKUP(L435,'Đơn đặt'!$C$3:$E$275,2,0)</f>
        <v>02-03-TS</v>
      </c>
      <c r="N435" s="65" t="str">
        <f>VLOOKUP(L435,'Đơn đặt'!$C$3:$E$275,3,0)</f>
        <v>22-2026/TS-AVP/ĐĐH</v>
      </c>
      <c r="O435" s="66">
        <v>46113.0</v>
      </c>
      <c r="P435" s="67" t="s">
        <v>899</v>
      </c>
      <c r="Q435" s="68">
        <v>2000.0</v>
      </c>
      <c r="R435" s="76">
        <v>14482.2</v>
      </c>
      <c r="S435" s="77">
        <v>2.89644E7</v>
      </c>
      <c r="T435" s="77">
        <v>2317152.0</v>
      </c>
      <c r="U435" s="60">
        <f t="shared" si="2"/>
        <v>31281552</v>
      </c>
      <c r="V435" s="70"/>
      <c r="W435" s="23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</row>
    <row r="436" ht="25.5" customHeight="1">
      <c r="A436" s="55">
        <v>46114.0</v>
      </c>
      <c r="B436" s="56" t="s">
        <v>900</v>
      </c>
      <c r="C436" s="56" t="s">
        <v>59</v>
      </c>
      <c r="D436" s="58" t="s">
        <v>105</v>
      </c>
      <c r="E436" s="58" t="s">
        <v>70</v>
      </c>
      <c r="F436" s="56" t="s">
        <v>71</v>
      </c>
      <c r="G436" s="60">
        <v>500.0</v>
      </c>
      <c r="H436" s="62">
        <v>18291.0</v>
      </c>
      <c r="I436" s="64">
        <v>9145500.0</v>
      </c>
      <c r="J436" s="64">
        <v>731640.0</v>
      </c>
      <c r="K436" s="64">
        <v>9877140.0</v>
      </c>
      <c r="L436" s="65" t="s">
        <v>743</v>
      </c>
      <c r="M436" s="65" t="str">
        <f>VLOOKUP(L436,'Đơn đặt'!$C$3:$E$275,2,0)</f>
        <v>02-03-TS</v>
      </c>
      <c r="N436" s="65" t="str">
        <f>VLOOKUP(L436,'Đơn đặt'!$C$3:$E$275,3,0)</f>
        <v>21-2026/TS-AVP/ĐĐH</v>
      </c>
      <c r="O436" s="66">
        <v>46114.0</v>
      </c>
      <c r="P436" s="67" t="s">
        <v>903</v>
      </c>
      <c r="Q436" s="68">
        <v>500.0</v>
      </c>
      <c r="R436" s="76">
        <v>16258.2</v>
      </c>
      <c r="S436" s="68">
        <v>8129100.0</v>
      </c>
      <c r="T436" s="77">
        <v>650328.0</v>
      </c>
      <c r="U436" s="60">
        <f t="shared" si="2"/>
        <v>8779428</v>
      </c>
      <c r="V436" s="70"/>
      <c r="W436" s="23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</row>
    <row r="437" ht="25.5" customHeight="1">
      <c r="A437" s="55">
        <v>46114.0</v>
      </c>
      <c r="B437" s="56" t="s">
        <v>900</v>
      </c>
      <c r="C437" s="56" t="s">
        <v>247</v>
      </c>
      <c r="D437" s="58" t="s">
        <v>380</v>
      </c>
      <c r="E437" s="58" t="s">
        <v>70</v>
      </c>
      <c r="F437" s="56" t="s">
        <v>71</v>
      </c>
      <c r="G437" s="60">
        <v>800.0</v>
      </c>
      <c r="H437" s="62">
        <v>18365.0</v>
      </c>
      <c r="I437" s="64">
        <v>1.4692E7</v>
      </c>
      <c r="J437" s="64">
        <v>1175360.0</v>
      </c>
      <c r="K437" s="64">
        <v>1.586736E7</v>
      </c>
      <c r="L437" s="65" t="s">
        <v>883</v>
      </c>
      <c r="M437" s="65" t="str">
        <f>VLOOKUP(L437,'Đơn đặt'!$C$3:$E$275,2,0)</f>
        <v>03-12-TS</v>
      </c>
      <c r="N437" s="65" t="str">
        <f>VLOOKUP(L437,'Đơn đặt'!$C$3:$E$275,3,0)</f>
        <v>38-2026/TS-AVP/ĐĐH</v>
      </c>
      <c r="O437" s="66">
        <v>46114.0</v>
      </c>
      <c r="P437" s="67" t="s">
        <v>903</v>
      </c>
      <c r="Q437" s="68">
        <v>800.0</v>
      </c>
      <c r="R437" s="76">
        <v>17569.0</v>
      </c>
      <c r="S437" s="77">
        <v>1.40552E7</v>
      </c>
      <c r="T437" s="77">
        <v>1124416.0</v>
      </c>
      <c r="U437" s="60">
        <f t="shared" si="2"/>
        <v>15179616</v>
      </c>
      <c r="V437" s="70"/>
      <c r="W437" s="23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</row>
    <row r="438" ht="25.5" customHeight="1">
      <c r="A438" s="55">
        <v>46114.0</v>
      </c>
      <c r="B438" s="56" t="s">
        <v>900</v>
      </c>
      <c r="C438" s="56" t="s">
        <v>244</v>
      </c>
      <c r="D438" s="58" t="s">
        <v>245</v>
      </c>
      <c r="E438" s="58" t="s">
        <v>70</v>
      </c>
      <c r="F438" s="56" t="s">
        <v>71</v>
      </c>
      <c r="G438" s="60">
        <v>2200.0</v>
      </c>
      <c r="H438" s="62">
        <v>18953.0</v>
      </c>
      <c r="I438" s="64">
        <v>4.16966E7</v>
      </c>
      <c r="J438" s="64">
        <v>3335728.0</v>
      </c>
      <c r="K438" s="64">
        <v>4.5032328E7</v>
      </c>
      <c r="L438" s="65" t="s">
        <v>906</v>
      </c>
      <c r="M438" s="65" t="str">
        <f>VLOOKUP(L438,'Đơn đặt'!$C$3:$E$275,2,0)</f>
        <v>03-12-TS</v>
      </c>
      <c r="N438" s="65" t="str">
        <f>VLOOKUP(L438,'Đơn đặt'!$C$3:$E$275,3,0)</f>
        <v>38-2026/TS-AVP/ĐĐH</v>
      </c>
      <c r="O438" s="66">
        <v>46114.0</v>
      </c>
      <c r="P438" s="67" t="s">
        <v>903</v>
      </c>
      <c r="Q438" s="68">
        <v>2200.0</v>
      </c>
      <c r="R438" s="76">
        <v>18246.6</v>
      </c>
      <c r="S438" s="77">
        <v>4.014252E7</v>
      </c>
      <c r="T438" s="77">
        <v>3211402.0</v>
      </c>
      <c r="U438" s="60">
        <f t="shared" si="2"/>
        <v>43353922</v>
      </c>
      <c r="V438" s="70"/>
      <c r="W438" s="23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</row>
    <row r="439" ht="25.5" customHeight="1">
      <c r="A439" s="55">
        <v>46114.0</v>
      </c>
      <c r="B439" s="56" t="s">
        <v>907</v>
      </c>
      <c r="C439" s="56" t="s">
        <v>14</v>
      </c>
      <c r="D439" s="58" t="s">
        <v>13</v>
      </c>
      <c r="E439" s="58" t="s">
        <v>70</v>
      </c>
      <c r="F439" s="56" t="s">
        <v>71</v>
      </c>
      <c r="G439" s="60">
        <v>2000.0</v>
      </c>
      <c r="H439" s="62">
        <v>19404.0</v>
      </c>
      <c r="I439" s="64">
        <v>3.8808E7</v>
      </c>
      <c r="J439" s="64">
        <v>3104640.0</v>
      </c>
      <c r="K439" s="64">
        <v>4.191264E7</v>
      </c>
      <c r="L439" s="65" t="s">
        <v>840</v>
      </c>
      <c r="M439" s="65" t="str">
        <f>VLOOKUP(L439,'Đơn đặt'!$C$3:$E$275,2,0)</f>
        <v>02-03-TS</v>
      </c>
      <c r="N439" s="65" t="str">
        <f>VLOOKUP(L439,'Đơn đặt'!$C$3:$E$275,3,0)</f>
        <v>21-2026/TS-AVP/ĐĐH</v>
      </c>
      <c r="O439" s="66">
        <v>46114.0</v>
      </c>
      <c r="P439" s="67" t="s">
        <v>908</v>
      </c>
      <c r="Q439" s="68">
        <v>2000.0</v>
      </c>
      <c r="R439" s="76">
        <v>17776.8</v>
      </c>
      <c r="S439" s="77">
        <v>3.55536E7</v>
      </c>
      <c r="T439" s="77">
        <v>2844288.0</v>
      </c>
      <c r="U439" s="60">
        <f t="shared" si="2"/>
        <v>38397888</v>
      </c>
      <c r="V439" s="70"/>
      <c r="W439" s="23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</row>
    <row r="440" ht="25.5" customHeight="1">
      <c r="A440" s="55">
        <v>46114.0</v>
      </c>
      <c r="B440" s="56" t="s">
        <v>907</v>
      </c>
      <c r="C440" s="56" t="s">
        <v>272</v>
      </c>
      <c r="D440" s="58" t="s">
        <v>273</v>
      </c>
      <c r="E440" s="58" t="s">
        <v>70</v>
      </c>
      <c r="F440" s="56" t="s">
        <v>71</v>
      </c>
      <c r="G440" s="60">
        <v>2500.0</v>
      </c>
      <c r="H440" s="62">
        <v>17325.0</v>
      </c>
      <c r="I440" s="64">
        <v>4.33125E7</v>
      </c>
      <c r="J440" s="64">
        <v>3465000.0</v>
      </c>
      <c r="K440" s="64">
        <v>4.67775E7</v>
      </c>
      <c r="L440" s="65" t="s">
        <v>800</v>
      </c>
      <c r="M440" s="65" t="str">
        <f>VLOOKUP(L440,'Đơn đặt'!$C$3:$E$275,2,0)</f>
        <v>01-04-TS</v>
      </c>
      <c r="N440" s="65" t="str">
        <f>VLOOKUP(L440,'Đơn đặt'!$C$3:$E$275,3,0)</f>
        <v>07-2026/TS-AVP/ĐĐH</v>
      </c>
      <c r="O440" s="66">
        <v>46114.0</v>
      </c>
      <c r="P440" s="67" t="s">
        <v>908</v>
      </c>
      <c r="Q440" s="68">
        <v>2500.0</v>
      </c>
      <c r="R440" s="76">
        <v>16505.0</v>
      </c>
      <c r="S440" s="77">
        <v>4.12625E7</v>
      </c>
      <c r="T440" s="77">
        <v>3301000.0</v>
      </c>
      <c r="U440" s="60">
        <f t="shared" si="2"/>
        <v>44563500</v>
      </c>
      <c r="V440" s="70"/>
      <c r="W440" s="23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</row>
    <row r="441" ht="25.5" customHeight="1">
      <c r="A441" s="55">
        <v>46114.0</v>
      </c>
      <c r="B441" s="56" t="s">
        <v>911</v>
      </c>
      <c r="C441" s="56" t="s">
        <v>59</v>
      </c>
      <c r="D441" s="58" t="s">
        <v>105</v>
      </c>
      <c r="E441" s="58" t="s">
        <v>70</v>
      </c>
      <c r="F441" s="56" t="s">
        <v>71</v>
      </c>
      <c r="G441" s="60">
        <v>400.0</v>
      </c>
      <c r="H441" s="62">
        <v>18291.0</v>
      </c>
      <c r="I441" s="64">
        <v>7316400.0</v>
      </c>
      <c r="J441" s="64">
        <v>585312.0</v>
      </c>
      <c r="K441" s="64">
        <v>7901712.0</v>
      </c>
      <c r="L441" s="65" t="s">
        <v>743</v>
      </c>
      <c r="M441" s="65" t="str">
        <f>VLOOKUP(L441,'Đơn đặt'!$C$3:$E$275,2,0)</f>
        <v>02-03-TS</v>
      </c>
      <c r="N441" s="65" t="str">
        <f>VLOOKUP(L441,'Đơn đặt'!$C$3:$E$275,3,0)</f>
        <v>21-2026/TS-AVP/ĐĐH</v>
      </c>
      <c r="O441" s="66">
        <v>46114.0</v>
      </c>
      <c r="P441" s="67" t="s">
        <v>912</v>
      </c>
      <c r="Q441" s="68">
        <v>400.0</v>
      </c>
      <c r="R441" s="76">
        <v>16258.2</v>
      </c>
      <c r="S441" s="68">
        <v>6503280.0</v>
      </c>
      <c r="T441" s="77">
        <v>520262.0</v>
      </c>
      <c r="U441" s="60">
        <f t="shared" si="2"/>
        <v>7023542</v>
      </c>
      <c r="V441" s="70"/>
      <c r="W441" s="23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</row>
    <row r="442" ht="25.5" customHeight="1">
      <c r="A442" s="55">
        <v>46114.0</v>
      </c>
      <c r="B442" s="56" t="s">
        <v>911</v>
      </c>
      <c r="C442" s="56" t="s">
        <v>38</v>
      </c>
      <c r="D442" s="58" t="s">
        <v>36</v>
      </c>
      <c r="E442" s="58" t="s">
        <v>70</v>
      </c>
      <c r="F442" s="56" t="s">
        <v>71</v>
      </c>
      <c r="G442" s="60">
        <v>2000.0</v>
      </c>
      <c r="H442" s="62">
        <v>18953.0</v>
      </c>
      <c r="I442" s="64">
        <v>3.7906E7</v>
      </c>
      <c r="J442" s="64">
        <v>3032480.0</v>
      </c>
      <c r="K442" s="64">
        <v>4.093848E7</v>
      </c>
      <c r="L442" s="65" t="s">
        <v>913</v>
      </c>
      <c r="M442" s="65" t="str">
        <f>VLOOKUP(L442,'Đơn đặt'!$C$3:$E$275,2,0)</f>
        <v>03-09-TS</v>
      </c>
      <c r="N442" s="65" t="str">
        <f>VLOOKUP(L442,'Đơn đặt'!$C$3:$E$275,3,0)</f>
        <v>35-2026/TS-AVP/ĐĐH</v>
      </c>
      <c r="O442" s="66">
        <v>46114.0</v>
      </c>
      <c r="P442" s="67" t="s">
        <v>912</v>
      </c>
      <c r="Q442" s="68">
        <v>2000.0</v>
      </c>
      <c r="R442" s="76">
        <v>18246.6</v>
      </c>
      <c r="S442" s="77">
        <v>3.64932E7</v>
      </c>
      <c r="T442" s="77">
        <v>2919456.0</v>
      </c>
      <c r="U442" s="60">
        <f t="shared" si="2"/>
        <v>39412656</v>
      </c>
      <c r="V442" s="70"/>
      <c r="W442" s="23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</row>
    <row r="443" ht="25.5" customHeight="1">
      <c r="A443" s="55">
        <v>46114.0</v>
      </c>
      <c r="B443" s="56" t="s">
        <v>911</v>
      </c>
      <c r="C443" s="56" t="s">
        <v>119</v>
      </c>
      <c r="D443" s="58" t="s">
        <v>120</v>
      </c>
      <c r="E443" s="58" t="s">
        <v>70</v>
      </c>
      <c r="F443" s="56" t="s">
        <v>71</v>
      </c>
      <c r="G443" s="60">
        <v>2000.0</v>
      </c>
      <c r="H443" s="62">
        <v>19310.0</v>
      </c>
      <c r="I443" s="64">
        <v>3.862E7</v>
      </c>
      <c r="J443" s="64">
        <v>3089600.0</v>
      </c>
      <c r="K443" s="64">
        <v>4.17096E7</v>
      </c>
      <c r="L443" s="65" t="s">
        <v>228</v>
      </c>
      <c r="M443" s="65" t="str">
        <f>VLOOKUP(L443,'Đơn đặt'!$C$3:$E$275,2,0)</f>
        <v>01-02-TS</v>
      </c>
      <c r="N443" s="65" t="str">
        <f>VLOOKUP(L443,'Đơn đặt'!$C$3:$E$275,3,0)</f>
        <v>04-2026/TS-AVP/ĐĐH</v>
      </c>
      <c r="O443" s="66">
        <v>46114.0</v>
      </c>
      <c r="P443" s="93" t="s">
        <v>914</v>
      </c>
      <c r="Q443" s="68">
        <v>2000.0</v>
      </c>
      <c r="R443" s="76">
        <v>17438.0</v>
      </c>
      <c r="S443" s="64">
        <f>ROUND(Q443*R443,0)</f>
        <v>34876000</v>
      </c>
      <c r="T443" s="64">
        <f>ROUND(S443*0.08,0)</f>
        <v>2790080</v>
      </c>
      <c r="U443" s="60">
        <f t="shared" si="2"/>
        <v>37666080</v>
      </c>
      <c r="V443" s="70"/>
      <c r="W443" s="23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</row>
    <row r="444" ht="25.5" customHeight="1">
      <c r="A444" s="55">
        <v>46114.0</v>
      </c>
      <c r="B444" s="56" t="s">
        <v>915</v>
      </c>
      <c r="C444" s="56" t="s">
        <v>55</v>
      </c>
      <c r="D444" s="58" t="s">
        <v>53</v>
      </c>
      <c r="E444" s="58" t="s">
        <v>70</v>
      </c>
      <c r="F444" s="56" t="s">
        <v>71</v>
      </c>
      <c r="G444" s="60">
        <v>4000.0</v>
      </c>
      <c r="H444" s="62">
        <v>20024.0</v>
      </c>
      <c r="I444" s="64">
        <v>8.0096E7</v>
      </c>
      <c r="J444" s="64">
        <v>6407680.0</v>
      </c>
      <c r="K444" s="64">
        <v>8.650368E7</v>
      </c>
      <c r="L444" s="65" t="s">
        <v>693</v>
      </c>
      <c r="M444" s="65" t="str">
        <f>VLOOKUP(L444,'Đơn đặt'!$C$3:$E$275,2,0)</f>
        <v>02-03-TS</v>
      </c>
      <c r="N444" s="65" t="str">
        <f>VLOOKUP(L444,'Đơn đặt'!$C$3:$E$275,3,0)</f>
        <v>23-2026/TS-AVP/ĐĐH</v>
      </c>
      <c r="O444" s="66">
        <v>46114.0</v>
      </c>
      <c r="P444" s="67" t="s">
        <v>916</v>
      </c>
      <c r="Q444" s="68">
        <v>4000.0</v>
      </c>
      <c r="R444" s="76">
        <v>16788.8</v>
      </c>
      <c r="S444" s="77">
        <v>6.71552E7</v>
      </c>
      <c r="T444" s="77">
        <v>5372416.0</v>
      </c>
      <c r="U444" s="60">
        <f t="shared" si="2"/>
        <v>72527616</v>
      </c>
      <c r="V444" s="70"/>
      <c r="W444" s="23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</row>
    <row r="445" ht="25.5" customHeight="1">
      <c r="A445" s="55">
        <v>46115.0</v>
      </c>
      <c r="B445" s="56" t="s">
        <v>917</v>
      </c>
      <c r="C445" s="56" t="s">
        <v>206</v>
      </c>
      <c r="D445" s="58" t="s">
        <v>207</v>
      </c>
      <c r="E445" s="58" t="s">
        <v>70</v>
      </c>
      <c r="F445" s="56" t="s">
        <v>71</v>
      </c>
      <c r="G445" s="60">
        <v>2500.0</v>
      </c>
      <c r="H445" s="62">
        <v>18134.0</v>
      </c>
      <c r="I445" s="64">
        <v>4.5335E7</v>
      </c>
      <c r="J445" s="64">
        <v>3626800.0</v>
      </c>
      <c r="K445" s="64">
        <v>4.89618E7</v>
      </c>
      <c r="L445" s="65" t="s">
        <v>451</v>
      </c>
      <c r="M445" s="65" t="str">
        <f>VLOOKUP(L445,'Đơn đặt'!$C$3:$E$275,2,0)</f>
        <v>01-04-TS</v>
      </c>
      <c r="N445" s="65" t="str">
        <f>VLOOKUP(L445,'Đơn đặt'!$C$3:$E$275,3,0)</f>
        <v>07-2026/TS-AVP/ĐĐH</v>
      </c>
      <c r="O445" s="66">
        <v>46115.0</v>
      </c>
      <c r="P445" s="67" t="s">
        <v>918</v>
      </c>
      <c r="Q445" s="68">
        <v>2500.0</v>
      </c>
      <c r="R445" s="76">
        <v>17202.8</v>
      </c>
      <c r="S445" s="77">
        <v>4.3007E7</v>
      </c>
      <c r="T445" s="77">
        <v>3440560.0</v>
      </c>
      <c r="U445" s="60">
        <f t="shared" si="2"/>
        <v>46447560</v>
      </c>
      <c r="V445" s="70"/>
      <c r="W445" s="23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</row>
    <row r="446" ht="25.5" customHeight="1">
      <c r="A446" s="55">
        <v>46115.0</v>
      </c>
      <c r="B446" s="56" t="s">
        <v>701</v>
      </c>
      <c r="C446" s="56" t="s">
        <v>48</v>
      </c>
      <c r="D446" s="58" t="s">
        <v>47</v>
      </c>
      <c r="E446" s="58" t="s">
        <v>70</v>
      </c>
      <c r="F446" s="56" t="s">
        <v>71</v>
      </c>
      <c r="G446" s="60">
        <v>6000.0</v>
      </c>
      <c r="H446" s="62">
        <v>18291.0</v>
      </c>
      <c r="I446" s="64">
        <v>1.09746E8</v>
      </c>
      <c r="J446" s="64">
        <v>8779680.0</v>
      </c>
      <c r="K446" s="64">
        <v>1.1852568E8</v>
      </c>
      <c r="L446" s="65" t="s">
        <v>771</v>
      </c>
      <c r="M446" s="65" t="str">
        <f>VLOOKUP(L446,'Đơn đặt'!$C$3:$E$275,2,0)</f>
        <v>02-03-TS</v>
      </c>
      <c r="N446" s="65" t="str">
        <f>VLOOKUP(L446,'Đơn đặt'!$C$3:$E$275,3,0)</f>
        <v>22-2026/TS-AVP/ĐĐH</v>
      </c>
      <c r="O446" s="66">
        <v>46115.0</v>
      </c>
      <c r="P446" s="93" t="s">
        <v>920</v>
      </c>
      <c r="Q446" s="68">
        <v>6000.0</v>
      </c>
      <c r="R446" s="68">
        <v>14482.2</v>
      </c>
      <c r="S446" s="60">
        <f>ROUND(Q446*R446,0)</f>
        <v>86893200</v>
      </c>
      <c r="T446" s="60">
        <f>ROUND(S446*0.08,0)</f>
        <v>6951456</v>
      </c>
      <c r="U446" s="60">
        <f t="shared" si="2"/>
        <v>93844656</v>
      </c>
      <c r="V446" s="70"/>
      <c r="W446" s="23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</row>
    <row r="447" ht="25.5" customHeight="1">
      <c r="A447" s="55">
        <v>46115.0</v>
      </c>
      <c r="B447" s="56" t="s">
        <v>701</v>
      </c>
      <c r="C447" s="56" t="s">
        <v>50</v>
      </c>
      <c r="D447" s="58" t="s">
        <v>49</v>
      </c>
      <c r="E447" s="58" t="s">
        <v>70</v>
      </c>
      <c r="F447" s="56" t="s">
        <v>71</v>
      </c>
      <c r="G447" s="60">
        <v>2000.0</v>
      </c>
      <c r="H447" s="62">
        <v>18291.0</v>
      </c>
      <c r="I447" s="64">
        <v>3.6582E7</v>
      </c>
      <c r="J447" s="64">
        <v>2926560.0</v>
      </c>
      <c r="K447" s="64">
        <v>3.950856E7</v>
      </c>
      <c r="L447" s="65" t="s">
        <v>773</v>
      </c>
      <c r="M447" s="65" t="str">
        <f>VLOOKUP(L447,'Đơn đặt'!$C$3:$E$275,2,0)</f>
        <v>02-03-TS</v>
      </c>
      <c r="N447" s="65" t="str">
        <f>VLOOKUP(L447,'Đơn đặt'!$C$3:$E$275,3,0)</f>
        <v>22-2026/TS-AVP/ĐĐH</v>
      </c>
      <c r="O447" s="66">
        <v>46115.0</v>
      </c>
      <c r="P447" s="67" t="s">
        <v>921</v>
      </c>
      <c r="Q447" s="68">
        <v>2000.0</v>
      </c>
      <c r="R447" s="76">
        <v>14482.2</v>
      </c>
      <c r="S447" s="77">
        <v>2.89644E7</v>
      </c>
      <c r="T447" s="77">
        <v>2317152.0</v>
      </c>
      <c r="U447" s="60">
        <f t="shared" si="2"/>
        <v>31281552</v>
      </c>
      <c r="V447" s="70"/>
      <c r="W447" s="23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</row>
    <row r="448" ht="25.5" customHeight="1">
      <c r="A448" s="55">
        <v>46115.0</v>
      </c>
      <c r="B448" s="56" t="s">
        <v>700</v>
      </c>
      <c r="C448" s="56" t="s">
        <v>59</v>
      </c>
      <c r="D448" s="58" t="s">
        <v>105</v>
      </c>
      <c r="E448" s="58" t="s">
        <v>70</v>
      </c>
      <c r="F448" s="56" t="s">
        <v>71</v>
      </c>
      <c r="G448" s="60">
        <v>1790.0</v>
      </c>
      <c r="H448" s="62">
        <v>18291.0</v>
      </c>
      <c r="I448" s="64">
        <v>3.274089E7</v>
      </c>
      <c r="J448" s="64">
        <v>2619271.0</v>
      </c>
      <c r="K448" s="64">
        <v>3.5360161E7</v>
      </c>
      <c r="L448" s="65" t="s">
        <v>743</v>
      </c>
      <c r="M448" s="65" t="str">
        <f>VLOOKUP(L448,'Đơn đặt'!$C$3:$E$275,2,0)</f>
        <v>02-03-TS</v>
      </c>
      <c r="N448" s="65" t="str">
        <f>VLOOKUP(L448,'Đơn đặt'!$C$3:$E$275,3,0)</f>
        <v>21-2026/TS-AVP/ĐĐH</v>
      </c>
      <c r="O448" s="66">
        <v>46115.0</v>
      </c>
      <c r="P448" s="67" t="s">
        <v>922</v>
      </c>
      <c r="Q448" s="68">
        <v>1790.0</v>
      </c>
      <c r="R448" s="76">
        <v>16258.2</v>
      </c>
      <c r="S448" s="68">
        <v>2.9102178E7</v>
      </c>
      <c r="T448" s="77">
        <v>2328174.0</v>
      </c>
      <c r="U448" s="60">
        <f t="shared" si="2"/>
        <v>31430352</v>
      </c>
      <c r="V448" s="70"/>
      <c r="W448" s="23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</row>
    <row r="449" ht="25.5" customHeight="1">
      <c r="A449" s="55">
        <v>46115.0</v>
      </c>
      <c r="B449" s="56" t="s">
        <v>700</v>
      </c>
      <c r="C449" s="56" t="s">
        <v>206</v>
      </c>
      <c r="D449" s="58" t="s">
        <v>207</v>
      </c>
      <c r="E449" s="58" t="s">
        <v>70</v>
      </c>
      <c r="F449" s="56" t="s">
        <v>71</v>
      </c>
      <c r="G449" s="60">
        <v>500.0</v>
      </c>
      <c r="H449" s="62">
        <v>18134.0</v>
      </c>
      <c r="I449" s="64">
        <v>9067000.0</v>
      </c>
      <c r="J449" s="64">
        <v>725360.0</v>
      </c>
      <c r="K449" s="64">
        <v>9792360.0</v>
      </c>
      <c r="L449" s="65" t="s">
        <v>451</v>
      </c>
      <c r="M449" s="65" t="str">
        <f>VLOOKUP(L449,'Đơn đặt'!$C$3:$E$275,2,0)</f>
        <v>01-04-TS</v>
      </c>
      <c r="N449" s="65" t="str">
        <f>VLOOKUP(L449,'Đơn đặt'!$C$3:$E$275,3,0)</f>
        <v>07-2026/TS-AVP/ĐĐH</v>
      </c>
      <c r="O449" s="66">
        <v>46115.0</v>
      </c>
      <c r="P449" s="67" t="s">
        <v>922</v>
      </c>
      <c r="Q449" s="68">
        <v>500.0</v>
      </c>
      <c r="R449" s="76">
        <v>17202.8</v>
      </c>
      <c r="S449" s="77">
        <v>8601400.0</v>
      </c>
      <c r="T449" s="77">
        <v>688112.0</v>
      </c>
      <c r="U449" s="60">
        <f t="shared" si="2"/>
        <v>9289512</v>
      </c>
      <c r="V449" s="70"/>
      <c r="W449" s="23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</row>
    <row r="450" ht="25.5" customHeight="1">
      <c r="A450" s="55">
        <v>46115.0</v>
      </c>
      <c r="B450" s="56" t="s">
        <v>700</v>
      </c>
      <c r="C450" s="56" t="s">
        <v>119</v>
      </c>
      <c r="D450" s="58" t="s">
        <v>120</v>
      </c>
      <c r="E450" s="58" t="s">
        <v>70</v>
      </c>
      <c r="F450" s="56" t="s">
        <v>71</v>
      </c>
      <c r="G450" s="60">
        <v>1000.0</v>
      </c>
      <c r="H450" s="62">
        <v>19310.0</v>
      </c>
      <c r="I450" s="64">
        <v>1.931E7</v>
      </c>
      <c r="J450" s="64">
        <v>1544800.0</v>
      </c>
      <c r="K450" s="64">
        <v>2.08548E7</v>
      </c>
      <c r="L450" s="65" t="s">
        <v>228</v>
      </c>
      <c r="M450" s="65" t="str">
        <f>VLOOKUP(L450,'Đơn đặt'!$C$3:$E$275,2,0)</f>
        <v>01-02-TS</v>
      </c>
      <c r="N450" s="65" t="str">
        <f>VLOOKUP(L450,'Đơn đặt'!$C$3:$E$275,3,0)</f>
        <v>04-2026/TS-AVP/ĐĐH</v>
      </c>
      <c r="O450" s="66">
        <v>46115.0</v>
      </c>
      <c r="P450" s="67" t="s">
        <v>922</v>
      </c>
      <c r="Q450" s="68">
        <v>1000.0</v>
      </c>
      <c r="R450" s="76">
        <v>17438.0</v>
      </c>
      <c r="S450" s="77">
        <v>1.7438E7</v>
      </c>
      <c r="T450" s="77">
        <v>1395040.0</v>
      </c>
      <c r="U450" s="60">
        <f t="shared" si="2"/>
        <v>18833040</v>
      </c>
      <c r="V450" s="70"/>
      <c r="W450" s="23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</row>
    <row r="451" ht="25.5" customHeight="1">
      <c r="A451" s="55">
        <v>46115.0</v>
      </c>
      <c r="B451" s="56" t="s">
        <v>700</v>
      </c>
      <c r="C451" s="56" t="s">
        <v>29</v>
      </c>
      <c r="D451" s="58" t="s">
        <v>28</v>
      </c>
      <c r="E451" s="58" t="s">
        <v>70</v>
      </c>
      <c r="F451" s="56" t="s">
        <v>71</v>
      </c>
      <c r="G451" s="60">
        <v>900.0</v>
      </c>
      <c r="H451" s="62">
        <v>19152.0</v>
      </c>
      <c r="I451" s="64">
        <v>1.72368E7</v>
      </c>
      <c r="J451" s="64">
        <v>1378944.0</v>
      </c>
      <c r="K451" s="64">
        <v>1.8615744E7</v>
      </c>
      <c r="L451" s="65" t="s">
        <v>923</v>
      </c>
      <c r="M451" s="65" t="str">
        <f>VLOOKUP(L451,'Đơn đặt'!$C$3:$E$275,2,0)</f>
        <v>03-12-TS</v>
      </c>
      <c r="N451" s="65" t="str">
        <f>VLOOKUP(L451,'Đơn đặt'!$C$3:$E$275,3,0)</f>
        <v>38-2026/TS-AVP/ĐĐH</v>
      </c>
      <c r="O451" s="66">
        <v>46115.0</v>
      </c>
      <c r="P451" s="67" t="s">
        <v>922</v>
      </c>
      <c r="Q451" s="68">
        <v>900.0</v>
      </c>
      <c r="R451" s="76">
        <v>19118.4</v>
      </c>
      <c r="S451" s="77">
        <v>1.720656E7</v>
      </c>
      <c r="T451" s="77">
        <v>1376525.0</v>
      </c>
      <c r="U451" s="60">
        <f t="shared" si="2"/>
        <v>18583085</v>
      </c>
      <c r="V451" s="70"/>
      <c r="W451" s="23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</row>
    <row r="452" ht="25.5" customHeight="1">
      <c r="A452" s="55">
        <v>46118.0</v>
      </c>
      <c r="B452" s="56" t="s">
        <v>924</v>
      </c>
      <c r="C452" s="56" t="s">
        <v>14</v>
      </c>
      <c r="D452" s="58" t="s">
        <v>13</v>
      </c>
      <c r="E452" s="58" t="s">
        <v>70</v>
      </c>
      <c r="F452" s="56" t="s">
        <v>71</v>
      </c>
      <c r="G452" s="60">
        <v>2000.0</v>
      </c>
      <c r="H452" s="62">
        <v>19404.0</v>
      </c>
      <c r="I452" s="64">
        <v>3.8808E7</v>
      </c>
      <c r="J452" s="64">
        <v>3104640.0</v>
      </c>
      <c r="K452" s="64">
        <v>4.191264E7</v>
      </c>
      <c r="L452" s="65" t="s">
        <v>840</v>
      </c>
      <c r="M452" s="65" t="str">
        <f>VLOOKUP(L452,'Đơn đặt'!$C$3:$E$275,2,0)</f>
        <v>02-03-TS</v>
      </c>
      <c r="N452" s="65" t="str">
        <f>VLOOKUP(L452,'Đơn đặt'!$C$3:$E$275,3,0)</f>
        <v>21-2026/TS-AVP/ĐĐH</v>
      </c>
      <c r="O452" s="66">
        <v>46116.0</v>
      </c>
      <c r="P452" s="67" t="s">
        <v>925</v>
      </c>
      <c r="Q452" s="68">
        <v>2000.0</v>
      </c>
      <c r="R452" s="76">
        <v>17776.8</v>
      </c>
      <c r="S452" s="77">
        <v>3.55536E7</v>
      </c>
      <c r="T452" s="77">
        <v>2844288.0</v>
      </c>
      <c r="U452" s="60">
        <f t="shared" si="2"/>
        <v>38397888</v>
      </c>
      <c r="V452" s="70"/>
      <c r="W452" s="23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</row>
    <row r="453" ht="25.5" customHeight="1">
      <c r="A453" s="55">
        <v>46118.0</v>
      </c>
      <c r="B453" s="56" t="s">
        <v>924</v>
      </c>
      <c r="C453" s="56" t="s">
        <v>247</v>
      </c>
      <c r="D453" s="58" t="s">
        <v>380</v>
      </c>
      <c r="E453" s="58" t="s">
        <v>70</v>
      </c>
      <c r="F453" s="56" t="s">
        <v>71</v>
      </c>
      <c r="G453" s="60">
        <v>1200.0</v>
      </c>
      <c r="H453" s="62">
        <v>18365.0</v>
      </c>
      <c r="I453" s="64">
        <v>2.2038E7</v>
      </c>
      <c r="J453" s="64">
        <v>1763040.0</v>
      </c>
      <c r="K453" s="64">
        <v>2.380104E7</v>
      </c>
      <c r="L453" s="65" t="s">
        <v>883</v>
      </c>
      <c r="M453" s="65" t="str">
        <f>VLOOKUP(L453,'Đơn đặt'!$C$3:$E$275,2,0)</f>
        <v>03-12-TS</v>
      </c>
      <c r="N453" s="65" t="str">
        <f>VLOOKUP(L453,'Đơn đặt'!$C$3:$E$275,3,0)</f>
        <v>38-2026/TS-AVP/ĐĐH</v>
      </c>
      <c r="O453" s="66">
        <v>46116.0</v>
      </c>
      <c r="P453" s="67" t="s">
        <v>925</v>
      </c>
      <c r="Q453" s="68">
        <v>1200.0</v>
      </c>
      <c r="R453" s="76">
        <v>17569.0</v>
      </c>
      <c r="S453" s="77">
        <v>2.10828E7</v>
      </c>
      <c r="T453" s="77">
        <v>1686624.0</v>
      </c>
      <c r="U453" s="60">
        <f t="shared" si="2"/>
        <v>22769424</v>
      </c>
      <c r="V453" s="70"/>
      <c r="W453" s="23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</row>
    <row r="454" ht="25.5" customHeight="1">
      <c r="A454" s="55">
        <v>46118.0</v>
      </c>
      <c r="B454" s="56" t="s">
        <v>926</v>
      </c>
      <c r="C454" s="56" t="s">
        <v>119</v>
      </c>
      <c r="D454" s="58" t="s">
        <v>120</v>
      </c>
      <c r="E454" s="58" t="s">
        <v>70</v>
      </c>
      <c r="F454" s="56" t="s">
        <v>71</v>
      </c>
      <c r="G454" s="60">
        <v>1585.0</v>
      </c>
      <c r="H454" s="62">
        <v>19310.0</v>
      </c>
      <c r="I454" s="64">
        <v>3.060635E7</v>
      </c>
      <c r="J454" s="64">
        <v>2448508.0</v>
      </c>
      <c r="K454" s="64">
        <v>3.3054858E7</v>
      </c>
      <c r="L454" s="65" t="s">
        <v>228</v>
      </c>
      <c r="M454" s="65" t="str">
        <f>VLOOKUP(L454,'Đơn đặt'!$C$3:$E$275,2,0)</f>
        <v>01-02-TS</v>
      </c>
      <c r="N454" s="65" t="str">
        <f>VLOOKUP(L454,'Đơn đặt'!$C$3:$E$275,3,0)</f>
        <v>04-2026/TS-AVP/ĐĐH</v>
      </c>
      <c r="O454" s="66">
        <v>46116.0</v>
      </c>
      <c r="P454" s="67" t="s">
        <v>927</v>
      </c>
      <c r="Q454" s="68">
        <v>1585.0</v>
      </c>
      <c r="R454" s="76">
        <v>17438.0</v>
      </c>
      <c r="S454" s="77">
        <v>2.763923E7</v>
      </c>
      <c r="T454" s="77">
        <v>2211138.0</v>
      </c>
      <c r="U454" s="60">
        <f t="shared" si="2"/>
        <v>29850368</v>
      </c>
      <c r="V454" s="70"/>
      <c r="W454" s="23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</row>
    <row r="455" ht="25.5" customHeight="1">
      <c r="A455" s="55">
        <v>46118.0</v>
      </c>
      <c r="B455" s="56" t="s">
        <v>928</v>
      </c>
      <c r="C455" s="56" t="s">
        <v>247</v>
      </c>
      <c r="D455" s="58" t="s">
        <v>380</v>
      </c>
      <c r="E455" s="58" t="s">
        <v>70</v>
      </c>
      <c r="F455" s="56" t="s">
        <v>71</v>
      </c>
      <c r="G455" s="60">
        <v>800.0</v>
      </c>
      <c r="H455" s="62">
        <v>18365.0</v>
      </c>
      <c r="I455" s="64">
        <v>1.4692E7</v>
      </c>
      <c r="J455" s="64">
        <v>1175360.0</v>
      </c>
      <c r="K455" s="64">
        <v>1.586736E7</v>
      </c>
      <c r="L455" s="65" t="s">
        <v>883</v>
      </c>
      <c r="M455" s="65" t="str">
        <f>VLOOKUP(L455,'Đơn đặt'!$C$3:$E$275,2,0)</f>
        <v>03-12-TS</v>
      </c>
      <c r="N455" s="65" t="str">
        <f>VLOOKUP(L455,'Đơn đặt'!$C$3:$E$275,3,0)</f>
        <v>38-2026/TS-AVP/ĐĐH</v>
      </c>
      <c r="O455" s="66">
        <v>46116.0</v>
      </c>
      <c r="P455" s="67" t="s">
        <v>931</v>
      </c>
      <c r="Q455" s="68">
        <v>800.0</v>
      </c>
      <c r="R455" s="76">
        <v>17569.0</v>
      </c>
      <c r="S455" s="77">
        <v>1.40552E7</v>
      </c>
      <c r="T455" s="77">
        <v>1124416.0</v>
      </c>
      <c r="U455" s="60">
        <f t="shared" si="2"/>
        <v>15179616</v>
      </c>
      <c r="V455" s="70"/>
      <c r="W455" s="23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</row>
    <row r="456" ht="25.5" customHeight="1">
      <c r="A456" s="55">
        <v>46118.0</v>
      </c>
      <c r="B456" s="56" t="s">
        <v>928</v>
      </c>
      <c r="C456" s="56" t="s">
        <v>119</v>
      </c>
      <c r="D456" s="58" t="s">
        <v>120</v>
      </c>
      <c r="E456" s="58" t="s">
        <v>70</v>
      </c>
      <c r="F456" s="56" t="s">
        <v>71</v>
      </c>
      <c r="G456" s="60">
        <v>1120.0</v>
      </c>
      <c r="H456" s="62">
        <v>19310.0</v>
      </c>
      <c r="I456" s="64">
        <v>2.16272E7</v>
      </c>
      <c r="J456" s="64">
        <v>1730176.0</v>
      </c>
      <c r="K456" s="64">
        <v>2.3357376E7</v>
      </c>
      <c r="L456" s="65" t="s">
        <v>228</v>
      </c>
      <c r="M456" s="65" t="str">
        <f>VLOOKUP(L456,'Đơn đặt'!$C$3:$E$275,2,0)</f>
        <v>01-02-TS</v>
      </c>
      <c r="N456" s="65" t="str">
        <f>VLOOKUP(L456,'Đơn đặt'!$C$3:$E$275,3,0)</f>
        <v>04-2026/TS-AVP/ĐĐH</v>
      </c>
      <c r="O456" s="66">
        <v>46116.0</v>
      </c>
      <c r="P456" s="67" t="s">
        <v>931</v>
      </c>
      <c r="Q456" s="68">
        <v>1120.0</v>
      </c>
      <c r="R456" s="76">
        <v>17438.0</v>
      </c>
      <c r="S456" s="77">
        <v>1.953056E7</v>
      </c>
      <c r="T456" s="77">
        <v>1562445.0</v>
      </c>
      <c r="U456" s="60">
        <f t="shared" si="2"/>
        <v>21093005</v>
      </c>
      <c r="V456" s="70"/>
      <c r="W456" s="23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</row>
    <row r="457" ht="25.5" customHeight="1">
      <c r="A457" s="55">
        <v>46118.0</v>
      </c>
      <c r="B457" s="56" t="s">
        <v>933</v>
      </c>
      <c r="C457" s="56" t="s">
        <v>17</v>
      </c>
      <c r="D457" s="58" t="s">
        <v>16</v>
      </c>
      <c r="E457" s="58" t="s">
        <v>70</v>
      </c>
      <c r="F457" s="56" t="s">
        <v>71</v>
      </c>
      <c r="G457" s="60">
        <v>1500.0</v>
      </c>
      <c r="H457" s="62">
        <v>18365.0</v>
      </c>
      <c r="I457" s="64">
        <v>2.75475E7</v>
      </c>
      <c r="J457" s="64">
        <v>2203800.0</v>
      </c>
      <c r="K457" s="64">
        <v>2.97513E7</v>
      </c>
      <c r="L457" s="65" t="s">
        <v>934</v>
      </c>
      <c r="M457" s="65" t="str">
        <f>VLOOKUP(L457,'Đơn đặt'!$C$3:$E$275,2,0)</f>
        <v>03-12-TS</v>
      </c>
      <c r="N457" s="65" t="str">
        <f>VLOOKUP(L457,'Đơn đặt'!$C$3:$E$275,3,0)</f>
        <v>38-2026/TS-AVP/ĐĐH</v>
      </c>
      <c r="O457" s="66">
        <v>46116.0</v>
      </c>
      <c r="P457" s="67" t="s">
        <v>935</v>
      </c>
      <c r="Q457" s="68">
        <v>1500.0</v>
      </c>
      <c r="R457" s="76">
        <v>17569.0</v>
      </c>
      <c r="S457" s="77">
        <v>2.63535E7</v>
      </c>
      <c r="T457" s="77">
        <v>2108280.0</v>
      </c>
      <c r="U457" s="60">
        <f t="shared" si="2"/>
        <v>28461780</v>
      </c>
      <c r="V457" s="70"/>
      <c r="W457" s="23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</row>
    <row r="458" ht="25.5" customHeight="1">
      <c r="A458" s="55">
        <v>46118.0</v>
      </c>
      <c r="B458" s="56" t="s">
        <v>933</v>
      </c>
      <c r="C458" s="56" t="s">
        <v>402</v>
      </c>
      <c r="D458" s="58" t="s">
        <v>403</v>
      </c>
      <c r="E458" s="58" t="s">
        <v>70</v>
      </c>
      <c r="F458" s="56" t="s">
        <v>71</v>
      </c>
      <c r="G458" s="60">
        <v>2000.0</v>
      </c>
      <c r="H458" s="62">
        <v>18953.0</v>
      </c>
      <c r="I458" s="64">
        <v>3.7906E7</v>
      </c>
      <c r="J458" s="64">
        <v>3032480.0</v>
      </c>
      <c r="K458" s="64">
        <v>4.093848E7</v>
      </c>
      <c r="L458" s="65" t="s">
        <v>890</v>
      </c>
      <c r="M458" s="65" t="str">
        <f>VLOOKUP(L458,'Đơn đặt'!$C$3:$E$275,2,0)</f>
        <v>03-12-TS</v>
      </c>
      <c r="N458" s="65" t="str">
        <f>VLOOKUP(L458,'Đơn đặt'!$C$3:$E$275,3,0)</f>
        <v>38-2026/TS-AVP/ĐĐH</v>
      </c>
      <c r="O458" s="66">
        <v>46116.0</v>
      </c>
      <c r="P458" s="67" t="s">
        <v>935</v>
      </c>
      <c r="Q458" s="68">
        <v>2000.0</v>
      </c>
      <c r="R458" s="76">
        <v>18246.6</v>
      </c>
      <c r="S458" s="77">
        <v>3.64932E7</v>
      </c>
      <c r="T458" s="77">
        <v>2919456.0</v>
      </c>
      <c r="U458" s="60">
        <f t="shared" si="2"/>
        <v>39412656</v>
      </c>
      <c r="V458" s="70"/>
      <c r="W458" s="23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</row>
    <row r="459" ht="25.5" customHeight="1">
      <c r="A459" s="78">
        <v>46118.0</v>
      </c>
      <c r="B459" s="79" t="s">
        <v>936</v>
      </c>
      <c r="C459" s="56" t="s">
        <v>148</v>
      </c>
      <c r="D459" s="80" t="s">
        <v>149</v>
      </c>
      <c r="E459" s="58" t="s">
        <v>248</v>
      </c>
      <c r="F459" s="56" t="s">
        <v>95</v>
      </c>
      <c r="G459" s="81">
        <v>300.0</v>
      </c>
      <c r="H459" s="62">
        <v>366012.0</v>
      </c>
      <c r="I459" s="64">
        <v>1.098036E8</v>
      </c>
      <c r="J459" s="64">
        <v>8784288.0</v>
      </c>
      <c r="K459" s="64">
        <v>1.18587888E8</v>
      </c>
      <c r="L459" s="91" t="s">
        <v>867</v>
      </c>
      <c r="M459" s="65">
        <f>VLOOKUP(L459,'Đơn đặt'!$C$3:$E$275,2,0)</f>
        <v>239</v>
      </c>
      <c r="N459" s="65" t="str">
        <f>VLOOKUP(L459,'Đơn đặt'!$C$3:$E$275,3,0)</f>
        <v>Hàng SX</v>
      </c>
      <c r="O459" s="78" t="s">
        <v>98</v>
      </c>
      <c r="P459" s="92"/>
      <c r="Q459" s="81">
        <f>G459</f>
        <v>300</v>
      </c>
      <c r="R459" s="92"/>
      <c r="S459" s="83">
        <f>ROUND(Q459*R459,0)</f>
        <v>0</v>
      </c>
      <c r="T459" s="83">
        <f>ROUND(S459*0.08,0)</f>
        <v>0</v>
      </c>
      <c r="U459" s="81">
        <f t="shared" si="2"/>
        <v>0</v>
      </c>
      <c r="V459" s="70"/>
      <c r="W459" s="23"/>
      <c r="X459" s="69"/>
      <c r="Y459" s="69"/>
      <c r="Z459" s="69"/>
      <c r="AA459" s="69"/>
      <c r="AB459" s="69"/>
      <c r="AC459" s="69"/>
      <c r="AD459" s="69"/>
      <c r="AE459" s="69"/>
      <c r="AF459" s="69"/>
      <c r="AG459" s="69"/>
      <c r="AH459" s="69"/>
      <c r="AI459" s="69"/>
      <c r="AJ459" s="69"/>
      <c r="AK459" s="69"/>
      <c r="AL459" s="69"/>
      <c r="AM459" s="69"/>
      <c r="AN459" s="69"/>
      <c r="AO459" s="69"/>
    </row>
    <row r="460" ht="25.5" customHeight="1">
      <c r="A460" s="55">
        <v>46118.0</v>
      </c>
      <c r="B460" s="56" t="s">
        <v>937</v>
      </c>
      <c r="C460" s="56" t="s">
        <v>59</v>
      </c>
      <c r="D460" s="58" t="s">
        <v>105</v>
      </c>
      <c r="E460" s="58" t="s">
        <v>70</v>
      </c>
      <c r="F460" s="56" t="s">
        <v>71</v>
      </c>
      <c r="G460" s="60">
        <v>1310.0</v>
      </c>
      <c r="H460" s="62">
        <v>18291.0</v>
      </c>
      <c r="I460" s="64">
        <v>2.396121E7</v>
      </c>
      <c r="J460" s="64">
        <v>1916897.0</v>
      </c>
      <c r="K460" s="64">
        <v>2.5878107E7</v>
      </c>
      <c r="L460" s="65" t="s">
        <v>743</v>
      </c>
      <c r="M460" s="65" t="str">
        <f>VLOOKUP(L460,'Đơn đặt'!$C$3:$E$275,2,0)</f>
        <v>02-03-TS</v>
      </c>
      <c r="N460" s="65" t="str">
        <f>VLOOKUP(L460,'Đơn đặt'!$C$3:$E$275,3,0)</f>
        <v>21-2026/TS-AVP/ĐĐH</v>
      </c>
      <c r="O460" s="66">
        <v>46118.0</v>
      </c>
      <c r="P460" s="67" t="s">
        <v>938</v>
      </c>
      <c r="Q460" s="68">
        <v>1310.0</v>
      </c>
      <c r="R460" s="76">
        <v>16258.2</v>
      </c>
      <c r="S460" s="68">
        <v>2.1298242E7</v>
      </c>
      <c r="T460" s="77">
        <v>1703859.0</v>
      </c>
      <c r="U460" s="60">
        <f t="shared" si="2"/>
        <v>23002101</v>
      </c>
      <c r="V460" s="70"/>
      <c r="W460" s="23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</row>
    <row r="461" ht="25.5" customHeight="1">
      <c r="A461" s="55">
        <v>46118.0</v>
      </c>
      <c r="B461" s="56" t="s">
        <v>939</v>
      </c>
      <c r="C461" s="56" t="s">
        <v>59</v>
      </c>
      <c r="D461" s="58" t="s">
        <v>105</v>
      </c>
      <c r="E461" s="58" t="s">
        <v>70</v>
      </c>
      <c r="F461" s="56" t="s">
        <v>71</v>
      </c>
      <c r="G461" s="60">
        <v>2000.0</v>
      </c>
      <c r="H461" s="62">
        <v>18291.0</v>
      </c>
      <c r="I461" s="64">
        <v>3.6582E7</v>
      </c>
      <c r="J461" s="64">
        <v>2926560.0</v>
      </c>
      <c r="K461" s="64">
        <v>3.950856E7</v>
      </c>
      <c r="L461" s="65" t="s">
        <v>743</v>
      </c>
      <c r="M461" s="65" t="str">
        <f>VLOOKUP(L461,'Đơn đặt'!$C$3:$E$275,2,0)</f>
        <v>02-03-TS</v>
      </c>
      <c r="N461" s="65" t="str">
        <f>VLOOKUP(L461,'Đơn đặt'!$C$3:$E$275,3,0)</f>
        <v>21-2026/TS-AVP/ĐĐH</v>
      </c>
      <c r="O461" s="66">
        <v>46118.0</v>
      </c>
      <c r="P461" s="67" t="s">
        <v>940</v>
      </c>
      <c r="Q461" s="68">
        <v>2000.0</v>
      </c>
      <c r="R461" s="76">
        <v>16258.2</v>
      </c>
      <c r="S461" s="68">
        <v>3.25164E7</v>
      </c>
      <c r="T461" s="77">
        <v>2601312.0</v>
      </c>
      <c r="U461" s="60">
        <f t="shared" si="2"/>
        <v>35117712</v>
      </c>
      <c r="V461" s="70"/>
      <c r="W461" s="23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</row>
    <row r="462" ht="25.5" customHeight="1">
      <c r="A462" s="55">
        <v>46118.0</v>
      </c>
      <c r="B462" s="56" t="s">
        <v>939</v>
      </c>
      <c r="C462" s="56" t="s">
        <v>119</v>
      </c>
      <c r="D462" s="58" t="s">
        <v>120</v>
      </c>
      <c r="E462" s="58" t="s">
        <v>70</v>
      </c>
      <c r="F462" s="56" t="s">
        <v>71</v>
      </c>
      <c r="G462" s="60">
        <v>1300.0</v>
      </c>
      <c r="H462" s="62">
        <v>19310.0</v>
      </c>
      <c r="I462" s="64">
        <v>2.5103E7</v>
      </c>
      <c r="J462" s="64">
        <v>2008240.0</v>
      </c>
      <c r="K462" s="64">
        <v>2.711124E7</v>
      </c>
      <c r="L462" s="65" t="s">
        <v>228</v>
      </c>
      <c r="M462" s="65" t="str">
        <f>VLOOKUP(L462,'Đơn đặt'!$C$3:$E$275,2,0)</f>
        <v>01-02-TS</v>
      </c>
      <c r="N462" s="65" t="str">
        <f>VLOOKUP(L462,'Đơn đặt'!$C$3:$E$275,3,0)</f>
        <v>04-2026/TS-AVP/ĐĐH</v>
      </c>
      <c r="O462" s="66">
        <v>46118.0</v>
      </c>
      <c r="P462" s="67" t="s">
        <v>940</v>
      </c>
      <c r="Q462" s="68">
        <v>1300.0</v>
      </c>
      <c r="R462" s="76">
        <v>17438.0</v>
      </c>
      <c r="S462" s="77">
        <v>2.26694E7</v>
      </c>
      <c r="T462" s="77">
        <v>1813552.0</v>
      </c>
      <c r="U462" s="60">
        <f t="shared" si="2"/>
        <v>24482952</v>
      </c>
      <c r="V462" s="70"/>
      <c r="W462" s="23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</row>
    <row r="463" ht="25.5" customHeight="1">
      <c r="A463" s="55">
        <v>46118.0</v>
      </c>
      <c r="B463" s="56" t="s">
        <v>939</v>
      </c>
      <c r="C463" s="56" t="s">
        <v>409</v>
      </c>
      <c r="D463" s="58" t="s">
        <v>664</v>
      </c>
      <c r="E463" s="58" t="s">
        <v>70</v>
      </c>
      <c r="F463" s="56" t="s">
        <v>71</v>
      </c>
      <c r="G463" s="60">
        <v>380.0</v>
      </c>
      <c r="H463" s="62">
        <v>18953.0</v>
      </c>
      <c r="I463" s="64">
        <v>7202140.0</v>
      </c>
      <c r="J463" s="64">
        <v>576171.0</v>
      </c>
      <c r="K463" s="64">
        <v>7778311.0</v>
      </c>
      <c r="L463" s="65" t="s">
        <v>941</v>
      </c>
      <c r="M463" s="65" t="str">
        <f>VLOOKUP(L463,'Đơn đặt'!$C$3:$E$275,2,0)</f>
        <v>04-02-TS</v>
      </c>
      <c r="N463" s="65" t="str">
        <f>VLOOKUP(L463,'Đơn đặt'!$C$3:$E$275,3,0)</f>
        <v>43-2026/TS-AVP/ĐĐH</v>
      </c>
      <c r="O463" s="66">
        <v>46118.0</v>
      </c>
      <c r="P463" s="67" t="s">
        <v>940</v>
      </c>
      <c r="Q463" s="68">
        <v>380.0</v>
      </c>
      <c r="R463" s="76">
        <v>17782.6</v>
      </c>
      <c r="S463" s="77">
        <v>6757388.0</v>
      </c>
      <c r="T463" s="77">
        <v>540591.0</v>
      </c>
      <c r="U463" s="60">
        <f t="shared" si="2"/>
        <v>7297979</v>
      </c>
      <c r="V463" s="70"/>
      <c r="W463" s="23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</row>
    <row r="464" ht="25.5" customHeight="1">
      <c r="A464" s="55">
        <v>46118.0</v>
      </c>
      <c r="B464" s="56" t="s">
        <v>942</v>
      </c>
      <c r="C464" s="56" t="s">
        <v>41</v>
      </c>
      <c r="D464" s="58" t="s">
        <v>40</v>
      </c>
      <c r="E464" s="58" t="s">
        <v>70</v>
      </c>
      <c r="F464" s="56" t="s">
        <v>71</v>
      </c>
      <c r="G464" s="60">
        <v>1590.0</v>
      </c>
      <c r="H464" s="62">
        <v>20024.0</v>
      </c>
      <c r="I464" s="64">
        <v>3.183816E7</v>
      </c>
      <c r="J464" s="64">
        <v>2547053.0</v>
      </c>
      <c r="K464" s="64">
        <v>3.4385213E7</v>
      </c>
      <c r="L464" s="65" t="s">
        <v>943</v>
      </c>
      <c r="M464" s="65" t="str">
        <f>VLOOKUP(L464,'Đơn đặt'!$C$3:$E$275,2,0)</f>
        <v>03-12-TS</v>
      </c>
      <c r="N464" s="65" t="str">
        <f>VLOOKUP(L464,'Đơn đặt'!$C$3:$E$275,3,0)</f>
        <v>38-2026/TS-AVP/ĐĐH</v>
      </c>
      <c r="O464" s="66">
        <v>46118.0</v>
      </c>
      <c r="P464" s="67" t="s">
        <v>944</v>
      </c>
      <c r="Q464" s="68">
        <v>1590.0</v>
      </c>
      <c r="R464" s="76">
        <v>17900.8</v>
      </c>
      <c r="S464" s="77">
        <v>2.8462272E7</v>
      </c>
      <c r="T464" s="77">
        <v>2276982.0</v>
      </c>
      <c r="U464" s="60">
        <f t="shared" si="2"/>
        <v>30739254</v>
      </c>
      <c r="V464" s="70"/>
      <c r="W464" s="23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</row>
    <row r="465" ht="25.5" customHeight="1">
      <c r="A465" s="55">
        <v>46118.0</v>
      </c>
      <c r="B465" s="56" t="s">
        <v>942</v>
      </c>
      <c r="C465" s="56" t="s">
        <v>38</v>
      </c>
      <c r="D465" s="58" t="s">
        <v>36</v>
      </c>
      <c r="E465" s="58" t="s">
        <v>70</v>
      </c>
      <c r="F465" s="56" t="s">
        <v>71</v>
      </c>
      <c r="G465" s="60">
        <v>2000.0</v>
      </c>
      <c r="H465" s="62">
        <v>18953.0</v>
      </c>
      <c r="I465" s="64">
        <v>3.7906E7</v>
      </c>
      <c r="J465" s="64">
        <v>3032480.0</v>
      </c>
      <c r="K465" s="64">
        <v>4.093848E7</v>
      </c>
      <c r="L465" s="65" t="s">
        <v>945</v>
      </c>
      <c r="M465" s="65" t="str">
        <f>VLOOKUP(L465,'Đơn đặt'!$C$3:$E$275,2,0)</f>
        <v>03-12-TS</v>
      </c>
      <c r="N465" s="65" t="str">
        <f>VLOOKUP(L465,'Đơn đặt'!$C$3:$E$275,3,0)</f>
        <v>38-2026/TS-AVP/ĐĐH</v>
      </c>
      <c r="O465" s="66">
        <v>46118.0</v>
      </c>
      <c r="P465" s="67" t="s">
        <v>944</v>
      </c>
      <c r="Q465" s="68">
        <v>2000.0</v>
      </c>
      <c r="R465" s="76">
        <v>18246.6</v>
      </c>
      <c r="S465" s="77">
        <v>3.64932E7</v>
      </c>
      <c r="T465" s="77">
        <v>2919456.0</v>
      </c>
      <c r="U465" s="60">
        <f t="shared" si="2"/>
        <v>39412656</v>
      </c>
      <c r="V465" s="70"/>
      <c r="W465" s="23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</row>
    <row r="466" ht="25.5" customHeight="1">
      <c r="A466" s="55">
        <v>46118.0</v>
      </c>
      <c r="B466" s="56" t="s">
        <v>946</v>
      </c>
      <c r="C466" s="56" t="s">
        <v>41</v>
      </c>
      <c r="D466" s="58" t="s">
        <v>40</v>
      </c>
      <c r="E466" s="58" t="s">
        <v>70</v>
      </c>
      <c r="F466" s="56" t="s">
        <v>71</v>
      </c>
      <c r="G466" s="60">
        <v>800.0</v>
      </c>
      <c r="H466" s="62">
        <v>20024.0</v>
      </c>
      <c r="I466" s="64">
        <v>1.60192E7</v>
      </c>
      <c r="J466" s="64">
        <v>1281536.0</v>
      </c>
      <c r="K466" s="64">
        <v>1.7300736E7</v>
      </c>
      <c r="L466" s="65" t="s">
        <v>943</v>
      </c>
      <c r="M466" s="65" t="str">
        <f>VLOOKUP(L466,'Đơn đặt'!$C$3:$E$275,2,0)</f>
        <v>03-12-TS</v>
      </c>
      <c r="N466" s="65" t="str">
        <f>VLOOKUP(L466,'Đơn đặt'!$C$3:$E$275,3,0)</f>
        <v>38-2026/TS-AVP/ĐĐH</v>
      </c>
      <c r="O466" s="66">
        <v>46118.0</v>
      </c>
      <c r="P466" s="67" t="s">
        <v>947</v>
      </c>
      <c r="Q466" s="68">
        <v>800.0</v>
      </c>
      <c r="R466" s="76">
        <v>17900.8</v>
      </c>
      <c r="S466" s="77">
        <v>1.432064E7</v>
      </c>
      <c r="T466" s="77">
        <v>1145651.0</v>
      </c>
      <c r="U466" s="60">
        <f t="shared" si="2"/>
        <v>15466291</v>
      </c>
      <c r="V466" s="70"/>
      <c r="W466" s="23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</row>
    <row r="467" ht="25.5" customHeight="1">
      <c r="A467" s="55">
        <v>46118.0</v>
      </c>
      <c r="B467" s="56" t="s">
        <v>946</v>
      </c>
      <c r="C467" s="56" t="s">
        <v>244</v>
      </c>
      <c r="D467" s="58" t="s">
        <v>245</v>
      </c>
      <c r="E467" s="58" t="s">
        <v>70</v>
      </c>
      <c r="F467" s="56" t="s">
        <v>71</v>
      </c>
      <c r="G467" s="60">
        <v>2440.0</v>
      </c>
      <c r="H467" s="62">
        <v>18953.0</v>
      </c>
      <c r="I467" s="64">
        <v>4.624532E7</v>
      </c>
      <c r="J467" s="64">
        <v>3699626.0</v>
      </c>
      <c r="K467" s="64">
        <v>4.9944946E7</v>
      </c>
      <c r="L467" s="65" t="s">
        <v>906</v>
      </c>
      <c r="M467" s="65" t="str">
        <f>VLOOKUP(L467,'Đơn đặt'!$C$3:$E$275,2,0)</f>
        <v>03-12-TS</v>
      </c>
      <c r="N467" s="65" t="str">
        <f>VLOOKUP(L467,'Đơn đặt'!$C$3:$E$275,3,0)</f>
        <v>38-2026/TS-AVP/ĐĐH</v>
      </c>
      <c r="O467" s="66">
        <v>46118.0</v>
      </c>
      <c r="P467" s="67" t="s">
        <v>947</v>
      </c>
      <c r="Q467" s="68">
        <v>2440.0</v>
      </c>
      <c r="R467" s="76">
        <v>18246.6</v>
      </c>
      <c r="S467" s="77">
        <v>4.4521704E7</v>
      </c>
      <c r="T467" s="77">
        <v>3561737.0</v>
      </c>
      <c r="U467" s="60">
        <f t="shared" si="2"/>
        <v>48083441</v>
      </c>
      <c r="V467" s="70"/>
      <c r="W467" s="23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</row>
    <row r="468" ht="25.5" customHeight="1">
      <c r="A468" s="55">
        <v>46118.0</v>
      </c>
      <c r="B468" s="56" t="s">
        <v>948</v>
      </c>
      <c r="C468" s="56" t="s">
        <v>48</v>
      </c>
      <c r="D468" s="58" t="s">
        <v>47</v>
      </c>
      <c r="E468" s="58" t="s">
        <v>70</v>
      </c>
      <c r="F468" s="56" t="s">
        <v>71</v>
      </c>
      <c r="G468" s="60">
        <v>5000.0</v>
      </c>
      <c r="H468" s="62">
        <v>18291.0</v>
      </c>
      <c r="I468" s="64">
        <v>9.1455E7</v>
      </c>
      <c r="J468" s="64">
        <v>7316400.0</v>
      </c>
      <c r="K468" s="64">
        <v>9.87714E7</v>
      </c>
      <c r="L468" s="65" t="s">
        <v>771</v>
      </c>
      <c r="M468" s="65" t="str">
        <f>VLOOKUP(L468,'Đơn đặt'!$C$3:$E$275,2,0)</f>
        <v>02-03-TS</v>
      </c>
      <c r="N468" s="65" t="str">
        <f>VLOOKUP(L468,'Đơn đặt'!$C$3:$E$275,3,0)</f>
        <v>22-2026/TS-AVP/ĐĐH</v>
      </c>
      <c r="O468" s="66">
        <v>46118.0</v>
      </c>
      <c r="P468" s="93" t="s">
        <v>949</v>
      </c>
      <c r="Q468" s="68">
        <v>5000.0</v>
      </c>
      <c r="R468" s="68">
        <v>14482.2</v>
      </c>
      <c r="S468" s="60">
        <f>ROUND(Q468*R468,0)</f>
        <v>72411000</v>
      </c>
      <c r="T468" s="60">
        <f>ROUND(S468*0.08,0)</f>
        <v>5792880</v>
      </c>
      <c r="U468" s="60">
        <f t="shared" si="2"/>
        <v>78203880</v>
      </c>
      <c r="V468" s="70"/>
      <c r="W468" s="23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</row>
    <row r="469" ht="25.5" customHeight="1">
      <c r="A469" s="55">
        <v>46118.0</v>
      </c>
      <c r="B469" s="56" t="s">
        <v>948</v>
      </c>
      <c r="C469" s="56" t="s">
        <v>50</v>
      </c>
      <c r="D469" s="58" t="s">
        <v>49</v>
      </c>
      <c r="E469" s="58" t="s">
        <v>70</v>
      </c>
      <c r="F469" s="56" t="s">
        <v>71</v>
      </c>
      <c r="G469" s="60">
        <v>1000.0</v>
      </c>
      <c r="H469" s="62">
        <v>18291.0</v>
      </c>
      <c r="I469" s="64">
        <v>1.8291E7</v>
      </c>
      <c r="J469" s="64">
        <v>1463280.0</v>
      </c>
      <c r="K469" s="64">
        <v>1.975428E7</v>
      </c>
      <c r="L469" s="65" t="s">
        <v>950</v>
      </c>
      <c r="M469" s="65" t="str">
        <f>VLOOKUP(L469,'Đơn đặt'!$C$3:$E$275,2,0)</f>
        <v>03-12-TS</v>
      </c>
      <c r="N469" s="65" t="str">
        <f>VLOOKUP(L469,'Đơn đặt'!$C$3:$E$275,3,0)</f>
        <v>58-2026/TS-AVP/ĐĐH</v>
      </c>
      <c r="O469" s="66">
        <v>46118.0</v>
      </c>
      <c r="P469" s="67" t="s">
        <v>951</v>
      </c>
      <c r="Q469" s="68">
        <v>1000.0</v>
      </c>
      <c r="R469" s="76">
        <v>14482.2</v>
      </c>
      <c r="S469" s="77">
        <v>1.44822E7</v>
      </c>
      <c r="T469" s="77">
        <v>1158576.0</v>
      </c>
      <c r="U469" s="60">
        <f t="shared" si="2"/>
        <v>15640776</v>
      </c>
      <c r="V469" s="70"/>
      <c r="W469" s="23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</row>
    <row r="470" ht="25.5" customHeight="1">
      <c r="A470" s="55">
        <v>46118.0</v>
      </c>
      <c r="B470" s="56" t="s">
        <v>952</v>
      </c>
      <c r="C470" s="56" t="s">
        <v>140</v>
      </c>
      <c r="D470" s="58" t="s">
        <v>141</v>
      </c>
      <c r="E470" s="58" t="s">
        <v>70</v>
      </c>
      <c r="F470" s="56" t="s">
        <v>112</v>
      </c>
      <c r="G470" s="60">
        <v>3000.0</v>
      </c>
      <c r="H470" s="62">
        <v>38000.0</v>
      </c>
      <c r="I470" s="64">
        <v>1.14E8</v>
      </c>
      <c r="J470" s="64">
        <v>9120000.0</v>
      </c>
      <c r="K470" s="64">
        <v>1.2312E8</v>
      </c>
      <c r="L470" s="65" t="s">
        <v>953</v>
      </c>
      <c r="M470" s="65" t="str">
        <f>VLOOKUP(L470,'Đơn đặt'!$C$3:$E$275,2,0)</f>
        <v>03-03/TS-LP</v>
      </c>
      <c r="N470" s="65" t="str">
        <f>VLOOKUP(L470,'Đơn đặt'!$C$3:$E$275,3,0)</f>
        <v>32-2026/TS-AVP/ĐĐH</v>
      </c>
      <c r="O470" s="66">
        <v>46118.0</v>
      </c>
      <c r="P470" s="67" t="s">
        <v>954</v>
      </c>
      <c r="Q470" s="68">
        <v>3000.0</v>
      </c>
      <c r="R470" s="76">
        <v>38000.0</v>
      </c>
      <c r="S470" s="77">
        <f t="shared" ref="S470:S473" si="93">ROUND(Q470*R470,0)</f>
        <v>114000000</v>
      </c>
      <c r="T470" s="87">
        <f t="shared" ref="T470:T471" si="94">S470*0.08</f>
        <v>9120000</v>
      </c>
      <c r="U470" s="60">
        <f t="shared" si="2"/>
        <v>123120000</v>
      </c>
      <c r="V470" s="70"/>
      <c r="W470" s="23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</row>
    <row r="471" ht="25.5" customHeight="1">
      <c r="A471" s="55">
        <v>46118.0</v>
      </c>
      <c r="B471" s="56" t="s">
        <v>952</v>
      </c>
      <c r="C471" s="56" t="s">
        <v>3</v>
      </c>
      <c r="D471" s="58" t="s">
        <v>164</v>
      </c>
      <c r="E471" s="58" t="s">
        <v>70</v>
      </c>
      <c r="F471" s="56" t="s">
        <v>112</v>
      </c>
      <c r="G471" s="60">
        <v>3000.0</v>
      </c>
      <c r="H471" s="62">
        <v>38000.0</v>
      </c>
      <c r="I471" s="64">
        <v>1.14E8</v>
      </c>
      <c r="J471" s="64">
        <v>9120000.0</v>
      </c>
      <c r="K471" s="64">
        <v>1.2312E8</v>
      </c>
      <c r="L471" s="65" t="s">
        <v>955</v>
      </c>
      <c r="M471" s="65" t="str">
        <f>VLOOKUP(L471,'Đơn đặt'!$C$3:$E$275,2,0)</f>
        <v>03-03/TS-LP</v>
      </c>
      <c r="N471" s="65" t="str">
        <f>VLOOKUP(L471,'Đơn đặt'!$C$3:$E$275,3,0)</f>
        <v>32-2026/TS-AVP/ĐĐH</v>
      </c>
      <c r="O471" s="66">
        <v>46118.0</v>
      </c>
      <c r="P471" s="67" t="s">
        <v>954</v>
      </c>
      <c r="Q471" s="68">
        <v>3000.0</v>
      </c>
      <c r="R471" s="76">
        <v>38000.0</v>
      </c>
      <c r="S471" s="77">
        <f t="shared" si="93"/>
        <v>114000000</v>
      </c>
      <c r="T471" s="87">
        <f t="shared" si="94"/>
        <v>9120000</v>
      </c>
      <c r="U471" s="60">
        <f t="shared" si="2"/>
        <v>123120000</v>
      </c>
      <c r="V471" s="70"/>
      <c r="W471" s="23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</row>
    <row r="472" ht="25.5" customHeight="1">
      <c r="A472" s="55">
        <v>46118.0</v>
      </c>
      <c r="B472" s="56" t="s">
        <v>956</v>
      </c>
      <c r="C472" s="56" t="s">
        <v>55</v>
      </c>
      <c r="D472" s="58" t="s">
        <v>53</v>
      </c>
      <c r="E472" s="58" t="s">
        <v>70</v>
      </c>
      <c r="F472" s="56" t="s">
        <v>71</v>
      </c>
      <c r="G472" s="60">
        <f>3620-G473</f>
        <v>790</v>
      </c>
      <c r="H472" s="62">
        <v>20024.0</v>
      </c>
      <c r="I472" s="64">
        <f t="shared" ref="I472:I473" si="95">ROUND(G472*H472,0)</f>
        <v>15818960</v>
      </c>
      <c r="J472" s="64">
        <f t="shared" ref="J472:J473" si="96">ROUND(I472*0.08,0)</f>
        <v>1265517</v>
      </c>
      <c r="K472" s="64">
        <f t="shared" ref="K472:K473" si="97">I472+J472</f>
        <v>17084477</v>
      </c>
      <c r="L472" s="65" t="s">
        <v>693</v>
      </c>
      <c r="M472" s="65" t="str">
        <f>VLOOKUP(L472,'Đơn đặt'!$C$3:$E$275,2,0)</f>
        <v>02-03-TS</v>
      </c>
      <c r="N472" s="65" t="str">
        <f>VLOOKUP(L472,'Đơn đặt'!$C$3:$E$275,3,0)</f>
        <v>23-2026/TS-AVP/ĐĐH</v>
      </c>
      <c r="O472" s="66">
        <v>46118.0</v>
      </c>
      <c r="P472" s="67" t="s">
        <v>957</v>
      </c>
      <c r="Q472" s="68">
        <v>790.0</v>
      </c>
      <c r="R472" s="76">
        <v>16788.8</v>
      </c>
      <c r="S472" s="64">
        <f t="shared" si="93"/>
        <v>13263152</v>
      </c>
      <c r="T472" s="64">
        <f t="shared" ref="T472:T473" si="98">ROUND(S472*0.08,0)</f>
        <v>1061052</v>
      </c>
      <c r="U472" s="60">
        <f t="shared" si="2"/>
        <v>14324204</v>
      </c>
      <c r="V472" s="70"/>
      <c r="W472" s="23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</row>
    <row r="473" ht="25.5" customHeight="1">
      <c r="A473" s="55">
        <v>46118.0</v>
      </c>
      <c r="B473" s="56" t="s">
        <v>956</v>
      </c>
      <c r="C473" s="56" t="s">
        <v>55</v>
      </c>
      <c r="D473" s="58" t="s">
        <v>53</v>
      </c>
      <c r="E473" s="58" t="s">
        <v>70</v>
      </c>
      <c r="F473" s="56" t="s">
        <v>71</v>
      </c>
      <c r="G473" s="60">
        <v>2830.0</v>
      </c>
      <c r="H473" s="62">
        <v>20024.0</v>
      </c>
      <c r="I473" s="64">
        <f t="shared" si="95"/>
        <v>56667920</v>
      </c>
      <c r="J473" s="64">
        <f t="shared" si="96"/>
        <v>4533434</v>
      </c>
      <c r="K473" s="64">
        <f t="shared" si="97"/>
        <v>61201354</v>
      </c>
      <c r="L473" s="91" t="s">
        <v>958</v>
      </c>
      <c r="M473" s="65" t="str">
        <f>VLOOKUP(L473,'Đơn đặt'!$C$3:$E$275,2,0)</f>
        <v>03-12-TS</v>
      </c>
      <c r="N473" s="65" t="str">
        <f>VLOOKUP(L473,'Đơn đặt'!$C$3:$E$275,3,0)</f>
        <v>36-2026/TS-AVP/ĐĐH</v>
      </c>
      <c r="O473" s="66">
        <v>46118.0</v>
      </c>
      <c r="P473" s="67" t="s">
        <v>957</v>
      </c>
      <c r="Q473" s="68">
        <v>2830.0</v>
      </c>
      <c r="R473" s="76">
        <v>16788.8</v>
      </c>
      <c r="S473" s="64">
        <f t="shared" si="93"/>
        <v>47512304</v>
      </c>
      <c r="T473" s="64">
        <f t="shared" si="98"/>
        <v>3800984</v>
      </c>
      <c r="U473" s="60">
        <f t="shared" si="2"/>
        <v>51313288</v>
      </c>
      <c r="V473" s="70"/>
      <c r="W473" s="23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</row>
    <row r="474" ht="25.5" customHeight="1">
      <c r="A474" s="55">
        <v>46119.0</v>
      </c>
      <c r="B474" s="56" t="s">
        <v>705</v>
      </c>
      <c r="C474" s="56" t="s">
        <v>178</v>
      </c>
      <c r="D474" s="58" t="s">
        <v>179</v>
      </c>
      <c r="E474" s="58" t="s">
        <v>248</v>
      </c>
      <c r="F474" s="56" t="s">
        <v>819</v>
      </c>
      <c r="G474" s="60">
        <v>220.0</v>
      </c>
      <c r="H474" s="62">
        <v>269875.0</v>
      </c>
      <c r="I474" s="64">
        <v>5.93725E7</v>
      </c>
      <c r="J474" s="64">
        <v>4749800.0</v>
      </c>
      <c r="K474" s="64">
        <v>6.41223E7</v>
      </c>
      <c r="L474" s="91" t="s">
        <v>959</v>
      </c>
      <c r="M474" s="65">
        <f>VLOOKUP(L474,'Đơn đặt'!$C$3:$E$275,2,0)</f>
        <v>309</v>
      </c>
      <c r="N474" s="65" t="str">
        <f>VLOOKUP(L474,'Đơn đặt'!$C$3:$E$275,3,0)</f>
        <v>26/THP/01</v>
      </c>
      <c r="O474" s="55">
        <v>46119.0</v>
      </c>
      <c r="P474" s="56" t="s">
        <v>960</v>
      </c>
      <c r="Q474" s="60">
        <v>220.0</v>
      </c>
      <c r="R474" s="62">
        <v>260375.0</v>
      </c>
      <c r="S474" s="64">
        <v>5.72825E7</v>
      </c>
      <c r="T474" s="64">
        <v>4582600.0</v>
      </c>
      <c r="U474" s="60">
        <f t="shared" si="2"/>
        <v>61865100</v>
      </c>
      <c r="V474" s="70"/>
      <c r="W474" s="23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</row>
    <row r="475" ht="25.5" customHeight="1">
      <c r="A475" s="55">
        <v>46119.0</v>
      </c>
      <c r="B475" s="56" t="s">
        <v>708</v>
      </c>
      <c r="C475" s="56" t="s">
        <v>59</v>
      </c>
      <c r="D475" s="58" t="s">
        <v>105</v>
      </c>
      <c r="E475" s="58" t="s">
        <v>70</v>
      </c>
      <c r="F475" s="56" t="s">
        <v>71</v>
      </c>
      <c r="G475" s="60">
        <v>800.0</v>
      </c>
      <c r="H475" s="62">
        <v>18291.0</v>
      </c>
      <c r="I475" s="64">
        <v>1.46328E7</v>
      </c>
      <c r="J475" s="64">
        <v>1170624.0</v>
      </c>
      <c r="K475" s="64">
        <v>1.5803424E7</v>
      </c>
      <c r="L475" s="65" t="s">
        <v>743</v>
      </c>
      <c r="M475" s="65" t="str">
        <f>VLOOKUP(L475,'Đơn đặt'!$C$3:$E$275,2,0)</f>
        <v>02-03-TS</v>
      </c>
      <c r="N475" s="65" t="str">
        <f>VLOOKUP(L475,'Đơn đặt'!$C$3:$E$275,3,0)</f>
        <v>21-2026/TS-AVP/ĐĐH</v>
      </c>
      <c r="O475" s="66">
        <v>46119.0</v>
      </c>
      <c r="P475" s="67" t="s">
        <v>961</v>
      </c>
      <c r="Q475" s="68">
        <v>800.0</v>
      </c>
      <c r="R475" s="76">
        <v>16258.2</v>
      </c>
      <c r="S475" s="68">
        <v>1.300656E7</v>
      </c>
      <c r="T475" s="77">
        <v>1040525.0</v>
      </c>
      <c r="U475" s="60">
        <f t="shared" si="2"/>
        <v>14047085</v>
      </c>
      <c r="V475" s="70"/>
      <c r="W475" s="23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</row>
    <row r="476" ht="25.5" customHeight="1">
      <c r="A476" s="55">
        <v>46119.0</v>
      </c>
      <c r="B476" s="56" t="s">
        <v>708</v>
      </c>
      <c r="C476" s="56" t="s">
        <v>38</v>
      </c>
      <c r="D476" s="58" t="s">
        <v>36</v>
      </c>
      <c r="E476" s="58" t="s">
        <v>70</v>
      </c>
      <c r="F476" s="56" t="s">
        <v>71</v>
      </c>
      <c r="G476" s="60">
        <v>2000.0</v>
      </c>
      <c r="H476" s="62">
        <v>18953.0</v>
      </c>
      <c r="I476" s="64">
        <v>3.7906E7</v>
      </c>
      <c r="J476" s="64">
        <v>3032480.0</v>
      </c>
      <c r="K476" s="64">
        <v>4.093848E7</v>
      </c>
      <c r="L476" s="65" t="s">
        <v>945</v>
      </c>
      <c r="M476" s="65" t="str">
        <f>VLOOKUP(L476,'Đơn đặt'!$C$3:$E$275,2,0)</f>
        <v>03-12-TS</v>
      </c>
      <c r="N476" s="65" t="str">
        <f>VLOOKUP(L476,'Đơn đặt'!$C$3:$E$275,3,0)</f>
        <v>38-2026/TS-AVP/ĐĐH</v>
      </c>
      <c r="O476" s="66">
        <v>46119.0</v>
      </c>
      <c r="P476" s="67" t="s">
        <v>961</v>
      </c>
      <c r="Q476" s="68">
        <v>2000.0</v>
      </c>
      <c r="R476" s="76">
        <v>18246.6</v>
      </c>
      <c r="S476" s="77">
        <v>3.64932E7</v>
      </c>
      <c r="T476" s="77">
        <v>2919456.0</v>
      </c>
      <c r="U476" s="60">
        <f t="shared" si="2"/>
        <v>39412656</v>
      </c>
      <c r="V476" s="70"/>
      <c r="W476" s="23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</row>
    <row r="477" ht="25.5" customHeight="1">
      <c r="A477" s="55">
        <v>46119.0</v>
      </c>
      <c r="B477" s="56" t="s">
        <v>708</v>
      </c>
      <c r="C477" s="56" t="s">
        <v>272</v>
      </c>
      <c r="D477" s="58" t="s">
        <v>273</v>
      </c>
      <c r="E477" s="58" t="s">
        <v>70</v>
      </c>
      <c r="F477" s="56" t="s">
        <v>71</v>
      </c>
      <c r="G477" s="60">
        <v>470.0</v>
      </c>
      <c r="H477" s="62">
        <v>17325.0</v>
      </c>
      <c r="I477" s="64">
        <v>8142750.0</v>
      </c>
      <c r="J477" s="64">
        <v>651420.0</v>
      </c>
      <c r="K477" s="64">
        <v>8794170.0</v>
      </c>
      <c r="L477" s="65" t="s">
        <v>800</v>
      </c>
      <c r="M477" s="65" t="str">
        <f>VLOOKUP(L477,'Đơn đặt'!$C$3:$E$275,2,0)</f>
        <v>01-04-TS</v>
      </c>
      <c r="N477" s="65" t="str">
        <f>VLOOKUP(L477,'Đơn đặt'!$C$3:$E$275,3,0)</f>
        <v>07-2026/TS-AVP/ĐĐH</v>
      </c>
      <c r="O477" s="66">
        <v>46119.0</v>
      </c>
      <c r="P477" s="67" t="s">
        <v>961</v>
      </c>
      <c r="Q477" s="68">
        <v>470.0</v>
      </c>
      <c r="R477" s="76">
        <v>16505.0</v>
      </c>
      <c r="S477" s="77">
        <v>7757350.0</v>
      </c>
      <c r="T477" s="77">
        <v>620588.0</v>
      </c>
      <c r="U477" s="60">
        <f t="shared" si="2"/>
        <v>8377938</v>
      </c>
      <c r="V477" s="70"/>
      <c r="W477" s="23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</row>
    <row r="478" ht="25.5" customHeight="1">
      <c r="A478" s="55">
        <v>46119.0</v>
      </c>
      <c r="B478" s="56" t="s">
        <v>708</v>
      </c>
      <c r="C478" s="56" t="s">
        <v>41</v>
      </c>
      <c r="D478" s="58" t="s">
        <v>40</v>
      </c>
      <c r="E478" s="58" t="s">
        <v>70</v>
      </c>
      <c r="F478" s="56" t="s">
        <v>71</v>
      </c>
      <c r="G478" s="60">
        <v>310.0</v>
      </c>
      <c r="H478" s="62">
        <v>20024.0</v>
      </c>
      <c r="I478" s="64">
        <v>6207440.0</v>
      </c>
      <c r="J478" s="64">
        <v>496595.0</v>
      </c>
      <c r="K478" s="64">
        <v>6704035.0</v>
      </c>
      <c r="L478" s="65" t="s">
        <v>943</v>
      </c>
      <c r="M478" s="65" t="str">
        <f>VLOOKUP(L478,'Đơn đặt'!$C$3:$E$275,2,0)</f>
        <v>03-12-TS</v>
      </c>
      <c r="N478" s="65" t="str">
        <f>VLOOKUP(L478,'Đơn đặt'!$C$3:$E$275,3,0)</f>
        <v>38-2026/TS-AVP/ĐĐH</v>
      </c>
      <c r="O478" s="66">
        <v>46119.0</v>
      </c>
      <c r="P478" s="67" t="s">
        <v>961</v>
      </c>
      <c r="Q478" s="68">
        <v>310.0</v>
      </c>
      <c r="R478" s="76">
        <v>17900.8</v>
      </c>
      <c r="S478" s="77">
        <v>5549248.0</v>
      </c>
      <c r="T478" s="77">
        <v>443940.0</v>
      </c>
      <c r="U478" s="60">
        <f t="shared" si="2"/>
        <v>5993188</v>
      </c>
      <c r="V478" s="70"/>
      <c r="W478" s="23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</row>
    <row r="479" ht="25.5" customHeight="1">
      <c r="A479" s="55">
        <v>46119.0</v>
      </c>
      <c r="B479" s="56" t="s">
        <v>962</v>
      </c>
      <c r="C479" s="56" t="s">
        <v>178</v>
      </c>
      <c r="D479" s="58" t="s">
        <v>179</v>
      </c>
      <c r="E479" s="58" t="s">
        <v>248</v>
      </c>
      <c r="F479" s="56" t="s">
        <v>819</v>
      </c>
      <c r="G479" s="60">
        <v>400.0</v>
      </c>
      <c r="H479" s="62">
        <v>269875.0</v>
      </c>
      <c r="I479" s="64">
        <v>1.0795E8</v>
      </c>
      <c r="J479" s="64">
        <v>8636000.0</v>
      </c>
      <c r="K479" s="64">
        <v>1.16586E8</v>
      </c>
      <c r="L479" s="91" t="s">
        <v>959</v>
      </c>
      <c r="M479" s="65">
        <f>VLOOKUP(L479,'Đơn đặt'!$C$3:$E$275,2,0)</f>
        <v>309</v>
      </c>
      <c r="N479" s="65" t="str">
        <f>VLOOKUP(L479,'Đơn đặt'!$C$3:$E$275,3,0)</f>
        <v>26/THP/01</v>
      </c>
      <c r="O479" s="55">
        <v>46119.0</v>
      </c>
      <c r="P479" s="56" t="s">
        <v>963</v>
      </c>
      <c r="Q479" s="60">
        <v>400.0</v>
      </c>
      <c r="R479" s="62">
        <v>260375.0</v>
      </c>
      <c r="S479" s="64">
        <v>1.0415E8</v>
      </c>
      <c r="T479" s="64">
        <v>8332000.0</v>
      </c>
      <c r="U479" s="60">
        <f t="shared" si="2"/>
        <v>112482000</v>
      </c>
      <c r="V479" s="70"/>
      <c r="W479" s="23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</row>
    <row r="480" ht="25.5" customHeight="1">
      <c r="A480" s="55">
        <v>46120.0</v>
      </c>
      <c r="B480" s="56" t="s">
        <v>964</v>
      </c>
      <c r="C480" s="56" t="s">
        <v>178</v>
      </c>
      <c r="D480" s="58" t="s">
        <v>179</v>
      </c>
      <c r="E480" s="58" t="s">
        <v>248</v>
      </c>
      <c r="F480" s="56" t="s">
        <v>819</v>
      </c>
      <c r="G480" s="60">
        <v>380.0</v>
      </c>
      <c r="H480" s="62">
        <v>269875.0</v>
      </c>
      <c r="I480" s="64">
        <v>1.025525E8</v>
      </c>
      <c r="J480" s="64">
        <v>8204200.0</v>
      </c>
      <c r="K480" s="64">
        <v>1.107567E8</v>
      </c>
      <c r="L480" s="91" t="s">
        <v>959</v>
      </c>
      <c r="M480" s="65">
        <f>VLOOKUP(L480,'Đơn đặt'!$C$3:$E$275,2,0)</f>
        <v>309</v>
      </c>
      <c r="N480" s="65" t="str">
        <f>VLOOKUP(L480,'Đơn đặt'!$C$3:$E$275,3,0)</f>
        <v>26/THP/01</v>
      </c>
      <c r="O480" s="55">
        <v>46119.0</v>
      </c>
      <c r="P480" s="56" t="s">
        <v>965</v>
      </c>
      <c r="Q480" s="60">
        <v>380.0</v>
      </c>
      <c r="R480" s="62">
        <v>260375.0</v>
      </c>
      <c r="S480" s="64">
        <v>9.89425E7</v>
      </c>
      <c r="T480" s="64">
        <v>7915400.0</v>
      </c>
      <c r="U480" s="60">
        <f t="shared" si="2"/>
        <v>106857900</v>
      </c>
      <c r="V480" s="70"/>
      <c r="W480" s="23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</row>
    <row r="481" ht="25.5" customHeight="1">
      <c r="A481" s="55">
        <v>46120.0</v>
      </c>
      <c r="B481" s="56" t="s">
        <v>715</v>
      </c>
      <c r="C481" s="56" t="s">
        <v>206</v>
      </c>
      <c r="D481" s="58" t="s">
        <v>207</v>
      </c>
      <c r="E481" s="58" t="s">
        <v>70</v>
      </c>
      <c r="F481" s="56" t="s">
        <v>71</v>
      </c>
      <c r="G481" s="60">
        <v>2000.0</v>
      </c>
      <c r="H481" s="62">
        <v>18134.0</v>
      </c>
      <c r="I481" s="64">
        <v>3.6268E7</v>
      </c>
      <c r="J481" s="64">
        <v>2901440.0</v>
      </c>
      <c r="K481" s="64">
        <v>3.916944E7</v>
      </c>
      <c r="L481" s="65" t="s">
        <v>451</v>
      </c>
      <c r="M481" s="65" t="str">
        <f>VLOOKUP(L481,'Đơn đặt'!$C$3:$E$275,2,0)</f>
        <v>01-04-TS</v>
      </c>
      <c r="N481" s="65" t="str">
        <f>VLOOKUP(L481,'Đơn đặt'!$C$3:$E$275,3,0)</f>
        <v>07-2026/TS-AVP/ĐĐH</v>
      </c>
      <c r="O481" s="66">
        <v>46120.0</v>
      </c>
      <c r="P481" s="67" t="s">
        <v>966</v>
      </c>
      <c r="Q481" s="68">
        <v>2000.0</v>
      </c>
      <c r="R481" s="76">
        <v>17202.8</v>
      </c>
      <c r="S481" s="77">
        <v>3.44056E7</v>
      </c>
      <c r="T481" s="77">
        <v>2752448.0</v>
      </c>
      <c r="U481" s="60">
        <f t="shared" si="2"/>
        <v>37158048</v>
      </c>
      <c r="V481" s="70"/>
      <c r="W481" s="23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</row>
    <row r="482" ht="25.5" customHeight="1">
      <c r="A482" s="55">
        <v>46120.0</v>
      </c>
      <c r="B482" s="56" t="s">
        <v>724</v>
      </c>
      <c r="C482" s="56" t="s">
        <v>59</v>
      </c>
      <c r="D482" s="58" t="s">
        <v>105</v>
      </c>
      <c r="E482" s="58" t="s">
        <v>70</v>
      </c>
      <c r="F482" s="56" t="s">
        <v>71</v>
      </c>
      <c r="G482" s="60">
        <v>3200.0</v>
      </c>
      <c r="H482" s="62">
        <v>18291.0</v>
      </c>
      <c r="I482" s="64">
        <v>5.85312E7</v>
      </c>
      <c r="J482" s="64">
        <v>4682496.0</v>
      </c>
      <c r="K482" s="64">
        <v>6.3213696E7</v>
      </c>
      <c r="L482" s="65" t="s">
        <v>743</v>
      </c>
      <c r="M482" s="65" t="str">
        <f>VLOOKUP(L482,'Đơn đặt'!$C$3:$E$275,2,0)</f>
        <v>02-03-TS</v>
      </c>
      <c r="N482" s="65" t="str">
        <f>VLOOKUP(L482,'Đơn đặt'!$C$3:$E$275,3,0)</f>
        <v>21-2026/TS-AVP/ĐĐH</v>
      </c>
      <c r="O482" s="66">
        <v>46120.0</v>
      </c>
      <c r="P482" s="93" t="s">
        <v>967</v>
      </c>
      <c r="Q482" s="90">
        <v>3200.0</v>
      </c>
      <c r="R482" s="76">
        <v>16258.2</v>
      </c>
      <c r="S482" s="60">
        <f>ROUND(Q482*R482,0)</f>
        <v>52026240</v>
      </c>
      <c r="T482" s="64">
        <f>ROUND(S482*0.08,0)</f>
        <v>4162099</v>
      </c>
      <c r="U482" s="60">
        <f t="shared" si="2"/>
        <v>56188339</v>
      </c>
      <c r="V482" s="70"/>
      <c r="W482" s="23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</row>
    <row r="483" ht="25.5" customHeight="1">
      <c r="A483" s="55">
        <v>46120.0</v>
      </c>
      <c r="B483" s="56" t="s">
        <v>724</v>
      </c>
      <c r="C483" s="56" t="s">
        <v>41</v>
      </c>
      <c r="D483" s="58" t="s">
        <v>40</v>
      </c>
      <c r="E483" s="58" t="s">
        <v>70</v>
      </c>
      <c r="F483" s="56" t="s">
        <v>71</v>
      </c>
      <c r="G483" s="60">
        <v>800.0</v>
      </c>
      <c r="H483" s="62">
        <v>20024.0</v>
      </c>
      <c r="I483" s="64">
        <v>1.60192E7</v>
      </c>
      <c r="J483" s="64">
        <v>1281536.0</v>
      </c>
      <c r="K483" s="64">
        <v>1.7300736E7</v>
      </c>
      <c r="L483" s="65" t="s">
        <v>943</v>
      </c>
      <c r="M483" s="65" t="str">
        <f>VLOOKUP(L483,'Đơn đặt'!$C$3:$E$275,2,0)</f>
        <v>03-12-TS</v>
      </c>
      <c r="N483" s="65" t="str">
        <f>VLOOKUP(L483,'Đơn đặt'!$C$3:$E$275,3,0)</f>
        <v>38-2026/TS-AVP/ĐĐH</v>
      </c>
      <c r="O483" s="66">
        <v>46120.0</v>
      </c>
      <c r="P483" s="67" t="s">
        <v>968</v>
      </c>
      <c r="Q483" s="68">
        <v>800.0</v>
      </c>
      <c r="R483" s="76">
        <v>17900.8</v>
      </c>
      <c r="S483" s="77">
        <v>1.432064E7</v>
      </c>
      <c r="T483" s="77">
        <v>1145651.0</v>
      </c>
      <c r="U483" s="60">
        <f t="shared" si="2"/>
        <v>15466291</v>
      </c>
      <c r="V483" s="70"/>
      <c r="W483" s="23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</row>
    <row r="484" ht="25.5" customHeight="1">
      <c r="A484" s="55">
        <v>46120.0</v>
      </c>
      <c r="B484" s="56" t="s">
        <v>712</v>
      </c>
      <c r="C484" s="56" t="s">
        <v>48</v>
      </c>
      <c r="D484" s="58" t="s">
        <v>47</v>
      </c>
      <c r="E484" s="58" t="s">
        <v>70</v>
      </c>
      <c r="F484" s="56" t="s">
        <v>71</v>
      </c>
      <c r="G484" s="60">
        <v>6000.0</v>
      </c>
      <c r="H484" s="62">
        <v>18291.0</v>
      </c>
      <c r="I484" s="64">
        <v>1.09746E8</v>
      </c>
      <c r="J484" s="64">
        <v>8779680.0</v>
      </c>
      <c r="K484" s="64">
        <v>1.1852568E8</v>
      </c>
      <c r="L484" s="65" t="s">
        <v>771</v>
      </c>
      <c r="M484" s="65" t="str">
        <f>VLOOKUP(L484,'Đơn đặt'!$C$3:$E$275,2,0)</f>
        <v>02-03-TS</v>
      </c>
      <c r="N484" s="65" t="str">
        <f>VLOOKUP(L484,'Đơn đặt'!$C$3:$E$275,3,0)</f>
        <v>22-2026/TS-AVP/ĐĐH</v>
      </c>
      <c r="O484" s="66">
        <v>46120.0</v>
      </c>
      <c r="P484" s="67" t="s">
        <v>969</v>
      </c>
      <c r="Q484" s="68">
        <v>6000.0</v>
      </c>
      <c r="R484" s="68">
        <v>14482.2</v>
      </c>
      <c r="S484" s="68">
        <v>8.68932E7</v>
      </c>
      <c r="T484" s="68">
        <v>6951456.0</v>
      </c>
      <c r="U484" s="60">
        <f t="shared" si="2"/>
        <v>93844656</v>
      </c>
      <c r="V484" s="70"/>
      <c r="W484" s="23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</row>
    <row r="485" ht="25.5" customHeight="1">
      <c r="A485" s="55">
        <v>46120.0</v>
      </c>
      <c r="B485" s="56" t="s">
        <v>712</v>
      </c>
      <c r="C485" s="56" t="s">
        <v>50</v>
      </c>
      <c r="D485" s="58" t="s">
        <v>49</v>
      </c>
      <c r="E485" s="58" t="s">
        <v>70</v>
      </c>
      <c r="F485" s="56" t="s">
        <v>71</v>
      </c>
      <c r="G485" s="60">
        <v>2000.0</v>
      </c>
      <c r="H485" s="62">
        <v>18291.0</v>
      </c>
      <c r="I485" s="64">
        <v>3.6582E7</v>
      </c>
      <c r="J485" s="64">
        <v>2926560.0</v>
      </c>
      <c r="K485" s="64">
        <v>3.950856E7</v>
      </c>
      <c r="L485" s="65" t="s">
        <v>773</v>
      </c>
      <c r="M485" s="65" t="str">
        <f>VLOOKUP(L485,'Đơn đặt'!$C$3:$E$275,2,0)</f>
        <v>02-03-TS</v>
      </c>
      <c r="N485" s="65" t="str">
        <f>VLOOKUP(L485,'Đơn đặt'!$C$3:$E$275,3,0)</f>
        <v>22-2026/TS-AVP/ĐĐH</v>
      </c>
      <c r="O485" s="66">
        <v>46120.0</v>
      </c>
      <c r="P485" s="67" t="s">
        <v>969</v>
      </c>
      <c r="Q485" s="68">
        <v>2000.0</v>
      </c>
      <c r="R485" s="76">
        <v>14482.2</v>
      </c>
      <c r="S485" s="77">
        <v>2.89644E7</v>
      </c>
      <c r="T485" s="77">
        <v>2317152.0</v>
      </c>
      <c r="U485" s="60">
        <f t="shared" si="2"/>
        <v>31281552</v>
      </c>
      <c r="V485" s="70"/>
      <c r="W485" s="23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</row>
    <row r="486" ht="25.5" customHeight="1">
      <c r="A486" s="55">
        <v>46121.0</v>
      </c>
      <c r="B486" s="56" t="s">
        <v>970</v>
      </c>
      <c r="C486" s="56" t="s">
        <v>38</v>
      </c>
      <c r="D486" s="58" t="s">
        <v>36</v>
      </c>
      <c r="E486" s="58" t="s">
        <v>70</v>
      </c>
      <c r="F486" s="56" t="s">
        <v>71</v>
      </c>
      <c r="G486" s="60">
        <v>1520.0</v>
      </c>
      <c r="H486" s="62">
        <v>18953.0</v>
      </c>
      <c r="I486" s="64">
        <v>2.880856E7</v>
      </c>
      <c r="J486" s="64">
        <v>2304685.0</v>
      </c>
      <c r="K486" s="64">
        <v>3.1113245E7</v>
      </c>
      <c r="L486" s="65" t="s">
        <v>945</v>
      </c>
      <c r="M486" s="65" t="str">
        <f>VLOOKUP(L486,'Đơn đặt'!$C$3:$E$275,2,0)</f>
        <v>03-12-TS</v>
      </c>
      <c r="N486" s="65" t="str">
        <f>VLOOKUP(L486,'Đơn đặt'!$C$3:$E$275,3,0)</f>
        <v>38-2026/TS-AVP/ĐĐH</v>
      </c>
      <c r="O486" s="66">
        <v>46121.0</v>
      </c>
      <c r="P486" s="67" t="s">
        <v>971</v>
      </c>
      <c r="Q486" s="68">
        <v>1520.0</v>
      </c>
      <c r="R486" s="76">
        <v>18246.6</v>
      </c>
      <c r="S486" s="77">
        <v>2.7734832E7</v>
      </c>
      <c r="T486" s="77">
        <v>2218787.0</v>
      </c>
      <c r="U486" s="60">
        <f t="shared" si="2"/>
        <v>29953619</v>
      </c>
      <c r="V486" s="70"/>
      <c r="W486" s="23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</row>
    <row r="487" ht="25.5" customHeight="1">
      <c r="A487" s="55">
        <v>46121.0</v>
      </c>
      <c r="B487" s="56" t="s">
        <v>972</v>
      </c>
      <c r="C487" s="56" t="s">
        <v>38</v>
      </c>
      <c r="D487" s="58" t="s">
        <v>36</v>
      </c>
      <c r="E487" s="58" t="s">
        <v>70</v>
      </c>
      <c r="F487" s="56" t="s">
        <v>71</v>
      </c>
      <c r="G487" s="60">
        <v>480.0</v>
      </c>
      <c r="H487" s="62">
        <v>18953.0</v>
      </c>
      <c r="I487" s="64">
        <v>9097440.0</v>
      </c>
      <c r="J487" s="64">
        <v>727795.0</v>
      </c>
      <c r="K487" s="64">
        <v>9825235.0</v>
      </c>
      <c r="L487" s="65" t="s">
        <v>945</v>
      </c>
      <c r="M487" s="65" t="str">
        <f>VLOOKUP(L487,'Đơn đặt'!$C$3:$E$275,2,0)</f>
        <v>03-12-TS</v>
      </c>
      <c r="N487" s="65" t="str">
        <f>VLOOKUP(L487,'Đơn đặt'!$C$3:$E$275,3,0)</f>
        <v>38-2026/TS-AVP/ĐĐH</v>
      </c>
      <c r="O487" s="66">
        <v>46121.0</v>
      </c>
      <c r="P487" s="67" t="s">
        <v>973</v>
      </c>
      <c r="Q487" s="68">
        <v>480.0</v>
      </c>
      <c r="R487" s="76">
        <v>18246.6</v>
      </c>
      <c r="S487" s="77">
        <v>8758368.0</v>
      </c>
      <c r="T487" s="77">
        <v>700669.0</v>
      </c>
      <c r="U487" s="60">
        <f t="shared" si="2"/>
        <v>9459037</v>
      </c>
      <c r="V487" s="70"/>
      <c r="W487" s="23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</row>
    <row r="488" ht="25.5" customHeight="1">
      <c r="A488" s="55">
        <v>46121.0</v>
      </c>
      <c r="B488" s="56" t="s">
        <v>972</v>
      </c>
      <c r="C488" s="56" t="s">
        <v>41</v>
      </c>
      <c r="D488" s="58" t="s">
        <v>40</v>
      </c>
      <c r="E488" s="58" t="s">
        <v>70</v>
      </c>
      <c r="F488" s="56" t="s">
        <v>71</v>
      </c>
      <c r="G488" s="60">
        <v>1900.0</v>
      </c>
      <c r="H488" s="62">
        <v>20024.0</v>
      </c>
      <c r="I488" s="64">
        <v>3.80456E7</v>
      </c>
      <c r="J488" s="64">
        <v>3043648.0</v>
      </c>
      <c r="K488" s="64">
        <v>4.1089248E7</v>
      </c>
      <c r="L488" s="65" t="s">
        <v>943</v>
      </c>
      <c r="M488" s="65" t="str">
        <f>VLOOKUP(L488,'Đơn đặt'!$C$3:$E$275,2,0)</f>
        <v>03-12-TS</v>
      </c>
      <c r="N488" s="65" t="str">
        <f>VLOOKUP(L488,'Đơn đặt'!$C$3:$E$275,3,0)</f>
        <v>38-2026/TS-AVP/ĐĐH</v>
      </c>
      <c r="O488" s="66">
        <v>46121.0</v>
      </c>
      <c r="P488" s="67" t="s">
        <v>973</v>
      </c>
      <c r="Q488" s="68">
        <v>1900.0</v>
      </c>
      <c r="R488" s="76">
        <v>17900.8</v>
      </c>
      <c r="S488" s="77">
        <v>3.401152E7</v>
      </c>
      <c r="T488" s="77">
        <v>2720922.0</v>
      </c>
      <c r="U488" s="60">
        <f t="shared" si="2"/>
        <v>36732442</v>
      </c>
      <c r="V488" s="70"/>
      <c r="W488" s="23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</row>
    <row r="489" ht="25.5" customHeight="1">
      <c r="A489" s="55">
        <v>46121.0</v>
      </c>
      <c r="B489" s="56" t="s">
        <v>972</v>
      </c>
      <c r="C489" s="56" t="s">
        <v>59</v>
      </c>
      <c r="D489" s="58" t="s">
        <v>105</v>
      </c>
      <c r="E489" s="58" t="s">
        <v>70</v>
      </c>
      <c r="F489" s="56" t="s">
        <v>71</v>
      </c>
      <c r="G489" s="60">
        <v>980.0</v>
      </c>
      <c r="H489" s="62">
        <v>18291.0</v>
      </c>
      <c r="I489" s="64">
        <v>1.792518E7</v>
      </c>
      <c r="J489" s="64">
        <v>1434015.0</v>
      </c>
      <c r="K489" s="64">
        <v>1.9359195E7</v>
      </c>
      <c r="L489" s="65" t="s">
        <v>743</v>
      </c>
      <c r="M489" s="65" t="str">
        <f>VLOOKUP(L489,'Đơn đặt'!$C$3:$E$275,2,0)</f>
        <v>02-03-TS</v>
      </c>
      <c r="N489" s="65" t="str">
        <f>VLOOKUP(L489,'Đơn đặt'!$C$3:$E$275,3,0)</f>
        <v>21-2026/TS-AVP/ĐĐH</v>
      </c>
      <c r="O489" s="66">
        <v>46121.0</v>
      </c>
      <c r="P489" s="67" t="s">
        <v>973</v>
      </c>
      <c r="Q489" s="68">
        <v>980.0</v>
      </c>
      <c r="R489" s="76">
        <v>16258.2</v>
      </c>
      <c r="S489" s="68">
        <v>1.5933036E7</v>
      </c>
      <c r="T489" s="77">
        <v>1274643.0</v>
      </c>
      <c r="U489" s="60">
        <f t="shared" si="2"/>
        <v>17207679</v>
      </c>
      <c r="V489" s="70"/>
      <c r="W489" s="23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</row>
    <row r="490" ht="25.5" customHeight="1">
      <c r="A490" s="55">
        <v>46121.0</v>
      </c>
      <c r="B490" s="56" t="s">
        <v>974</v>
      </c>
      <c r="C490" s="56" t="s">
        <v>9</v>
      </c>
      <c r="D490" s="58" t="s">
        <v>361</v>
      </c>
      <c r="E490" s="58" t="s">
        <v>70</v>
      </c>
      <c r="F490" s="56" t="s">
        <v>500</v>
      </c>
      <c r="G490" s="60">
        <v>1000000.0</v>
      </c>
      <c r="H490" s="62">
        <v>85.0</v>
      </c>
      <c r="I490" s="64">
        <v>8.5E7</v>
      </c>
      <c r="J490" s="64">
        <v>6800000.0</v>
      </c>
      <c r="K490" s="64">
        <v>9.18E7</v>
      </c>
      <c r="L490" s="65" t="s">
        <v>975</v>
      </c>
      <c r="M490" s="65" t="str">
        <f>VLOOKUP(L490,'Đơn đặt'!$C$3:$E$275,2,0)</f>
        <v>04-07/TS-LP</v>
      </c>
      <c r="N490" s="65" t="str">
        <f>VLOOKUP(L490,'Đơn đặt'!$C$3:$E$275,3,0)</f>
        <v>39-2026/TS-AVP/ĐĐH</v>
      </c>
      <c r="O490" s="66">
        <v>46121.0</v>
      </c>
      <c r="P490" s="67" t="s">
        <v>976</v>
      </c>
      <c r="Q490" s="68">
        <v>1000000.0</v>
      </c>
      <c r="R490" s="76">
        <v>78.6</v>
      </c>
      <c r="S490" s="77">
        <v>7.86E7</v>
      </c>
      <c r="T490" s="77">
        <v>6288000.0</v>
      </c>
      <c r="U490" s="60">
        <f t="shared" si="2"/>
        <v>84888000</v>
      </c>
      <c r="V490" s="70"/>
      <c r="W490" s="23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</row>
    <row r="491" ht="25.5" customHeight="1">
      <c r="A491" s="55">
        <v>46122.0</v>
      </c>
      <c r="B491" s="56" t="s">
        <v>977</v>
      </c>
      <c r="C491" s="56" t="s">
        <v>9</v>
      </c>
      <c r="D491" s="58" t="s">
        <v>361</v>
      </c>
      <c r="E491" s="58" t="s">
        <v>70</v>
      </c>
      <c r="F491" s="56" t="s">
        <v>500</v>
      </c>
      <c r="G491" s="60">
        <v>1000000.0</v>
      </c>
      <c r="H491" s="62">
        <v>85.0</v>
      </c>
      <c r="I491" s="64">
        <v>8.5E7</v>
      </c>
      <c r="J491" s="64">
        <v>6800000.0</v>
      </c>
      <c r="K491" s="64">
        <v>9.18E7</v>
      </c>
      <c r="L491" s="65" t="s">
        <v>975</v>
      </c>
      <c r="M491" s="65" t="str">
        <f>VLOOKUP(L491,'Đơn đặt'!$C$3:$E$275,2,0)</f>
        <v>04-07/TS-LP</v>
      </c>
      <c r="N491" s="65" t="str">
        <f>VLOOKUP(L491,'Đơn đặt'!$C$3:$E$275,3,0)</f>
        <v>39-2026/TS-AVP/ĐĐH</v>
      </c>
      <c r="O491" s="66">
        <v>46122.0</v>
      </c>
      <c r="P491" s="67" t="s">
        <v>978</v>
      </c>
      <c r="Q491" s="68">
        <v>1000000.0</v>
      </c>
      <c r="R491" s="76">
        <v>78.6</v>
      </c>
      <c r="S491" s="77">
        <v>7.86E7</v>
      </c>
      <c r="T491" s="77">
        <v>6288000.0</v>
      </c>
      <c r="U491" s="60">
        <f t="shared" si="2"/>
        <v>84888000</v>
      </c>
      <c r="V491" s="70"/>
      <c r="W491" s="23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</row>
    <row r="492" ht="25.5" customHeight="1">
      <c r="A492" s="55">
        <v>46122.0</v>
      </c>
      <c r="B492" s="56" t="s">
        <v>979</v>
      </c>
      <c r="C492" s="56" t="s">
        <v>48</v>
      </c>
      <c r="D492" s="58" t="s">
        <v>47</v>
      </c>
      <c r="E492" s="58" t="s">
        <v>70</v>
      </c>
      <c r="F492" s="56" t="s">
        <v>71</v>
      </c>
      <c r="G492" s="60">
        <v>8000.0</v>
      </c>
      <c r="H492" s="62">
        <v>18291.0</v>
      </c>
      <c r="I492" s="64">
        <v>1.46328E8</v>
      </c>
      <c r="J492" s="64">
        <v>1.170624E7</v>
      </c>
      <c r="K492" s="64">
        <v>1.5803424E8</v>
      </c>
      <c r="L492" s="65" t="s">
        <v>771</v>
      </c>
      <c r="M492" s="65" t="str">
        <f>VLOOKUP(L492,'Đơn đặt'!$C$3:$E$275,2,0)</f>
        <v>02-03-TS</v>
      </c>
      <c r="N492" s="65" t="str">
        <f>VLOOKUP(L492,'Đơn đặt'!$C$3:$E$275,3,0)</f>
        <v>22-2026/TS-AVP/ĐĐH</v>
      </c>
      <c r="O492" s="66">
        <v>46122.0</v>
      </c>
      <c r="P492" s="93" t="s">
        <v>980</v>
      </c>
      <c r="Q492" s="68">
        <v>8000.0</v>
      </c>
      <c r="R492" s="68">
        <v>14482.2</v>
      </c>
      <c r="S492" s="60">
        <f>ROUND(Q492*R492,0)</f>
        <v>115857600</v>
      </c>
      <c r="T492" s="60">
        <f>ROUND(S492*0.08,0)</f>
        <v>9268608</v>
      </c>
      <c r="U492" s="60">
        <f t="shared" si="2"/>
        <v>125126208</v>
      </c>
      <c r="V492" s="70"/>
      <c r="W492" s="23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</row>
    <row r="493" ht="25.5" customHeight="1">
      <c r="A493" s="55">
        <v>46122.0</v>
      </c>
      <c r="B493" s="56" t="s">
        <v>979</v>
      </c>
      <c r="C493" s="56" t="s">
        <v>50</v>
      </c>
      <c r="D493" s="58" t="s">
        <v>49</v>
      </c>
      <c r="E493" s="58" t="s">
        <v>70</v>
      </c>
      <c r="F493" s="56" t="s">
        <v>71</v>
      </c>
      <c r="G493" s="60">
        <v>2000.0</v>
      </c>
      <c r="H493" s="62">
        <v>18291.0</v>
      </c>
      <c r="I493" s="64">
        <v>3.6582E7</v>
      </c>
      <c r="J493" s="64">
        <v>2926560.0</v>
      </c>
      <c r="K493" s="64">
        <v>3.950856E7</v>
      </c>
      <c r="L493" s="65" t="s">
        <v>773</v>
      </c>
      <c r="M493" s="65" t="str">
        <f>VLOOKUP(L493,'Đơn đặt'!$C$3:$E$275,2,0)</f>
        <v>02-03-TS</v>
      </c>
      <c r="N493" s="65" t="str">
        <f>VLOOKUP(L493,'Đơn đặt'!$C$3:$E$275,3,0)</f>
        <v>22-2026/TS-AVP/ĐĐH</v>
      </c>
      <c r="O493" s="66">
        <v>46122.0</v>
      </c>
      <c r="P493" s="67" t="s">
        <v>981</v>
      </c>
      <c r="Q493" s="68">
        <v>2000.0</v>
      </c>
      <c r="R493" s="76">
        <v>14482.2</v>
      </c>
      <c r="S493" s="77">
        <v>2.89644E7</v>
      </c>
      <c r="T493" s="77">
        <v>2317152.0</v>
      </c>
      <c r="U493" s="60">
        <f t="shared" si="2"/>
        <v>31281552</v>
      </c>
      <c r="V493" s="70"/>
      <c r="W493" s="23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</row>
    <row r="494" ht="25.5" customHeight="1">
      <c r="A494" s="55">
        <v>46122.0</v>
      </c>
      <c r="B494" s="56" t="s">
        <v>726</v>
      </c>
      <c r="C494" s="56" t="s">
        <v>59</v>
      </c>
      <c r="D494" s="58" t="s">
        <v>105</v>
      </c>
      <c r="E494" s="58" t="s">
        <v>70</v>
      </c>
      <c r="F494" s="56" t="s">
        <v>71</v>
      </c>
      <c r="G494" s="60">
        <v>3000.0</v>
      </c>
      <c r="H494" s="62">
        <v>18291.0</v>
      </c>
      <c r="I494" s="64">
        <v>5.4873E7</v>
      </c>
      <c r="J494" s="64">
        <v>4389840.0</v>
      </c>
      <c r="K494" s="64">
        <v>5.926284E7</v>
      </c>
      <c r="L494" s="65" t="s">
        <v>743</v>
      </c>
      <c r="M494" s="65" t="str">
        <f>VLOOKUP(L494,'Đơn đặt'!$C$3:$E$275,2,0)</f>
        <v>02-03-TS</v>
      </c>
      <c r="N494" s="65" t="str">
        <f>VLOOKUP(L494,'Đơn đặt'!$C$3:$E$275,3,0)</f>
        <v>21-2026/TS-AVP/ĐĐH</v>
      </c>
      <c r="O494" s="66">
        <v>46122.0</v>
      </c>
      <c r="P494" s="67" t="s">
        <v>982</v>
      </c>
      <c r="Q494" s="68">
        <v>3000.0</v>
      </c>
      <c r="R494" s="76">
        <v>16258.2</v>
      </c>
      <c r="S494" s="68">
        <v>4.87746E7</v>
      </c>
      <c r="T494" s="77">
        <v>3901968.0</v>
      </c>
      <c r="U494" s="60">
        <f t="shared" si="2"/>
        <v>52676568</v>
      </c>
      <c r="V494" s="70"/>
      <c r="W494" s="23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</row>
    <row r="495" ht="25.5" customHeight="1">
      <c r="A495" s="55">
        <v>46122.0</v>
      </c>
      <c r="B495" s="56" t="s">
        <v>726</v>
      </c>
      <c r="C495" s="56" t="s">
        <v>14</v>
      </c>
      <c r="D495" s="58" t="s">
        <v>13</v>
      </c>
      <c r="E495" s="58" t="s">
        <v>70</v>
      </c>
      <c r="F495" s="56" t="s">
        <v>71</v>
      </c>
      <c r="G495" s="60">
        <v>380.0</v>
      </c>
      <c r="H495" s="62">
        <v>19404.0</v>
      </c>
      <c r="I495" s="64">
        <v>7373520.0</v>
      </c>
      <c r="J495" s="64">
        <v>589882.0</v>
      </c>
      <c r="K495" s="64">
        <v>7963402.0</v>
      </c>
      <c r="L495" s="65" t="s">
        <v>840</v>
      </c>
      <c r="M495" s="65" t="str">
        <f>VLOOKUP(L495,'Đơn đặt'!$C$3:$E$275,2,0)</f>
        <v>02-03-TS</v>
      </c>
      <c r="N495" s="65" t="str">
        <f>VLOOKUP(L495,'Đơn đặt'!$C$3:$E$275,3,0)</f>
        <v>21-2026/TS-AVP/ĐĐH</v>
      </c>
      <c r="O495" s="66">
        <v>46122.0</v>
      </c>
      <c r="P495" s="67" t="s">
        <v>982</v>
      </c>
      <c r="Q495" s="68">
        <v>380.0</v>
      </c>
      <c r="R495" s="76">
        <v>17776.8</v>
      </c>
      <c r="S495" s="77">
        <v>6755184.0</v>
      </c>
      <c r="T495" s="77">
        <v>540415.0</v>
      </c>
      <c r="U495" s="60">
        <f t="shared" si="2"/>
        <v>7295599</v>
      </c>
      <c r="V495" s="70"/>
      <c r="W495" s="23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</row>
    <row r="496" ht="25.5" customHeight="1">
      <c r="A496" s="55">
        <v>46122.0</v>
      </c>
      <c r="B496" s="56" t="s">
        <v>726</v>
      </c>
      <c r="C496" s="56" t="s">
        <v>279</v>
      </c>
      <c r="D496" s="58" t="s">
        <v>280</v>
      </c>
      <c r="E496" s="58" t="s">
        <v>70</v>
      </c>
      <c r="F496" s="56" t="s">
        <v>71</v>
      </c>
      <c r="G496" s="60">
        <v>300.0</v>
      </c>
      <c r="H496" s="62">
        <v>17325.0</v>
      </c>
      <c r="I496" s="64">
        <v>5197500.0</v>
      </c>
      <c r="J496" s="64">
        <v>415800.0</v>
      </c>
      <c r="K496" s="64">
        <v>5613300.0</v>
      </c>
      <c r="L496" s="65" t="s">
        <v>983</v>
      </c>
      <c r="M496" s="65" t="str">
        <f>VLOOKUP(L496,'Đơn đặt'!$C$3:$E$275,2,0)</f>
        <v>03-18-TS</v>
      </c>
      <c r="N496" s="65" t="str">
        <f>VLOOKUP(L496,'Đơn đặt'!$C$3:$E$275,3,0)</f>
        <v>42-2026/TS-AVP/ĐĐH</v>
      </c>
      <c r="O496" s="66">
        <v>46122.0</v>
      </c>
      <c r="P496" s="67" t="s">
        <v>982</v>
      </c>
      <c r="Q496" s="68">
        <v>300.0</v>
      </c>
      <c r="R496" s="76">
        <v>17241.0</v>
      </c>
      <c r="S496" s="77">
        <v>5172300.0</v>
      </c>
      <c r="T496" s="77">
        <v>413784.0</v>
      </c>
      <c r="U496" s="60">
        <f t="shared" si="2"/>
        <v>5586084</v>
      </c>
      <c r="V496" s="70"/>
      <c r="W496" s="23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</row>
    <row r="497" ht="25.5" customHeight="1">
      <c r="A497" s="55">
        <v>46122.0</v>
      </c>
      <c r="B497" s="56" t="s">
        <v>729</v>
      </c>
      <c r="C497" s="56" t="s">
        <v>14</v>
      </c>
      <c r="D497" s="58" t="s">
        <v>13</v>
      </c>
      <c r="E497" s="58" t="s">
        <v>70</v>
      </c>
      <c r="F497" s="56" t="s">
        <v>71</v>
      </c>
      <c r="G497" s="60">
        <v>2620.0</v>
      </c>
      <c r="H497" s="62">
        <v>19404.0</v>
      </c>
      <c r="I497" s="64">
        <v>5.083848E7</v>
      </c>
      <c r="J497" s="64">
        <v>4067078.0</v>
      </c>
      <c r="K497" s="64">
        <v>5.4905558E7</v>
      </c>
      <c r="L497" s="65" t="s">
        <v>840</v>
      </c>
      <c r="M497" s="65" t="str">
        <f>VLOOKUP(L497,'Đơn đặt'!$C$3:$E$275,2,0)</f>
        <v>02-03-TS</v>
      </c>
      <c r="N497" s="65" t="str">
        <f>VLOOKUP(L497,'Đơn đặt'!$C$3:$E$275,3,0)</f>
        <v>21-2026/TS-AVP/ĐĐH</v>
      </c>
      <c r="O497" s="66">
        <v>46122.0</v>
      </c>
      <c r="P497" s="67" t="s">
        <v>984</v>
      </c>
      <c r="Q497" s="68">
        <v>2620.0</v>
      </c>
      <c r="R497" s="76">
        <v>17776.8</v>
      </c>
      <c r="S497" s="77">
        <v>4.6575216E7</v>
      </c>
      <c r="T497" s="77">
        <v>3726017.0</v>
      </c>
      <c r="U497" s="60">
        <f t="shared" si="2"/>
        <v>50301233</v>
      </c>
      <c r="V497" s="70"/>
      <c r="W497" s="23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</row>
    <row r="498" ht="25.5" customHeight="1">
      <c r="A498" s="55">
        <v>46122.0</v>
      </c>
      <c r="B498" s="56" t="s">
        <v>729</v>
      </c>
      <c r="C498" s="56" t="s">
        <v>119</v>
      </c>
      <c r="D498" s="58" t="s">
        <v>120</v>
      </c>
      <c r="E498" s="58" t="s">
        <v>70</v>
      </c>
      <c r="F498" s="56" t="s">
        <v>71</v>
      </c>
      <c r="G498" s="60">
        <v>1130.0</v>
      </c>
      <c r="H498" s="62">
        <v>19310.0</v>
      </c>
      <c r="I498" s="64">
        <v>2.18203E7</v>
      </c>
      <c r="J498" s="64">
        <v>1745624.0</v>
      </c>
      <c r="K498" s="64">
        <v>2.3565924E7</v>
      </c>
      <c r="L498" s="65" t="s">
        <v>228</v>
      </c>
      <c r="M498" s="65" t="str">
        <f>VLOOKUP(L498,'Đơn đặt'!$C$3:$E$275,2,0)</f>
        <v>01-02-TS</v>
      </c>
      <c r="N498" s="65" t="str">
        <f>VLOOKUP(L498,'Đơn đặt'!$C$3:$E$275,3,0)</f>
        <v>04-2026/TS-AVP/ĐĐH</v>
      </c>
      <c r="O498" s="66">
        <v>46122.0</v>
      </c>
      <c r="P498" s="67" t="s">
        <v>984</v>
      </c>
      <c r="Q498" s="68">
        <v>1130.0</v>
      </c>
      <c r="R498" s="76">
        <v>17438.0</v>
      </c>
      <c r="S498" s="77">
        <v>1.970494E7</v>
      </c>
      <c r="T498" s="77">
        <v>1576395.0</v>
      </c>
      <c r="U498" s="60">
        <f t="shared" si="2"/>
        <v>21281335</v>
      </c>
      <c r="V498" s="70"/>
      <c r="W498" s="23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</row>
    <row r="499" ht="25.5" customHeight="1">
      <c r="A499" s="55">
        <v>46122.0</v>
      </c>
      <c r="B499" s="56" t="s">
        <v>985</v>
      </c>
      <c r="C499" s="56" t="s">
        <v>266</v>
      </c>
      <c r="D499" s="58" t="s">
        <v>516</v>
      </c>
      <c r="E499" s="58" t="s">
        <v>70</v>
      </c>
      <c r="F499" s="56" t="s">
        <v>71</v>
      </c>
      <c r="G499" s="60">
        <v>2480.0</v>
      </c>
      <c r="H499" s="62">
        <v>17325.0</v>
      </c>
      <c r="I499" s="64">
        <v>4.2966E7</v>
      </c>
      <c r="J499" s="64">
        <v>3437280.0</v>
      </c>
      <c r="K499" s="64">
        <v>4.640328E7</v>
      </c>
      <c r="L499" s="65" t="s">
        <v>517</v>
      </c>
      <c r="M499" s="65" t="str">
        <f>VLOOKUP(L499,'Đơn đặt'!$C$3:$E$275,2,0)</f>
        <v>01-04-TS</v>
      </c>
      <c r="N499" s="65" t="str">
        <f>VLOOKUP(L499,'Đơn đặt'!$C$3:$E$275,3,0)</f>
        <v>07-2026/TS-AVP/ĐĐH</v>
      </c>
      <c r="O499" s="66">
        <v>46122.0</v>
      </c>
      <c r="P499" s="67" t="s">
        <v>986</v>
      </c>
      <c r="Q499" s="68">
        <v>2480.0</v>
      </c>
      <c r="R499" s="76">
        <v>16625.0</v>
      </c>
      <c r="S499" s="77">
        <v>4.123E7</v>
      </c>
      <c r="T499" s="77">
        <v>3298400.0</v>
      </c>
      <c r="U499" s="60">
        <f t="shared" si="2"/>
        <v>44528400</v>
      </c>
      <c r="V499" s="70"/>
      <c r="W499" s="23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</row>
    <row r="500" ht="25.5" customHeight="1">
      <c r="A500" s="55">
        <v>46122.0</v>
      </c>
      <c r="B500" s="56" t="s">
        <v>985</v>
      </c>
      <c r="C500" s="56" t="s">
        <v>119</v>
      </c>
      <c r="D500" s="58" t="s">
        <v>120</v>
      </c>
      <c r="E500" s="58" t="s">
        <v>70</v>
      </c>
      <c r="F500" s="56" t="s">
        <v>71</v>
      </c>
      <c r="G500" s="60">
        <v>400.0</v>
      </c>
      <c r="H500" s="62">
        <v>19310.0</v>
      </c>
      <c r="I500" s="64">
        <v>7724000.0</v>
      </c>
      <c r="J500" s="64">
        <v>617920.0</v>
      </c>
      <c r="K500" s="64">
        <v>8341920.0</v>
      </c>
      <c r="L500" s="65" t="s">
        <v>228</v>
      </c>
      <c r="M500" s="65" t="str">
        <f>VLOOKUP(L500,'Đơn đặt'!$C$3:$E$275,2,0)</f>
        <v>01-02-TS</v>
      </c>
      <c r="N500" s="65" t="str">
        <f>VLOOKUP(L500,'Đơn đặt'!$C$3:$E$275,3,0)</f>
        <v>04-2026/TS-AVP/ĐĐH</v>
      </c>
      <c r="O500" s="66">
        <v>46122.0</v>
      </c>
      <c r="P500" s="67" t="s">
        <v>986</v>
      </c>
      <c r="Q500" s="68">
        <v>400.0</v>
      </c>
      <c r="R500" s="76">
        <v>17438.0</v>
      </c>
      <c r="S500" s="77">
        <v>6975200.0</v>
      </c>
      <c r="T500" s="77">
        <v>558016.0</v>
      </c>
      <c r="U500" s="60">
        <f t="shared" si="2"/>
        <v>7533216</v>
      </c>
      <c r="V500" s="70"/>
      <c r="W500" s="23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</row>
    <row r="501" ht="25.5" customHeight="1">
      <c r="A501" s="78">
        <v>46122.0</v>
      </c>
      <c r="B501" s="79" t="s">
        <v>987</v>
      </c>
      <c r="C501" s="56" t="s">
        <v>125</v>
      </c>
      <c r="D501" s="80" t="s">
        <v>126</v>
      </c>
      <c r="E501" s="58" t="s">
        <v>242</v>
      </c>
      <c r="F501" s="56" t="s">
        <v>112</v>
      </c>
      <c r="G501" s="81">
        <v>5244.0</v>
      </c>
      <c r="H501" s="62">
        <v>30400.0</v>
      </c>
      <c r="I501" s="64">
        <v>1.594176E8</v>
      </c>
      <c r="J501" s="64">
        <v>1.2753408E7</v>
      </c>
      <c r="K501" s="64">
        <v>1.72171008E8</v>
      </c>
      <c r="L501" s="91" t="s">
        <v>988</v>
      </c>
      <c r="M501" s="65" t="str">
        <f>VLOOKUP(L501,'Đơn đặt'!$C$3:$E$275,2,0)</f>
        <v>03/TS/26</v>
      </c>
      <c r="N501" s="65" t="str">
        <f>VLOOKUP(L501,'Đơn đặt'!$C$3:$E$275,3,0)</f>
        <v>Hàng SX</v>
      </c>
      <c r="O501" s="78" t="s">
        <v>98</v>
      </c>
      <c r="P501" s="92"/>
      <c r="Q501" s="81">
        <f>G501</f>
        <v>5244</v>
      </c>
      <c r="R501" s="92"/>
      <c r="S501" s="83">
        <f>ROUND(Q501*R501,0)</f>
        <v>0</v>
      </c>
      <c r="T501" s="83">
        <f>ROUND(S501*0.08,0)</f>
        <v>0</v>
      </c>
      <c r="U501" s="81">
        <f t="shared" si="2"/>
        <v>0</v>
      </c>
      <c r="V501" s="70"/>
      <c r="W501" s="23"/>
      <c r="X501" s="69"/>
      <c r="Y501" s="69"/>
      <c r="Z501" s="69"/>
      <c r="AA501" s="69"/>
      <c r="AB501" s="69"/>
      <c r="AC501" s="69"/>
      <c r="AD501" s="69"/>
      <c r="AE501" s="69"/>
      <c r="AF501" s="69"/>
      <c r="AG501" s="69"/>
      <c r="AH501" s="69"/>
      <c r="AI501" s="69"/>
      <c r="AJ501" s="69"/>
      <c r="AK501" s="69"/>
      <c r="AL501" s="69"/>
      <c r="AM501" s="69"/>
      <c r="AN501" s="69"/>
      <c r="AO501" s="69"/>
    </row>
    <row r="502" ht="25.5" customHeight="1">
      <c r="A502" s="55">
        <v>46125.0</v>
      </c>
      <c r="B502" s="56" t="s">
        <v>989</v>
      </c>
      <c r="C502" s="56" t="s">
        <v>119</v>
      </c>
      <c r="D502" s="58" t="s">
        <v>120</v>
      </c>
      <c r="E502" s="58" t="s">
        <v>70</v>
      </c>
      <c r="F502" s="56" t="s">
        <v>71</v>
      </c>
      <c r="G502" s="60">
        <v>470.0</v>
      </c>
      <c r="H502" s="62">
        <v>19310.0</v>
      </c>
      <c r="I502" s="64">
        <v>9075700.0</v>
      </c>
      <c r="J502" s="64">
        <v>726056.0</v>
      </c>
      <c r="K502" s="64">
        <v>9801756.0</v>
      </c>
      <c r="L502" s="65" t="s">
        <v>228</v>
      </c>
      <c r="M502" s="65" t="str">
        <f>VLOOKUP(L502,'Đơn đặt'!$C$3:$E$275,2,0)</f>
        <v>01-02-TS</v>
      </c>
      <c r="N502" s="65" t="str">
        <f>VLOOKUP(L502,'Đơn đặt'!$C$3:$E$275,3,0)</f>
        <v>04-2026/TS-AVP/ĐĐH</v>
      </c>
      <c r="O502" s="66">
        <v>46123.0</v>
      </c>
      <c r="P502" s="67" t="s">
        <v>990</v>
      </c>
      <c r="Q502" s="68">
        <v>470.0</v>
      </c>
      <c r="R502" s="76">
        <v>17438.0</v>
      </c>
      <c r="S502" s="77">
        <v>8195860.0</v>
      </c>
      <c r="T502" s="77">
        <v>655669.0</v>
      </c>
      <c r="U502" s="60">
        <f t="shared" si="2"/>
        <v>8851529</v>
      </c>
      <c r="V502" s="70"/>
      <c r="W502" s="23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</row>
    <row r="503" ht="25.5" customHeight="1">
      <c r="A503" s="55">
        <v>46125.0</v>
      </c>
      <c r="B503" s="56" t="s">
        <v>989</v>
      </c>
      <c r="C503" s="56" t="s">
        <v>38</v>
      </c>
      <c r="D503" s="58" t="s">
        <v>36</v>
      </c>
      <c r="E503" s="58" t="s">
        <v>70</v>
      </c>
      <c r="F503" s="56" t="s">
        <v>71</v>
      </c>
      <c r="G503" s="60">
        <v>2000.0</v>
      </c>
      <c r="H503" s="62">
        <v>18953.0</v>
      </c>
      <c r="I503" s="64">
        <v>3.7906E7</v>
      </c>
      <c r="J503" s="64">
        <v>3032480.0</v>
      </c>
      <c r="K503" s="64">
        <v>4.093848E7</v>
      </c>
      <c r="L503" s="65" t="s">
        <v>945</v>
      </c>
      <c r="M503" s="65" t="str">
        <f>VLOOKUP(L503,'Đơn đặt'!$C$3:$E$275,2,0)</f>
        <v>03-12-TS</v>
      </c>
      <c r="N503" s="65" t="str">
        <f>VLOOKUP(L503,'Đơn đặt'!$C$3:$E$275,3,0)</f>
        <v>38-2026/TS-AVP/ĐĐH</v>
      </c>
      <c r="O503" s="66">
        <v>46123.0</v>
      </c>
      <c r="P503" s="67" t="s">
        <v>990</v>
      </c>
      <c r="Q503" s="68">
        <v>2000.0</v>
      </c>
      <c r="R503" s="76">
        <v>18246.6</v>
      </c>
      <c r="S503" s="77">
        <v>3.64932E7</v>
      </c>
      <c r="T503" s="77">
        <v>2919456.0</v>
      </c>
      <c r="U503" s="60">
        <f t="shared" si="2"/>
        <v>39412656</v>
      </c>
      <c r="V503" s="70"/>
      <c r="W503" s="23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</row>
    <row r="504" ht="25.5" customHeight="1">
      <c r="A504" s="55">
        <v>46125.0</v>
      </c>
      <c r="B504" s="56" t="s">
        <v>989</v>
      </c>
      <c r="C504" s="56" t="s">
        <v>35</v>
      </c>
      <c r="D504" s="58" t="s">
        <v>34</v>
      </c>
      <c r="E504" s="58" t="s">
        <v>70</v>
      </c>
      <c r="F504" s="56" t="s">
        <v>71</v>
      </c>
      <c r="G504" s="60">
        <v>2000.0</v>
      </c>
      <c r="H504" s="62">
        <v>14900.0</v>
      </c>
      <c r="I504" s="64">
        <v>2.98E7</v>
      </c>
      <c r="J504" s="64">
        <v>2384000.0</v>
      </c>
      <c r="K504" s="64">
        <v>3.2184E7</v>
      </c>
      <c r="L504" s="65" t="s">
        <v>991</v>
      </c>
      <c r="M504" s="65" t="str">
        <f>VLOOKUP(L504,'Đơn đặt'!$C$3:$E$275,2,0)</f>
        <v>03-12-TS</v>
      </c>
      <c r="N504" s="65" t="str">
        <f>VLOOKUP(L504,'Đơn đặt'!$C$3:$E$275,3,0)</f>
        <v>38-2026/TS-AVP/ĐĐH</v>
      </c>
      <c r="O504" s="66">
        <v>46123.0</v>
      </c>
      <c r="P504" s="67" t="s">
        <v>990</v>
      </c>
      <c r="Q504" s="68">
        <v>2000.0</v>
      </c>
      <c r="R504" s="76">
        <v>14140.0</v>
      </c>
      <c r="S504" s="77">
        <v>2.828E7</v>
      </c>
      <c r="T504" s="77">
        <v>2262400.0</v>
      </c>
      <c r="U504" s="60">
        <f t="shared" si="2"/>
        <v>30542400</v>
      </c>
      <c r="V504" s="70"/>
      <c r="W504" s="23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</row>
    <row r="505" ht="25.5" customHeight="1">
      <c r="A505" s="55">
        <v>46125.0</v>
      </c>
      <c r="B505" s="56" t="s">
        <v>992</v>
      </c>
      <c r="C505" s="56" t="s">
        <v>222</v>
      </c>
      <c r="D505" s="58" t="s">
        <v>223</v>
      </c>
      <c r="E505" s="58" t="s">
        <v>70</v>
      </c>
      <c r="F505" s="56" t="s">
        <v>71</v>
      </c>
      <c r="G505" s="60">
        <v>2000.0</v>
      </c>
      <c r="H505" s="62">
        <v>19310.0</v>
      </c>
      <c r="I505" s="64">
        <v>3.862E7</v>
      </c>
      <c r="J505" s="64">
        <v>3089600.0</v>
      </c>
      <c r="K505" s="64">
        <v>4.17096E7</v>
      </c>
      <c r="L505" s="65" t="s">
        <v>680</v>
      </c>
      <c r="M505" s="65" t="str">
        <f>VLOOKUP(L505,'Đơn đặt'!$C$3:$E$275,2,0)</f>
        <v>01-04-TS</v>
      </c>
      <c r="N505" s="65" t="str">
        <f>VLOOKUP(L505,'Đơn đặt'!$C$3:$E$275,3,0)</f>
        <v>07-2026/TS-AVP/ĐĐH</v>
      </c>
      <c r="O505" s="66">
        <v>46123.0</v>
      </c>
      <c r="P505" s="67" t="s">
        <v>993</v>
      </c>
      <c r="Q505" s="68">
        <v>2000.0</v>
      </c>
      <c r="R505" s="76">
        <v>17438.0</v>
      </c>
      <c r="S505" s="77">
        <v>3.4876E7</v>
      </c>
      <c r="T505" s="77">
        <v>2790080.0</v>
      </c>
      <c r="U505" s="60">
        <f t="shared" si="2"/>
        <v>37666080</v>
      </c>
      <c r="V505" s="70"/>
      <c r="W505" s="23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</row>
    <row r="506" ht="25.5" customHeight="1">
      <c r="A506" s="55">
        <v>46125.0</v>
      </c>
      <c r="B506" s="56" t="s">
        <v>992</v>
      </c>
      <c r="C506" s="56" t="s">
        <v>275</v>
      </c>
      <c r="D506" s="58" t="s">
        <v>276</v>
      </c>
      <c r="E506" s="58" t="s">
        <v>70</v>
      </c>
      <c r="F506" s="56" t="s">
        <v>71</v>
      </c>
      <c r="G506" s="60">
        <v>1080.0</v>
      </c>
      <c r="H506" s="62">
        <v>17325.0</v>
      </c>
      <c r="I506" s="64">
        <v>1.8711E7</v>
      </c>
      <c r="J506" s="64">
        <v>1496880.0</v>
      </c>
      <c r="K506" s="64">
        <v>2.020788E7</v>
      </c>
      <c r="L506" s="65" t="s">
        <v>994</v>
      </c>
      <c r="M506" s="65" t="str">
        <f>VLOOKUP(L506,'Đơn đặt'!$C$3:$E$275,2,0)</f>
        <v>03-18-TS</v>
      </c>
      <c r="N506" s="65" t="str">
        <f>VLOOKUP(L506,'Đơn đặt'!$C$3:$E$275,3,0)</f>
        <v>42-2026/TS-AVP/ĐĐH</v>
      </c>
      <c r="O506" s="66">
        <v>46123.0</v>
      </c>
      <c r="P506" s="67" t="s">
        <v>993</v>
      </c>
      <c r="Q506" s="68">
        <v>1080.0</v>
      </c>
      <c r="R506" s="76">
        <v>17241.0</v>
      </c>
      <c r="S506" s="77">
        <v>1.862028E7</v>
      </c>
      <c r="T506" s="77">
        <v>1489622.0</v>
      </c>
      <c r="U506" s="60">
        <f t="shared" si="2"/>
        <v>20109902</v>
      </c>
      <c r="V506" s="70"/>
      <c r="W506" s="23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</row>
    <row r="507" ht="25.5" customHeight="1">
      <c r="A507" s="55">
        <v>46125.0</v>
      </c>
      <c r="B507" s="56" t="s">
        <v>992</v>
      </c>
      <c r="C507" s="56" t="s">
        <v>402</v>
      </c>
      <c r="D507" s="58" t="s">
        <v>403</v>
      </c>
      <c r="E507" s="58" t="s">
        <v>70</v>
      </c>
      <c r="F507" s="56" t="s">
        <v>71</v>
      </c>
      <c r="G507" s="60">
        <v>1500.0</v>
      </c>
      <c r="H507" s="62">
        <v>18953.0</v>
      </c>
      <c r="I507" s="64">
        <v>2.84295E7</v>
      </c>
      <c r="J507" s="64">
        <v>2274360.0</v>
      </c>
      <c r="K507" s="64">
        <v>3.070386E7</v>
      </c>
      <c r="L507" s="65" t="s">
        <v>890</v>
      </c>
      <c r="M507" s="65" t="str">
        <f>VLOOKUP(L507,'Đơn đặt'!$C$3:$E$275,2,0)</f>
        <v>03-12-TS</v>
      </c>
      <c r="N507" s="65" t="str">
        <f>VLOOKUP(L507,'Đơn đặt'!$C$3:$E$275,3,0)</f>
        <v>38-2026/TS-AVP/ĐĐH</v>
      </c>
      <c r="O507" s="66">
        <v>46123.0</v>
      </c>
      <c r="P507" s="67" t="s">
        <v>993</v>
      </c>
      <c r="Q507" s="68">
        <v>1500.0</v>
      </c>
      <c r="R507" s="76">
        <v>18246.6</v>
      </c>
      <c r="S507" s="77">
        <v>2.73699E7</v>
      </c>
      <c r="T507" s="77">
        <v>2189592.0</v>
      </c>
      <c r="U507" s="60">
        <f t="shared" si="2"/>
        <v>29559492</v>
      </c>
      <c r="V507" s="70"/>
      <c r="W507" s="23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</row>
    <row r="508" ht="25.5" customHeight="1">
      <c r="A508" s="78">
        <v>46125.0</v>
      </c>
      <c r="B508" s="79" t="s">
        <v>995</v>
      </c>
      <c r="C508" s="56" t="s">
        <v>92</v>
      </c>
      <c r="D508" s="80" t="s">
        <v>93</v>
      </c>
      <c r="E508" s="58" t="s">
        <v>94</v>
      </c>
      <c r="F508" s="56" t="s">
        <v>95</v>
      </c>
      <c r="G508" s="81">
        <v>260.0</v>
      </c>
      <c r="H508" s="62">
        <v>502740.0</v>
      </c>
      <c r="I508" s="64">
        <v>1.307124E8</v>
      </c>
      <c r="J508" s="64">
        <v>1.0456992E7</v>
      </c>
      <c r="K508" s="64">
        <v>1.41169392E8</v>
      </c>
      <c r="L508" s="65" t="s">
        <v>996</v>
      </c>
      <c r="M508" s="65" t="str">
        <f>VLOOKUP(L508,'Đơn đặt'!$C$3:$E$275,2,0)</f>
        <v>02-04/2026</v>
      </c>
      <c r="N508" s="65" t="str">
        <f>VLOOKUP(L508,'Đơn đặt'!$C$3:$E$275,3,0)</f>
        <v>Hàng SX</v>
      </c>
      <c r="O508" s="78" t="s">
        <v>98</v>
      </c>
      <c r="P508" s="92"/>
      <c r="Q508" s="81">
        <f>G508</f>
        <v>260</v>
      </c>
      <c r="R508" s="92"/>
      <c r="S508" s="83">
        <f>ROUND(Q508*R508,0)</f>
        <v>0</v>
      </c>
      <c r="T508" s="83">
        <f>ROUND(S508*0.08,0)</f>
        <v>0</v>
      </c>
      <c r="U508" s="81">
        <f t="shared" si="2"/>
        <v>0</v>
      </c>
      <c r="V508" s="70"/>
      <c r="W508" s="23"/>
      <c r="X508" s="69"/>
      <c r="Y508" s="69"/>
      <c r="Z508" s="69"/>
      <c r="AA508" s="69"/>
      <c r="AB508" s="69"/>
      <c r="AC508" s="69"/>
      <c r="AD508" s="69"/>
      <c r="AE508" s="69"/>
      <c r="AF508" s="69"/>
      <c r="AG508" s="69"/>
      <c r="AH508" s="69"/>
      <c r="AI508" s="69"/>
      <c r="AJ508" s="69"/>
      <c r="AK508" s="69"/>
      <c r="AL508" s="69"/>
      <c r="AM508" s="69"/>
      <c r="AN508" s="69"/>
      <c r="AO508" s="69"/>
    </row>
    <row r="509" ht="25.5" customHeight="1">
      <c r="A509" s="55">
        <v>46125.0</v>
      </c>
      <c r="B509" s="56" t="s">
        <v>997</v>
      </c>
      <c r="C509" s="56" t="s">
        <v>55</v>
      </c>
      <c r="D509" s="58" t="s">
        <v>53</v>
      </c>
      <c r="E509" s="58" t="s">
        <v>70</v>
      </c>
      <c r="F509" s="56" t="s">
        <v>71</v>
      </c>
      <c r="G509" s="60">
        <v>3800.0</v>
      </c>
      <c r="H509" s="62">
        <v>20024.0</v>
      </c>
      <c r="I509" s="64">
        <v>7.60912E7</v>
      </c>
      <c r="J509" s="64">
        <v>6087296.0</v>
      </c>
      <c r="K509" s="64">
        <v>8.2178496E7</v>
      </c>
      <c r="L509" s="65" t="s">
        <v>958</v>
      </c>
      <c r="M509" s="65" t="str">
        <f>VLOOKUP(L509,'Đơn đặt'!$C$3:$E$275,2,0)</f>
        <v>03-12-TS</v>
      </c>
      <c r="N509" s="65" t="str">
        <f>VLOOKUP(L509,'Đơn đặt'!$C$3:$E$275,3,0)</f>
        <v>36-2026/TS-AVP/ĐĐH</v>
      </c>
      <c r="O509" s="66">
        <v>46125.0</v>
      </c>
      <c r="P509" s="67" t="s">
        <v>998</v>
      </c>
      <c r="Q509" s="68">
        <v>3800.0</v>
      </c>
      <c r="R509" s="76">
        <v>16788.8</v>
      </c>
      <c r="S509" s="77">
        <v>6.379744E7</v>
      </c>
      <c r="T509" s="77">
        <v>5103795.0</v>
      </c>
      <c r="U509" s="60">
        <f t="shared" si="2"/>
        <v>68901235</v>
      </c>
      <c r="V509" s="70"/>
      <c r="W509" s="23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</row>
    <row r="510" ht="25.5" customHeight="1">
      <c r="A510" s="55">
        <v>46125.0</v>
      </c>
      <c r="B510" s="56" t="s">
        <v>999</v>
      </c>
      <c r="C510" s="56" t="s">
        <v>59</v>
      </c>
      <c r="D510" s="58" t="s">
        <v>105</v>
      </c>
      <c r="E510" s="58" t="s">
        <v>70</v>
      </c>
      <c r="F510" s="56" t="s">
        <v>71</v>
      </c>
      <c r="G510" s="60">
        <v>500.0</v>
      </c>
      <c r="H510" s="62">
        <v>18291.0</v>
      </c>
      <c r="I510" s="64">
        <v>9145500.0</v>
      </c>
      <c r="J510" s="64">
        <v>731640.0</v>
      </c>
      <c r="K510" s="64">
        <v>9877140.0</v>
      </c>
      <c r="L510" s="65" t="s">
        <v>743</v>
      </c>
      <c r="M510" s="65" t="str">
        <f>VLOOKUP(L510,'Đơn đặt'!$C$3:$E$275,2,0)</f>
        <v>02-03-TS</v>
      </c>
      <c r="N510" s="65" t="str">
        <f>VLOOKUP(L510,'Đơn đặt'!$C$3:$E$275,3,0)</f>
        <v>21-2026/TS-AVP/ĐĐH</v>
      </c>
      <c r="O510" s="66">
        <v>46125.0</v>
      </c>
      <c r="P510" s="67" t="s">
        <v>1000</v>
      </c>
      <c r="Q510" s="68">
        <v>500.0</v>
      </c>
      <c r="R510" s="76">
        <v>16258.2</v>
      </c>
      <c r="S510" s="68">
        <v>8129100.0</v>
      </c>
      <c r="T510" s="77">
        <v>650328.0</v>
      </c>
      <c r="U510" s="60">
        <f t="shared" si="2"/>
        <v>8779428</v>
      </c>
      <c r="V510" s="70"/>
      <c r="W510" s="23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</row>
    <row r="511" ht="25.5" customHeight="1">
      <c r="A511" s="55">
        <v>46125.0</v>
      </c>
      <c r="B511" s="56" t="s">
        <v>999</v>
      </c>
      <c r="C511" s="56" t="s">
        <v>206</v>
      </c>
      <c r="D511" s="58" t="s">
        <v>207</v>
      </c>
      <c r="E511" s="58" t="s">
        <v>70</v>
      </c>
      <c r="F511" s="56" t="s">
        <v>71</v>
      </c>
      <c r="G511" s="60">
        <v>2000.0</v>
      </c>
      <c r="H511" s="62">
        <v>18134.0</v>
      </c>
      <c r="I511" s="64">
        <v>3.6268E7</v>
      </c>
      <c r="J511" s="64">
        <v>2901440.0</v>
      </c>
      <c r="K511" s="64">
        <v>3.916944E7</v>
      </c>
      <c r="L511" s="65" t="s">
        <v>451</v>
      </c>
      <c r="M511" s="65" t="str">
        <f>VLOOKUP(L511,'Đơn đặt'!$C$3:$E$275,2,0)</f>
        <v>01-04-TS</v>
      </c>
      <c r="N511" s="65" t="str">
        <f>VLOOKUP(L511,'Đơn đặt'!$C$3:$E$275,3,0)</f>
        <v>07-2026/TS-AVP/ĐĐH</v>
      </c>
      <c r="O511" s="66">
        <v>46125.0</v>
      </c>
      <c r="P511" s="67" t="s">
        <v>1000</v>
      </c>
      <c r="Q511" s="68">
        <v>2000.0</v>
      </c>
      <c r="R511" s="76">
        <v>17202.8</v>
      </c>
      <c r="S511" s="77">
        <v>3.44056E7</v>
      </c>
      <c r="T511" s="77">
        <v>2752448.0</v>
      </c>
      <c r="U511" s="60">
        <f t="shared" si="2"/>
        <v>37158048</v>
      </c>
      <c r="V511" s="70"/>
      <c r="W511" s="23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</row>
    <row r="512" ht="25.5" customHeight="1">
      <c r="A512" s="55">
        <v>46125.0</v>
      </c>
      <c r="B512" s="56" t="s">
        <v>999</v>
      </c>
      <c r="C512" s="56" t="s">
        <v>402</v>
      </c>
      <c r="D512" s="58" t="s">
        <v>403</v>
      </c>
      <c r="E512" s="58" t="s">
        <v>70</v>
      </c>
      <c r="F512" s="56" t="s">
        <v>71</v>
      </c>
      <c r="G512" s="60">
        <v>1390.0</v>
      </c>
      <c r="H512" s="62">
        <v>18953.0</v>
      </c>
      <c r="I512" s="64">
        <v>2.634467E7</v>
      </c>
      <c r="J512" s="64">
        <v>2107574.0</v>
      </c>
      <c r="K512" s="64">
        <v>2.8452244E7</v>
      </c>
      <c r="L512" s="65" t="s">
        <v>890</v>
      </c>
      <c r="M512" s="65" t="str">
        <f>VLOOKUP(L512,'Đơn đặt'!$C$3:$E$275,2,0)</f>
        <v>03-12-TS</v>
      </c>
      <c r="N512" s="65" t="str">
        <f>VLOOKUP(L512,'Đơn đặt'!$C$3:$E$275,3,0)</f>
        <v>38-2026/TS-AVP/ĐĐH</v>
      </c>
      <c r="O512" s="66">
        <v>46125.0</v>
      </c>
      <c r="P512" s="67" t="s">
        <v>1000</v>
      </c>
      <c r="Q512" s="68">
        <v>1390.0</v>
      </c>
      <c r="R512" s="76">
        <v>18246.6</v>
      </c>
      <c r="S512" s="77">
        <v>2.5362774E7</v>
      </c>
      <c r="T512" s="77">
        <v>2029022.0</v>
      </c>
      <c r="U512" s="60">
        <f t="shared" si="2"/>
        <v>27391796</v>
      </c>
      <c r="V512" s="70"/>
      <c r="W512" s="23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</row>
    <row r="513" ht="25.5" customHeight="1">
      <c r="A513" s="55">
        <v>46125.0</v>
      </c>
      <c r="B513" s="56" t="s">
        <v>1001</v>
      </c>
      <c r="C513" s="56" t="s">
        <v>48</v>
      </c>
      <c r="D513" s="58" t="s">
        <v>47</v>
      </c>
      <c r="E513" s="58" t="s">
        <v>70</v>
      </c>
      <c r="F513" s="56" t="s">
        <v>71</v>
      </c>
      <c r="G513" s="60">
        <v>4000.0</v>
      </c>
      <c r="H513" s="62">
        <v>18291.0</v>
      </c>
      <c r="I513" s="64">
        <v>7.3164E7</v>
      </c>
      <c r="J513" s="64">
        <v>5853120.0</v>
      </c>
      <c r="K513" s="64">
        <v>7.901712E7</v>
      </c>
      <c r="L513" s="65" t="s">
        <v>771</v>
      </c>
      <c r="M513" s="65" t="str">
        <f>VLOOKUP(L513,'Đơn đặt'!$C$3:$E$275,2,0)</f>
        <v>02-03-TS</v>
      </c>
      <c r="N513" s="65" t="str">
        <f>VLOOKUP(L513,'Đơn đặt'!$C$3:$E$275,3,0)</f>
        <v>22-2026/TS-AVP/ĐĐH</v>
      </c>
      <c r="O513" s="66">
        <v>46125.0</v>
      </c>
      <c r="P513" s="67" t="s">
        <v>1002</v>
      </c>
      <c r="Q513" s="68">
        <v>4000.0</v>
      </c>
      <c r="R513" s="68">
        <v>14482.2</v>
      </c>
      <c r="S513" s="68">
        <v>5.79288E7</v>
      </c>
      <c r="T513" s="68">
        <v>4634304.0</v>
      </c>
      <c r="U513" s="60">
        <f t="shared" si="2"/>
        <v>62563104</v>
      </c>
      <c r="V513" s="70"/>
      <c r="W513" s="23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</row>
    <row r="514" ht="25.5" customHeight="1">
      <c r="A514" s="55">
        <v>46125.0</v>
      </c>
      <c r="B514" s="56" t="s">
        <v>1001</v>
      </c>
      <c r="C514" s="56" t="s">
        <v>50</v>
      </c>
      <c r="D514" s="58" t="s">
        <v>49</v>
      </c>
      <c r="E514" s="58" t="s">
        <v>70</v>
      </c>
      <c r="F514" s="56" t="s">
        <v>71</v>
      </c>
      <c r="G514" s="60">
        <v>1000.0</v>
      </c>
      <c r="H514" s="62">
        <v>18291.0</v>
      </c>
      <c r="I514" s="64">
        <v>1.8291E7</v>
      </c>
      <c r="J514" s="64">
        <v>1463280.0</v>
      </c>
      <c r="K514" s="64">
        <v>1.975428E7</v>
      </c>
      <c r="L514" s="65" t="s">
        <v>773</v>
      </c>
      <c r="M514" s="65" t="str">
        <f>VLOOKUP(L514,'Đơn đặt'!$C$3:$E$275,2,0)</f>
        <v>02-03-TS</v>
      </c>
      <c r="N514" s="65" t="str">
        <f>VLOOKUP(L514,'Đơn đặt'!$C$3:$E$275,3,0)</f>
        <v>22-2026/TS-AVP/ĐĐH</v>
      </c>
      <c r="O514" s="66">
        <v>46125.0</v>
      </c>
      <c r="P514" s="67" t="s">
        <v>1002</v>
      </c>
      <c r="Q514" s="68">
        <v>1000.0</v>
      </c>
      <c r="R514" s="76">
        <v>14482.2</v>
      </c>
      <c r="S514" s="77">
        <v>1.44822E7</v>
      </c>
      <c r="T514" s="77">
        <v>1158576.0</v>
      </c>
      <c r="U514" s="60">
        <f t="shared" si="2"/>
        <v>15640776</v>
      </c>
      <c r="V514" s="70"/>
      <c r="W514" s="23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</row>
    <row r="515" ht="25.5" customHeight="1">
      <c r="A515" s="55">
        <v>46125.0</v>
      </c>
      <c r="B515" s="56" t="s">
        <v>732</v>
      </c>
      <c r="C515" s="56" t="s">
        <v>59</v>
      </c>
      <c r="D515" s="58" t="s">
        <v>105</v>
      </c>
      <c r="E515" s="58" t="s">
        <v>70</v>
      </c>
      <c r="F515" s="56" t="s">
        <v>71</v>
      </c>
      <c r="G515" s="60">
        <v>1500.0</v>
      </c>
      <c r="H515" s="62">
        <v>18291.0</v>
      </c>
      <c r="I515" s="64">
        <v>2.74365E7</v>
      </c>
      <c r="J515" s="64">
        <v>2194920.0</v>
      </c>
      <c r="K515" s="64">
        <v>2.963142E7</v>
      </c>
      <c r="L515" s="65" t="s">
        <v>743</v>
      </c>
      <c r="M515" s="65" t="str">
        <f>VLOOKUP(L515,'Đơn đặt'!$C$3:$E$275,2,0)</f>
        <v>02-03-TS</v>
      </c>
      <c r="N515" s="65" t="str">
        <f>VLOOKUP(L515,'Đơn đặt'!$C$3:$E$275,3,0)</f>
        <v>21-2026/TS-AVP/ĐĐH</v>
      </c>
      <c r="O515" s="66">
        <v>46125.0</v>
      </c>
      <c r="P515" s="67" t="s">
        <v>1003</v>
      </c>
      <c r="Q515" s="68">
        <v>1500.0</v>
      </c>
      <c r="R515" s="76">
        <v>16258.2</v>
      </c>
      <c r="S515" s="68">
        <v>2.43873E7</v>
      </c>
      <c r="T515" s="77">
        <v>1950984.0</v>
      </c>
      <c r="U515" s="60">
        <f t="shared" si="2"/>
        <v>26338284</v>
      </c>
      <c r="V515" s="70"/>
      <c r="W515" s="23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</row>
    <row r="516" ht="25.5" customHeight="1">
      <c r="A516" s="55">
        <v>46126.0</v>
      </c>
      <c r="B516" s="56" t="s">
        <v>1004</v>
      </c>
      <c r="C516" s="56" t="s">
        <v>3</v>
      </c>
      <c r="D516" s="58" t="s">
        <v>164</v>
      </c>
      <c r="E516" s="58" t="s">
        <v>70</v>
      </c>
      <c r="F516" s="56" t="s">
        <v>112</v>
      </c>
      <c r="G516" s="60">
        <v>3000.0</v>
      </c>
      <c r="H516" s="62">
        <v>38000.0</v>
      </c>
      <c r="I516" s="64">
        <v>1.14E8</v>
      </c>
      <c r="J516" s="64">
        <v>9120000.0</v>
      </c>
      <c r="K516" s="64">
        <v>1.2312E8</v>
      </c>
      <c r="L516" s="65" t="s">
        <v>955</v>
      </c>
      <c r="M516" s="65" t="str">
        <f>VLOOKUP(L516,'Đơn đặt'!$C$3:$E$275,2,0)</f>
        <v>03-03/TS-LP</v>
      </c>
      <c r="N516" s="65" t="str">
        <f>VLOOKUP(L516,'Đơn đặt'!$C$3:$E$275,3,0)</f>
        <v>32-2026/TS-AVP/ĐĐH</v>
      </c>
      <c r="O516" s="66">
        <v>46126.0</v>
      </c>
      <c r="P516" s="67" t="s">
        <v>1005</v>
      </c>
      <c r="Q516" s="68">
        <v>3000.0</v>
      </c>
      <c r="R516" s="76">
        <v>38000.0</v>
      </c>
      <c r="S516" s="77">
        <f t="shared" ref="S516:S517" si="99">ROUND(Q516*R516,0)</f>
        <v>114000000</v>
      </c>
      <c r="T516" s="87">
        <f t="shared" ref="T516:T517" si="100">S516*0.08</f>
        <v>9120000</v>
      </c>
      <c r="U516" s="60">
        <f t="shared" si="2"/>
        <v>123120000</v>
      </c>
      <c r="V516" s="70"/>
      <c r="W516" s="23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</row>
    <row r="517" ht="25.5" customHeight="1">
      <c r="A517" s="55">
        <v>46126.0</v>
      </c>
      <c r="B517" s="56" t="s">
        <v>1004</v>
      </c>
      <c r="C517" s="56" t="s">
        <v>140</v>
      </c>
      <c r="D517" s="58" t="s">
        <v>141</v>
      </c>
      <c r="E517" s="58" t="s">
        <v>70</v>
      </c>
      <c r="F517" s="56" t="s">
        <v>112</v>
      </c>
      <c r="G517" s="60">
        <v>3000.0</v>
      </c>
      <c r="H517" s="62">
        <v>38000.0</v>
      </c>
      <c r="I517" s="64">
        <v>1.14E8</v>
      </c>
      <c r="J517" s="64">
        <v>9120000.0</v>
      </c>
      <c r="K517" s="64">
        <v>1.2312E8</v>
      </c>
      <c r="L517" s="65" t="s">
        <v>953</v>
      </c>
      <c r="M517" s="65" t="str">
        <f>VLOOKUP(L517,'Đơn đặt'!$C$3:$E$275,2,0)</f>
        <v>03-03/TS-LP</v>
      </c>
      <c r="N517" s="65" t="str">
        <f>VLOOKUP(L517,'Đơn đặt'!$C$3:$E$275,3,0)</f>
        <v>32-2026/TS-AVP/ĐĐH</v>
      </c>
      <c r="O517" s="66">
        <v>46126.0</v>
      </c>
      <c r="P517" s="67" t="s">
        <v>1005</v>
      </c>
      <c r="Q517" s="68">
        <v>3000.0</v>
      </c>
      <c r="R517" s="76">
        <v>38000.0</v>
      </c>
      <c r="S517" s="77">
        <f t="shared" si="99"/>
        <v>114000000</v>
      </c>
      <c r="T517" s="87">
        <f t="shared" si="100"/>
        <v>9120000</v>
      </c>
      <c r="U517" s="60">
        <f t="shared" si="2"/>
        <v>123120000</v>
      </c>
      <c r="V517" s="70"/>
      <c r="W517" s="23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</row>
    <row r="518" ht="25.5" customHeight="1">
      <c r="A518" s="55">
        <v>46126.0</v>
      </c>
      <c r="B518" s="56" t="s">
        <v>1006</v>
      </c>
      <c r="C518" s="56" t="s">
        <v>59</v>
      </c>
      <c r="D518" s="58" t="s">
        <v>105</v>
      </c>
      <c r="E518" s="58" t="s">
        <v>70</v>
      </c>
      <c r="F518" s="56" t="s">
        <v>71</v>
      </c>
      <c r="G518" s="60">
        <v>3000.0</v>
      </c>
      <c r="H518" s="62">
        <v>18291.0</v>
      </c>
      <c r="I518" s="64">
        <v>5.4873E7</v>
      </c>
      <c r="J518" s="64">
        <v>4389840.0</v>
      </c>
      <c r="K518" s="64">
        <v>5.926284E7</v>
      </c>
      <c r="L518" s="65" t="s">
        <v>743</v>
      </c>
      <c r="M518" s="65" t="str">
        <f>VLOOKUP(L518,'Đơn đặt'!$C$3:$E$275,2,0)</f>
        <v>02-03-TS</v>
      </c>
      <c r="N518" s="65" t="str">
        <f>VLOOKUP(L518,'Đơn đặt'!$C$3:$E$275,3,0)</f>
        <v>21-2026/TS-AVP/ĐĐH</v>
      </c>
      <c r="O518" s="66">
        <v>46126.0</v>
      </c>
      <c r="P518" s="67" t="s">
        <v>1007</v>
      </c>
      <c r="Q518" s="68">
        <v>3000.0</v>
      </c>
      <c r="R518" s="76">
        <v>16258.2</v>
      </c>
      <c r="S518" s="68">
        <v>4.87746E7</v>
      </c>
      <c r="T518" s="77">
        <v>3901968.0</v>
      </c>
      <c r="U518" s="60">
        <f t="shared" si="2"/>
        <v>52676568</v>
      </c>
      <c r="V518" s="70"/>
      <c r="W518" s="23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</row>
    <row r="519" ht="25.5" customHeight="1">
      <c r="A519" s="55">
        <v>46126.0</v>
      </c>
      <c r="B519" s="56" t="s">
        <v>1006</v>
      </c>
      <c r="C519" s="56" t="s">
        <v>14</v>
      </c>
      <c r="D519" s="58" t="s">
        <v>13</v>
      </c>
      <c r="E519" s="58" t="s">
        <v>70</v>
      </c>
      <c r="F519" s="56" t="s">
        <v>71</v>
      </c>
      <c r="G519" s="60">
        <v>2000.0</v>
      </c>
      <c r="H519" s="62">
        <v>19404.0</v>
      </c>
      <c r="I519" s="64">
        <v>3.8808E7</v>
      </c>
      <c r="J519" s="64">
        <v>3104640.0</v>
      </c>
      <c r="K519" s="64">
        <v>4.191264E7</v>
      </c>
      <c r="L519" s="65" t="s">
        <v>840</v>
      </c>
      <c r="M519" s="65" t="str">
        <f>VLOOKUP(L519,'Đơn đặt'!$C$3:$E$275,2,0)</f>
        <v>02-03-TS</v>
      </c>
      <c r="N519" s="65" t="str">
        <f>VLOOKUP(L519,'Đơn đặt'!$C$3:$E$275,3,0)</f>
        <v>21-2026/TS-AVP/ĐĐH</v>
      </c>
      <c r="O519" s="66">
        <v>46126.0</v>
      </c>
      <c r="P519" s="93" t="s">
        <v>1008</v>
      </c>
      <c r="Q519" s="90">
        <v>2000.0</v>
      </c>
      <c r="R519" s="76">
        <v>17776.8</v>
      </c>
      <c r="S519" s="64">
        <f>ROUND(Q519*R519,0)</f>
        <v>35553600</v>
      </c>
      <c r="T519" s="64">
        <f>ROUND(S519*0.08,0)</f>
        <v>2844288</v>
      </c>
      <c r="U519" s="60">
        <f t="shared" si="2"/>
        <v>38397888</v>
      </c>
      <c r="V519" s="70"/>
      <c r="W519" s="23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</row>
    <row r="520" ht="25.5" customHeight="1">
      <c r="A520" s="55">
        <v>46126.0</v>
      </c>
      <c r="B520" s="56" t="s">
        <v>1006</v>
      </c>
      <c r="C520" s="56" t="s">
        <v>38</v>
      </c>
      <c r="D520" s="58" t="s">
        <v>36</v>
      </c>
      <c r="E520" s="58" t="s">
        <v>70</v>
      </c>
      <c r="F520" s="56" t="s">
        <v>71</v>
      </c>
      <c r="G520" s="60">
        <v>1700.0</v>
      </c>
      <c r="H520" s="62">
        <v>18953.0</v>
      </c>
      <c r="I520" s="64">
        <v>3.22201E7</v>
      </c>
      <c r="J520" s="64">
        <v>2577608.0</v>
      </c>
      <c r="K520" s="64">
        <v>3.4797708E7</v>
      </c>
      <c r="L520" s="65" t="s">
        <v>945</v>
      </c>
      <c r="M520" s="65" t="str">
        <f>VLOOKUP(L520,'Đơn đặt'!$C$3:$E$275,2,0)</f>
        <v>03-12-TS</v>
      </c>
      <c r="N520" s="65" t="str">
        <f>VLOOKUP(L520,'Đơn đặt'!$C$3:$E$275,3,0)</f>
        <v>38-2026/TS-AVP/ĐĐH</v>
      </c>
      <c r="O520" s="66">
        <v>46126.0</v>
      </c>
      <c r="P520" s="67" t="s">
        <v>1009</v>
      </c>
      <c r="Q520" s="68">
        <v>1700.0</v>
      </c>
      <c r="R520" s="76">
        <v>18246.6</v>
      </c>
      <c r="S520" s="77">
        <v>3.101922E7</v>
      </c>
      <c r="T520" s="77">
        <v>2481538.0</v>
      </c>
      <c r="U520" s="60">
        <f t="shared" si="2"/>
        <v>33500758</v>
      </c>
      <c r="V520" s="70"/>
      <c r="W520" s="23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</row>
    <row r="521" ht="25.5" customHeight="1">
      <c r="A521" s="55">
        <v>46126.0</v>
      </c>
      <c r="B521" s="56" t="s">
        <v>1006</v>
      </c>
      <c r="C521" s="56" t="s">
        <v>119</v>
      </c>
      <c r="D521" s="58" t="s">
        <v>120</v>
      </c>
      <c r="E521" s="58" t="s">
        <v>70</v>
      </c>
      <c r="F521" s="56" t="s">
        <v>71</v>
      </c>
      <c r="G521" s="60">
        <v>800.0</v>
      </c>
      <c r="H521" s="62">
        <v>19310.0</v>
      </c>
      <c r="I521" s="64">
        <v>1.5448E7</v>
      </c>
      <c r="J521" s="64">
        <v>1235840.0</v>
      </c>
      <c r="K521" s="64">
        <v>1.668384E7</v>
      </c>
      <c r="L521" s="65" t="s">
        <v>228</v>
      </c>
      <c r="M521" s="65" t="str">
        <f>VLOOKUP(L521,'Đơn đặt'!$C$3:$E$275,2,0)</f>
        <v>01-02-TS</v>
      </c>
      <c r="N521" s="65" t="str">
        <f>VLOOKUP(L521,'Đơn đặt'!$C$3:$E$275,3,0)</f>
        <v>04-2026/TS-AVP/ĐĐH</v>
      </c>
      <c r="O521" s="66">
        <v>46126.0</v>
      </c>
      <c r="P521" s="67" t="s">
        <v>1009</v>
      </c>
      <c r="Q521" s="68">
        <v>800.0</v>
      </c>
      <c r="R521" s="76">
        <v>17438.0</v>
      </c>
      <c r="S521" s="77">
        <v>1.39504E7</v>
      </c>
      <c r="T521" s="77">
        <v>1116032.0</v>
      </c>
      <c r="U521" s="60">
        <f t="shared" si="2"/>
        <v>15066432</v>
      </c>
      <c r="V521" s="70"/>
      <c r="W521" s="23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</row>
    <row r="522" ht="25.5" customHeight="1">
      <c r="A522" s="55">
        <v>46126.0</v>
      </c>
      <c r="B522" s="56" t="s">
        <v>1010</v>
      </c>
      <c r="C522" s="56" t="s">
        <v>38</v>
      </c>
      <c r="D522" s="58" t="s">
        <v>36</v>
      </c>
      <c r="E522" s="58" t="s">
        <v>70</v>
      </c>
      <c r="F522" s="56" t="s">
        <v>71</v>
      </c>
      <c r="G522" s="60">
        <v>300.0</v>
      </c>
      <c r="H522" s="62">
        <v>18953.0</v>
      </c>
      <c r="I522" s="64">
        <v>5685900.0</v>
      </c>
      <c r="J522" s="64">
        <v>454872.0</v>
      </c>
      <c r="K522" s="64">
        <v>6140772.0</v>
      </c>
      <c r="L522" s="65" t="s">
        <v>945</v>
      </c>
      <c r="M522" s="65" t="str">
        <f>VLOOKUP(L522,'Đơn đặt'!$C$3:$E$275,2,0)</f>
        <v>03-12-TS</v>
      </c>
      <c r="N522" s="65" t="str">
        <f>VLOOKUP(L522,'Đơn đặt'!$C$3:$E$275,3,0)</f>
        <v>38-2026/TS-AVP/ĐĐH</v>
      </c>
      <c r="O522" s="66">
        <v>46126.0</v>
      </c>
      <c r="P522" s="67" t="s">
        <v>1011</v>
      </c>
      <c r="Q522" s="68">
        <v>300.0</v>
      </c>
      <c r="R522" s="76">
        <v>18246.6</v>
      </c>
      <c r="S522" s="77">
        <v>5473980.0</v>
      </c>
      <c r="T522" s="77">
        <v>437918.0</v>
      </c>
      <c r="U522" s="60">
        <f t="shared" si="2"/>
        <v>5911898</v>
      </c>
      <c r="V522" s="70"/>
      <c r="W522" s="23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</row>
    <row r="523" ht="25.5" customHeight="1">
      <c r="A523" s="55">
        <v>46126.0</v>
      </c>
      <c r="B523" s="56" t="s">
        <v>1010</v>
      </c>
      <c r="C523" s="56" t="s">
        <v>119</v>
      </c>
      <c r="D523" s="58" t="s">
        <v>120</v>
      </c>
      <c r="E523" s="58" t="s">
        <v>70</v>
      </c>
      <c r="F523" s="56" t="s">
        <v>71</v>
      </c>
      <c r="G523" s="60">
        <v>1200.0</v>
      </c>
      <c r="H523" s="62">
        <v>19310.0</v>
      </c>
      <c r="I523" s="64">
        <v>2.3172E7</v>
      </c>
      <c r="J523" s="64">
        <v>1853760.0</v>
      </c>
      <c r="K523" s="64">
        <v>2.502576E7</v>
      </c>
      <c r="L523" s="65" t="s">
        <v>228</v>
      </c>
      <c r="M523" s="65" t="str">
        <f>VLOOKUP(L523,'Đơn đặt'!$C$3:$E$275,2,0)</f>
        <v>01-02-TS</v>
      </c>
      <c r="N523" s="65" t="str">
        <f>VLOOKUP(L523,'Đơn đặt'!$C$3:$E$275,3,0)</f>
        <v>04-2026/TS-AVP/ĐĐH</v>
      </c>
      <c r="O523" s="66">
        <v>46126.0</v>
      </c>
      <c r="P523" s="67" t="s">
        <v>1011</v>
      </c>
      <c r="Q523" s="68">
        <v>1200.0</v>
      </c>
      <c r="R523" s="76">
        <v>17438.0</v>
      </c>
      <c r="S523" s="77">
        <v>2.09256E7</v>
      </c>
      <c r="T523" s="77">
        <v>1674048.0</v>
      </c>
      <c r="U523" s="60">
        <f t="shared" si="2"/>
        <v>22599648</v>
      </c>
      <c r="V523" s="70"/>
      <c r="W523" s="23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</row>
    <row r="524" ht="25.5" customHeight="1">
      <c r="A524" s="55">
        <v>46126.0</v>
      </c>
      <c r="B524" s="56" t="s">
        <v>1012</v>
      </c>
      <c r="C524" s="56" t="s">
        <v>48</v>
      </c>
      <c r="D524" s="58" t="s">
        <v>47</v>
      </c>
      <c r="E524" s="58" t="s">
        <v>70</v>
      </c>
      <c r="F524" s="56" t="s">
        <v>71</v>
      </c>
      <c r="G524" s="60">
        <v>2000.0</v>
      </c>
      <c r="H524" s="62">
        <v>18291.0</v>
      </c>
      <c r="I524" s="64">
        <v>3.6582E7</v>
      </c>
      <c r="J524" s="64">
        <v>2926560.0</v>
      </c>
      <c r="K524" s="64">
        <v>3.950856E7</v>
      </c>
      <c r="L524" s="65" t="s">
        <v>771</v>
      </c>
      <c r="M524" s="65" t="str">
        <f>VLOOKUP(L524,'Đơn đặt'!$C$3:$E$275,2,0)</f>
        <v>02-03-TS</v>
      </c>
      <c r="N524" s="65" t="str">
        <f>VLOOKUP(L524,'Đơn đặt'!$C$3:$E$275,3,0)</f>
        <v>22-2026/TS-AVP/ĐĐH</v>
      </c>
      <c r="O524" s="66">
        <v>46126.0</v>
      </c>
      <c r="P524" s="67" t="s">
        <v>1013</v>
      </c>
      <c r="Q524" s="68">
        <v>2000.0</v>
      </c>
      <c r="R524" s="68">
        <v>14482.2</v>
      </c>
      <c r="S524" s="68">
        <v>2.89644E7</v>
      </c>
      <c r="T524" s="68">
        <v>2317152.0</v>
      </c>
      <c r="U524" s="60">
        <f t="shared" si="2"/>
        <v>31281552</v>
      </c>
      <c r="V524" s="70"/>
      <c r="W524" s="23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</row>
    <row r="525" ht="25.5" customHeight="1">
      <c r="A525" s="55">
        <v>46127.0</v>
      </c>
      <c r="B525" s="56" t="s">
        <v>1014</v>
      </c>
      <c r="C525" s="56" t="s">
        <v>59</v>
      </c>
      <c r="D525" s="58" t="s">
        <v>105</v>
      </c>
      <c r="E525" s="58" t="s">
        <v>70</v>
      </c>
      <c r="F525" s="56" t="s">
        <v>71</v>
      </c>
      <c r="G525" s="60">
        <v>4000.0</v>
      </c>
      <c r="H525" s="62">
        <v>18291.0</v>
      </c>
      <c r="I525" s="64">
        <v>7.3164E7</v>
      </c>
      <c r="J525" s="64">
        <v>5853120.0</v>
      </c>
      <c r="K525" s="64">
        <v>7.901712E7</v>
      </c>
      <c r="L525" s="65" t="s">
        <v>743</v>
      </c>
      <c r="M525" s="65" t="str">
        <f>VLOOKUP(L525,'Đơn đặt'!$C$3:$E$275,2,0)</f>
        <v>02-03-TS</v>
      </c>
      <c r="N525" s="65" t="str">
        <f>VLOOKUP(L525,'Đơn đặt'!$C$3:$E$275,3,0)</f>
        <v>21-2026/TS-AVP/ĐĐH</v>
      </c>
      <c r="O525" s="66">
        <v>46127.0</v>
      </c>
      <c r="P525" s="93" t="s">
        <v>1015</v>
      </c>
      <c r="Q525" s="90">
        <v>4000.0</v>
      </c>
      <c r="R525" s="76">
        <v>16258.2</v>
      </c>
      <c r="S525" s="60">
        <f t="shared" ref="S525:S527" si="101">ROUND(Q525*R525,0)</f>
        <v>65032800</v>
      </c>
      <c r="T525" s="64">
        <f t="shared" ref="T525:T527" si="102">ROUND(S525*0.08,0)</f>
        <v>5202624</v>
      </c>
      <c r="U525" s="60">
        <f t="shared" si="2"/>
        <v>70235424</v>
      </c>
      <c r="V525" s="70"/>
      <c r="W525" s="23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</row>
    <row r="526" ht="25.5" customHeight="1">
      <c r="A526" s="55">
        <v>46127.0</v>
      </c>
      <c r="B526" s="56" t="s">
        <v>1016</v>
      </c>
      <c r="C526" s="56" t="s">
        <v>206</v>
      </c>
      <c r="D526" s="58" t="s">
        <v>207</v>
      </c>
      <c r="E526" s="58" t="s">
        <v>70</v>
      </c>
      <c r="F526" s="56" t="s">
        <v>71</v>
      </c>
      <c r="G526" s="60">
        <v>1000.0</v>
      </c>
      <c r="H526" s="62">
        <v>18134.0</v>
      </c>
      <c r="I526" s="64">
        <f t="shared" ref="I526:I527" si="103">ROUND(G526*H526,0)</f>
        <v>18134000</v>
      </c>
      <c r="J526" s="64">
        <f t="shared" ref="J526:J527" si="104">ROUND(I526*0.08,0)</f>
        <v>1450720</v>
      </c>
      <c r="K526" s="64">
        <f t="shared" ref="K526:K527" si="105">I526+J526</f>
        <v>19584720</v>
      </c>
      <c r="L526" s="65" t="s">
        <v>451</v>
      </c>
      <c r="M526" s="65" t="str">
        <f>VLOOKUP(L526,'Đơn đặt'!$C$3:$E$275,2,0)</f>
        <v>01-04-TS</v>
      </c>
      <c r="N526" s="65" t="str">
        <f>VLOOKUP(L526,'Đơn đặt'!$C$3:$E$275,3,0)</f>
        <v>07-2026/TS-AVP/ĐĐH</v>
      </c>
      <c r="O526" s="66">
        <v>46127.0</v>
      </c>
      <c r="P526" s="67" t="s">
        <v>1017</v>
      </c>
      <c r="Q526" s="68">
        <v>1000.0</v>
      </c>
      <c r="R526" s="76">
        <v>17202.8</v>
      </c>
      <c r="S526" s="64">
        <f t="shared" si="101"/>
        <v>17202800</v>
      </c>
      <c r="T526" s="64">
        <f t="shared" si="102"/>
        <v>1376224</v>
      </c>
      <c r="U526" s="60">
        <f t="shared" si="2"/>
        <v>18579024</v>
      </c>
      <c r="V526" s="70"/>
      <c r="W526" s="23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</row>
    <row r="527" ht="25.5" customHeight="1">
      <c r="A527" s="55">
        <v>46127.0</v>
      </c>
      <c r="B527" s="56" t="s">
        <v>1016</v>
      </c>
      <c r="C527" s="56" t="s">
        <v>206</v>
      </c>
      <c r="D527" s="58" t="s">
        <v>207</v>
      </c>
      <c r="E527" s="58" t="s">
        <v>70</v>
      </c>
      <c r="F527" s="56" t="s">
        <v>71</v>
      </c>
      <c r="G527" s="60">
        <v>1000.0</v>
      </c>
      <c r="H527" s="62">
        <v>18134.0</v>
      </c>
      <c r="I527" s="64">
        <f t="shared" si="103"/>
        <v>18134000</v>
      </c>
      <c r="J527" s="64">
        <f t="shared" si="104"/>
        <v>1450720</v>
      </c>
      <c r="K527" s="64">
        <f t="shared" si="105"/>
        <v>19584720</v>
      </c>
      <c r="L527" s="65" t="s">
        <v>1018</v>
      </c>
      <c r="M527" s="65" t="str">
        <f>VLOOKUP(L527,'Đơn đặt'!$C$3:$E$275,2,0)</f>
        <v>02-11-TS</v>
      </c>
      <c r="N527" s="65" t="str">
        <f>VLOOKUP(L527,'Đơn đặt'!$C$3:$E$275,3,0)</f>
        <v>28-2026/TS-AVP/ĐĐH</v>
      </c>
      <c r="O527" s="66">
        <v>46127.0</v>
      </c>
      <c r="P527" s="67" t="s">
        <v>1017</v>
      </c>
      <c r="Q527" s="68">
        <v>1000.0</v>
      </c>
      <c r="R527" s="76">
        <v>17202.8</v>
      </c>
      <c r="S527" s="64">
        <f t="shared" si="101"/>
        <v>17202800</v>
      </c>
      <c r="T527" s="64">
        <f t="shared" si="102"/>
        <v>1376224</v>
      </c>
      <c r="U527" s="60">
        <f t="shared" si="2"/>
        <v>18579024</v>
      </c>
      <c r="V527" s="70"/>
      <c r="W527" s="23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</row>
    <row r="528" ht="25.5" customHeight="1">
      <c r="A528" s="55">
        <v>46127.0</v>
      </c>
      <c r="B528" s="56" t="s">
        <v>1016</v>
      </c>
      <c r="C528" s="56" t="s">
        <v>41</v>
      </c>
      <c r="D528" s="58" t="s">
        <v>40</v>
      </c>
      <c r="E528" s="58" t="s">
        <v>70</v>
      </c>
      <c r="F528" s="56" t="s">
        <v>71</v>
      </c>
      <c r="G528" s="60">
        <v>2000.0</v>
      </c>
      <c r="H528" s="62">
        <v>20024.0</v>
      </c>
      <c r="I528" s="64">
        <v>4.0048E7</v>
      </c>
      <c r="J528" s="64">
        <v>3203840.0</v>
      </c>
      <c r="K528" s="64">
        <v>4.325184E7</v>
      </c>
      <c r="L528" s="65" t="s">
        <v>653</v>
      </c>
      <c r="M528" s="65" t="str">
        <f>VLOOKUP(L528,'Đơn đặt'!$C$3:$E$275,2,0)</f>
        <v>02-03-TS</v>
      </c>
      <c r="N528" s="65" t="str">
        <f>VLOOKUP(L528,'Đơn đặt'!$C$3:$E$275,3,0)</f>
        <v>21-2026/TS-AVP/ĐĐH</v>
      </c>
      <c r="O528" s="66">
        <v>46127.0</v>
      </c>
      <c r="P528" s="67" t="s">
        <v>1017</v>
      </c>
      <c r="Q528" s="68">
        <v>2000.0</v>
      </c>
      <c r="R528" s="76">
        <v>17900.8</v>
      </c>
      <c r="S528" s="77">
        <v>3.58016E7</v>
      </c>
      <c r="T528" s="77">
        <v>2864128.0</v>
      </c>
      <c r="U528" s="60">
        <f t="shared" si="2"/>
        <v>38665728</v>
      </c>
      <c r="V528" s="70"/>
      <c r="W528" s="23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</row>
    <row r="529" ht="25.5" customHeight="1">
      <c r="A529" s="55">
        <v>46128.0</v>
      </c>
      <c r="B529" s="56" t="s">
        <v>1019</v>
      </c>
      <c r="C529" s="56" t="s">
        <v>446</v>
      </c>
      <c r="D529" s="58" t="s">
        <v>448</v>
      </c>
      <c r="E529" s="58" t="s">
        <v>70</v>
      </c>
      <c r="F529" s="56" t="s">
        <v>500</v>
      </c>
      <c r="G529" s="60">
        <v>400000.0</v>
      </c>
      <c r="H529" s="62">
        <v>76.0</v>
      </c>
      <c r="I529" s="64">
        <v>3.04E7</v>
      </c>
      <c r="J529" s="64">
        <v>2432000.0</v>
      </c>
      <c r="K529" s="64">
        <v>3.2832E7</v>
      </c>
      <c r="L529" s="65" t="s">
        <v>1020</v>
      </c>
      <c r="M529" s="65" t="str">
        <f>VLOOKUP(L529,'Đơn đặt'!$C$3:$E$275,2,0)</f>
        <v>04-07/TS-LP</v>
      </c>
      <c r="N529" s="65" t="str">
        <f>VLOOKUP(L529,'Đơn đặt'!$C$3:$E$275,3,0)</f>
        <v>39-2026/TS-AVP/ĐĐH</v>
      </c>
      <c r="O529" s="66">
        <v>46128.0</v>
      </c>
      <c r="P529" s="67" t="s">
        <v>1021</v>
      </c>
      <c r="Q529" s="68">
        <v>400000.0</v>
      </c>
      <c r="R529" s="76">
        <v>77.0</v>
      </c>
      <c r="S529" s="77">
        <v>3.08E7</v>
      </c>
      <c r="T529" s="77">
        <v>2464000.0</v>
      </c>
      <c r="U529" s="60">
        <f t="shared" si="2"/>
        <v>33264000</v>
      </c>
      <c r="V529" s="70"/>
      <c r="W529" s="23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</row>
    <row r="530" ht="25.5" customHeight="1">
      <c r="A530" s="55">
        <v>46128.0</v>
      </c>
      <c r="B530" s="56" t="s">
        <v>1019</v>
      </c>
      <c r="C530" s="56" t="s">
        <v>6</v>
      </c>
      <c r="D530" s="58" t="s">
        <v>499</v>
      </c>
      <c r="E530" s="58" t="s">
        <v>70</v>
      </c>
      <c r="F530" s="56" t="s">
        <v>500</v>
      </c>
      <c r="G530" s="60">
        <v>1200000.0</v>
      </c>
      <c r="H530" s="62">
        <v>78.0</v>
      </c>
      <c r="I530" s="64">
        <v>9.36E7</v>
      </c>
      <c r="J530" s="64">
        <v>7488000.0</v>
      </c>
      <c r="K530" s="64">
        <v>1.01088E8</v>
      </c>
      <c r="L530" s="65" t="s">
        <v>1022</v>
      </c>
      <c r="M530" s="65" t="str">
        <f>VLOOKUP(L530,'Đơn đặt'!$C$3:$E$275,2,0)</f>
        <v>04-07/TS-LP</v>
      </c>
      <c r="N530" s="65" t="str">
        <f>VLOOKUP(L530,'Đơn đặt'!$C$3:$E$275,3,0)</f>
        <v>39-2026/TS-AVP/ĐĐH</v>
      </c>
      <c r="O530" s="66">
        <v>46128.0</v>
      </c>
      <c r="P530" s="67" t="s">
        <v>1021</v>
      </c>
      <c r="Q530" s="68">
        <v>1200000.0</v>
      </c>
      <c r="R530" s="76">
        <v>77.2</v>
      </c>
      <c r="S530" s="77">
        <v>9.264E7</v>
      </c>
      <c r="T530" s="77">
        <v>7411200.0</v>
      </c>
      <c r="U530" s="60">
        <f t="shared" si="2"/>
        <v>100051200</v>
      </c>
      <c r="V530" s="70"/>
      <c r="W530" s="23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</row>
    <row r="531" ht="25.5" customHeight="1">
      <c r="A531" s="55">
        <v>46128.0</v>
      </c>
      <c r="B531" s="56" t="s">
        <v>1023</v>
      </c>
      <c r="C531" s="56" t="s">
        <v>402</v>
      </c>
      <c r="D531" s="58" t="s">
        <v>403</v>
      </c>
      <c r="E531" s="58" t="s">
        <v>70</v>
      </c>
      <c r="F531" s="56" t="s">
        <v>71</v>
      </c>
      <c r="G531" s="60">
        <v>300.0</v>
      </c>
      <c r="H531" s="62">
        <v>18953.0</v>
      </c>
      <c r="I531" s="64">
        <v>5685900.0</v>
      </c>
      <c r="J531" s="64">
        <v>454872.0</v>
      </c>
      <c r="K531" s="64">
        <v>6140772.0</v>
      </c>
      <c r="L531" s="65" t="s">
        <v>1024</v>
      </c>
      <c r="M531" s="65" t="str">
        <f>VLOOKUP(L531,'Đơn đặt'!$C$3:$E$275,2,0)</f>
        <v>04-08-TS</v>
      </c>
      <c r="N531" s="65" t="str">
        <f>VLOOKUP(L531,'Đơn đặt'!$C$3:$E$275,3,0)</f>
        <v>57-2026/TS-AVP/ĐĐH</v>
      </c>
      <c r="O531" s="66">
        <v>46128.0</v>
      </c>
      <c r="P531" s="67" t="s">
        <v>1025</v>
      </c>
      <c r="Q531" s="68">
        <v>300.0</v>
      </c>
      <c r="R531" s="76">
        <v>18246.6</v>
      </c>
      <c r="S531" s="77">
        <v>5473980.0</v>
      </c>
      <c r="T531" s="77">
        <v>437918.0</v>
      </c>
      <c r="U531" s="60">
        <f t="shared" si="2"/>
        <v>5911898</v>
      </c>
      <c r="V531" s="70"/>
      <c r="W531" s="23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</row>
    <row r="532" ht="25.5" customHeight="1">
      <c r="A532" s="55">
        <v>46128.0</v>
      </c>
      <c r="B532" s="56" t="s">
        <v>1023</v>
      </c>
      <c r="C532" s="56" t="s">
        <v>119</v>
      </c>
      <c r="D532" s="58" t="s">
        <v>120</v>
      </c>
      <c r="E532" s="58" t="s">
        <v>70</v>
      </c>
      <c r="F532" s="56" t="s">
        <v>71</v>
      </c>
      <c r="G532" s="60">
        <v>2000.0</v>
      </c>
      <c r="H532" s="62">
        <v>19310.0</v>
      </c>
      <c r="I532" s="64">
        <v>3.862E7</v>
      </c>
      <c r="J532" s="64">
        <v>3089600.0</v>
      </c>
      <c r="K532" s="64">
        <v>4.17096E7</v>
      </c>
      <c r="L532" s="65" t="s">
        <v>228</v>
      </c>
      <c r="M532" s="65" t="str">
        <f>VLOOKUP(L532,'Đơn đặt'!$C$3:$E$275,2,0)</f>
        <v>01-02-TS</v>
      </c>
      <c r="N532" s="65" t="str">
        <f>VLOOKUP(L532,'Đơn đặt'!$C$3:$E$275,3,0)</f>
        <v>04-2026/TS-AVP/ĐĐH</v>
      </c>
      <c r="O532" s="66">
        <v>46128.0</v>
      </c>
      <c r="P532" s="67" t="s">
        <v>1025</v>
      </c>
      <c r="Q532" s="68">
        <v>2000.0</v>
      </c>
      <c r="R532" s="76">
        <v>17438.0</v>
      </c>
      <c r="S532" s="77">
        <v>3.4876E7</v>
      </c>
      <c r="T532" s="77">
        <v>2790080.0</v>
      </c>
      <c r="U532" s="60">
        <f t="shared" si="2"/>
        <v>37666080</v>
      </c>
      <c r="V532" s="70"/>
      <c r="W532" s="23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</row>
    <row r="533" ht="25.5" customHeight="1">
      <c r="A533" s="55">
        <v>46128.0</v>
      </c>
      <c r="B533" s="56" t="s">
        <v>1026</v>
      </c>
      <c r="C533" s="56" t="s">
        <v>14</v>
      </c>
      <c r="D533" s="58" t="s">
        <v>13</v>
      </c>
      <c r="E533" s="58" t="s">
        <v>70</v>
      </c>
      <c r="F533" s="56" t="s">
        <v>71</v>
      </c>
      <c r="G533" s="60">
        <v>3000.0</v>
      </c>
      <c r="H533" s="62">
        <v>19404.0</v>
      </c>
      <c r="I533" s="64">
        <v>5.8212E7</v>
      </c>
      <c r="J533" s="64">
        <v>4656960.0</v>
      </c>
      <c r="K533" s="64">
        <v>6.286896E7</v>
      </c>
      <c r="L533" s="65" t="s">
        <v>840</v>
      </c>
      <c r="M533" s="65" t="str">
        <f>VLOOKUP(L533,'Đơn đặt'!$C$3:$E$275,2,0)</f>
        <v>02-03-TS</v>
      </c>
      <c r="N533" s="65" t="str">
        <f>VLOOKUP(L533,'Đơn đặt'!$C$3:$E$275,3,0)</f>
        <v>21-2026/TS-AVP/ĐĐH</v>
      </c>
      <c r="O533" s="66">
        <v>46128.0</v>
      </c>
      <c r="P533" s="67" t="s">
        <v>1027</v>
      </c>
      <c r="Q533" s="68">
        <v>3000.0</v>
      </c>
      <c r="R533" s="76">
        <v>17776.8</v>
      </c>
      <c r="S533" s="77">
        <v>5.33304E7</v>
      </c>
      <c r="T533" s="77">
        <v>4266432.0</v>
      </c>
      <c r="U533" s="60">
        <f t="shared" si="2"/>
        <v>57596832</v>
      </c>
      <c r="V533" s="70"/>
      <c r="W533" s="23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</row>
    <row r="534" ht="25.5" customHeight="1">
      <c r="A534" s="55">
        <v>46129.0</v>
      </c>
      <c r="B534" s="56" t="s">
        <v>1028</v>
      </c>
      <c r="C534" s="56" t="s">
        <v>48</v>
      </c>
      <c r="D534" s="58" t="s">
        <v>47</v>
      </c>
      <c r="E534" s="58" t="s">
        <v>70</v>
      </c>
      <c r="F534" s="56" t="s">
        <v>71</v>
      </c>
      <c r="G534" s="60">
        <v>3000.0</v>
      </c>
      <c r="H534" s="62">
        <v>18291.0</v>
      </c>
      <c r="I534" s="64">
        <v>5.4873E7</v>
      </c>
      <c r="J534" s="64">
        <v>4389840.0</v>
      </c>
      <c r="K534" s="64">
        <v>5.926284E7</v>
      </c>
      <c r="L534" s="65" t="s">
        <v>771</v>
      </c>
      <c r="M534" s="65" t="str">
        <f>VLOOKUP(L534,'Đơn đặt'!$C$3:$E$275,2,0)</f>
        <v>02-03-TS</v>
      </c>
      <c r="N534" s="65" t="str">
        <f>VLOOKUP(L534,'Đơn đặt'!$C$3:$E$275,3,0)</f>
        <v>22-2026/TS-AVP/ĐĐH</v>
      </c>
      <c r="O534" s="66">
        <v>46129.0</v>
      </c>
      <c r="P534" s="67" t="s">
        <v>1029</v>
      </c>
      <c r="Q534" s="68">
        <v>3000.0</v>
      </c>
      <c r="R534" s="68">
        <v>14482.2</v>
      </c>
      <c r="S534" s="68">
        <v>4.34466E7</v>
      </c>
      <c r="T534" s="68">
        <v>3475728.0</v>
      </c>
      <c r="U534" s="60">
        <f t="shared" si="2"/>
        <v>46922328</v>
      </c>
      <c r="V534" s="70"/>
      <c r="W534" s="23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</row>
    <row r="535" ht="25.5" customHeight="1">
      <c r="A535" s="55">
        <v>46129.0</v>
      </c>
      <c r="B535" s="56" t="s">
        <v>1028</v>
      </c>
      <c r="C535" s="56" t="s">
        <v>50</v>
      </c>
      <c r="D535" s="58" t="s">
        <v>49</v>
      </c>
      <c r="E535" s="58" t="s">
        <v>70</v>
      </c>
      <c r="F535" s="56" t="s">
        <v>71</v>
      </c>
      <c r="G535" s="60">
        <v>2000.0</v>
      </c>
      <c r="H535" s="62">
        <v>18291.0</v>
      </c>
      <c r="I535" s="64">
        <v>3.6582E7</v>
      </c>
      <c r="J535" s="64">
        <v>2926560.0</v>
      </c>
      <c r="K535" s="64">
        <v>3.950856E7</v>
      </c>
      <c r="L535" s="65" t="s">
        <v>773</v>
      </c>
      <c r="M535" s="65" t="str">
        <f>VLOOKUP(L535,'Đơn đặt'!$C$3:$E$275,2,0)</f>
        <v>02-03-TS</v>
      </c>
      <c r="N535" s="65" t="str">
        <f>VLOOKUP(L535,'Đơn đặt'!$C$3:$E$275,3,0)</f>
        <v>22-2026/TS-AVP/ĐĐH</v>
      </c>
      <c r="O535" s="66">
        <v>46129.0</v>
      </c>
      <c r="P535" s="67" t="s">
        <v>1029</v>
      </c>
      <c r="Q535" s="68">
        <v>2000.0</v>
      </c>
      <c r="R535" s="76">
        <v>14482.2</v>
      </c>
      <c r="S535" s="77">
        <v>2.89644E7</v>
      </c>
      <c r="T535" s="77">
        <v>2317152.0</v>
      </c>
      <c r="U535" s="60">
        <f t="shared" si="2"/>
        <v>31281552</v>
      </c>
      <c r="V535" s="70"/>
      <c r="W535" s="23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</row>
    <row r="536" ht="25.5" customHeight="1">
      <c r="A536" s="55">
        <v>46129.0</v>
      </c>
      <c r="B536" s="56" t="s">
        <v>1030</v>
      </c>
      <c r="C536" s="56" t="s">
        <v>48</v>
      </c>
      <c r="D536" s="58" t="s">
        <v>47</v>
      </c>
      <c r="E536" s="58" t="s">
        <v>70</v>
      </c>
      <c r="F536" s="56" t="s">
        <v>71</v>
      </c>
      <c r="G536" s="60">
        <v>3000.0</v>
      </c>
      <c r="H536" s="62">
        <v>18291.0</v>
      </c>
      <c r="I536" s="64">
        <v>5.4873E7</v>
      </c>
      <c r="J536" s="64">
        <v>4389840.0</v>
      </c>
      <c r="K536" s="64">
        <v>5.926284E7</v>
      </c>
      <c r="L536" s="65" t="s">
        <v>771</v>
      </c>
      <c r="M536" s="65" t="str">
        <f>VLOOKUP(L536,'Đơn đặt'!$C$3:$E$275,2,0)</f>
        <v>02-03-TS</v>
      </c>
      <c r="N536" s="65" t="str">
        <f>VLOOKUP(L536,'Đơn đặt'!$C$3:$E$275,3,0)</f>
        <v>22-2026/TS-AVP/ĐĐH</v>
      </c>
      <c r="O536" s="66">
        <v>46129.0</v>
      </c>
      <c r="P536" s="67" t="s">
        <v>1031</v>
      </c>
      <c r="Q536" s="68">
        <v>3000.0</v>
      </c>
      <c r="R536" s="68">
        <v>14482.2</v>
      </c>
      <c r="S536" s="68">
        <v>4.34466E7</v>
      </c>
      <c r="T536" s="68">
        <v>3475728.0</v>
      </c>
      <c r="U536" s="60">
        <f t="shared" si="2"/>
        <v>46922328</v>
      </c>
      <c r="V536" s="70"/>
      <c r="W536" s="23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</row>
    <row r="537" ht="25.5" customHeight="1">
      <c r="A537" s="55">
        <v>46129.0</v>
      </c>
      <c r="B537" s="56" t="s">
        <v>1032</v>
      </c>
      <c r="C537" s="56" t="s">
        <v>48</v>
      </c>
      <c r="D537" s="58" t="s">
        <v>47</v>
      </c>
      <c r="E537" s="58" t="s">
        <v>70</v>
      </c>
      <c r="F537" s="56" t="s">
        <v>71</v>
      </c>
      <c r="G537" s="60">
        <v>8000.0</v>
      </c>
      <c r="H537" s="62">
        <v>18291.0</v>
      </c>
      <c r="I537" s="64">
        <v>1.46328E8</v>
      </c>
      <c r="J537" s="64">
        <v>1.170624E7</v>
      </c>
      <c r="K537" s="64">
        <v>1.5803424E8</v>
      </c>
      <c r="L537" s="65" t="s">
        <v>1033</v>
      </c>
      <c r="M537" s="65" t="str">
        <f>VLOOKUP(L537,'Đơn đặt'!$C$3:$E$275,2,0)</f>
        <v>03-12-TS</v>
      </c>
      <c r="N537" s="65" t="str">
        <f>VLOOKUP(L537,'Đơn đặt'!$C$3:$E$275,3,0)</f>
        <v>37-2026/TS-AVP/ĐĐH</v>
      </c>
      <c r="O537" s="66">
        <v>46129.0</v>
      </c>
      <c r="P537" s="93" t="s">
        <v>1034</v>
      </c>
      <c r="Q537" s="68">
        <v>8000.0</v>
      </c>
      <c r="R537" s="68">
        <v>14482.2</v>
      </c>
      <c r="S537" s="60">
        <f>ROUND(Q537*R537,0)</f>
        <v>115857600</v>
      </c>
      <c r="T537" s="60">
        <f>ROUND(S537*0.08,0)</f>
        <v>9268608</v>
      </c>
      <c r="U537" s="60">
        <f t="shared" si="2"/>
        <v>125126208</v>
      </c>
      <c r="V537" s="70"/>
      <c r="W537" s="23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</row>
    <row r="538" ht="25.5" customHeight="1">
      <c r="A538" s="55">
        <v>46129.0</v>
      </c>
      <c r="B538" s="56" t="s">
        <v>1032</v>
      </c>
      <c r="C538" s="56" t="s">
        <v>50</v>
      </c>
      <c r="D538" s="58" t="s">
        <v>49</v>
      </c>
      <c r="E538" s="58" t="s">
        <v>70</v>
      </c>
      <c r="F538" s="56" t="s">
        <v>71</v>
      </c>
      <c r="G538" s="60">
        <v>1760.0</v>
      </c>
      <c r="H538" s="62">
        <v>18291.0</v>
      </c>
      <c r="I538" s="64">
        <v>3.219216E7</v>
      </c>
      <c r="J538" s="64">
        <v>2575373.0</v>
      </c>
      <c r="K538" s="64">
        <v>3.4767533E7</v>
      </c>
      <c r="L538" s="65" t="s">
        <v>773</v>
      </c>
      <c r="M538" s="65" t="str">
        <f>VLOOKUP(L538,'Đơn đặt'!$C$3:$E$275,2,0)</f>
        <v>02-03-TS</v>
      </c>
      <c r="N538" s="65" t="str">
        <f>VLOOKUP(L538,'Đơn đặt'!$C$3:$E$275,3,0)</f>
        <v>22-2026/TS-AVP/ĐĐH</v>
      </c>
      <c r="O538" s="66">
        <v>46129.0</v>
      </c>
      <c r="P538" s="67" t="s">
        <v>1035</v>
      </c>
      <c r="Q538" s="68">
        <v>1760.0</v>
      </c>
      <c r="R538" s="76">
        <v>14482.2</v>
      </c>
      <c r="S538" s="77">
        <v>2.5488672E7</v>
      </c>
      <c r="T538" s="77">
        <v>2039094.0</v>
      </c>
      <c r="U538" s="60">
        <f t="shared" si="2"/>
        <v>27527766</v>
      </c>
      <c r="V538" s="70"/>
      <c r="W538" s="23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</row>
    <row r="539" ht="25.5" customHeight="1">
      <c r="A539" s="55">
        <v>46132.0</v>
      </c>
      <c r="B539" s="56" t="s">
        <v>1036</v>
      </c>
      <c r="C539" s="56" t="s">
        <v>55</v>
      </c>
      <c r="D539" s="58" t="s">
        <v>53</v>
      </c>
      <c r="E539" s="58" t="s">
        <v>70</v>
      </c>
      <c r="F539" s="56" t="s">
        <v>71</v>
      </c>
      <c r="G539" s="60">
        <v>3870.0</v>
      </c>
      <c r="H539" s="62">
        <v>20024.0</v>
      </c>
      <c r="I539" s="64">
        <v>7.749288E7</v>
      </c>
      <c r="J539" s="64">
        <v>6199430.0</v>
      </c>
      <c r="K539" s="64">
        <v>8.369231E7</v>
      </c>
      <c r="L539" s="65" t="s">
        <v>958</v>
      </c>
      <c r="M539" s="65" t="str">
        <f>VLOOKUP(L539,'Đơn đặt'!$C$3:$E$275,2,0)</f>
        <v>03-12-TS</v>
      </c>
      <c r="N539" s="65" t="str">
        <f>VLOOKUP(L539,'Đơn đặt'!$C$3:$E$275,3,0)</f>
        <v>36-2026/TS-AVP/ĐĐH</v>
      </c>
      <c r="O539" s="66">
        <v>46130.0</v>
      </c>
      <c r="P539" s="67" t="s">
        <v>1037</v>
      </c>
      <c r="Q539" s="68">
        <v>3870.0</v>
      </c>
      <c r="R539" s="76">
        <v>16788.8</v>
      </c>
      <c r="S539" s="77">
        <v>6.4972656E7</v>
      </c>
      <c r="T539" s="77">
        <v>5197812.0</v>
      </c>
      <c r="U539" s="60">
        <f t="shared" si="2"/>
        <v>70170468</v>
      </c>
      <c r="V539" s="70"/>
      <c r="W539" s="23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</row>
    <row r="540" ht="25.5" customHeight="1">
      <c r="A540" s="55">
        <v>46132.0</v>
      </c>
      <c r="B540" s="56" t="s">
        <v>1038</v>
      </c>
      <c r="C540" s="56" t="s">
        <v>14</v>
      </c>
      <c r="D540" s="58" t="s">
        <v>13</v>
      </c>
      <c r="E540" s="58" t="s">
        <v>70</v>
      </c>
      <c r="F540" s="56" t="s">
        <v>71</v>
      </c>
      <c r="G540" s="60">
        <v>1000.0</v>
      </c>
      <c r="H540" s="62">
        <v>19404.0</v>
      </c>
      <c r="I540" s="64">
        <v>1.9404E7</v>
      </c>
      <c r="J540" s="64">
        <v>1552320.0</v>
      </c>
      <c r="K540" s="64">
        <v>2.095632E7</v>
      </c>
      <c r="L540" s="65" t="s">
        <v>840</v>
      </c>
      <c r="M540" s="65" t="str">
        <f>VLOOKUP(L540,'Đơn đặt'!$C$3:$E$275,2,0)</f>
        <v>02-03-TS</v>
      </c>
      <c r="N540" s="65" t="str">
        <f>VLOOKUP(L540,'Đơn đặt'!$C$3:$E$275,3,0)</f>
        <v>21-2026/TS-AVP/ĐĐH</v>
      </c>
      <c r="O540" s="66">
        <v>46130.0</v>
      </c>
      <c r="P540" s="67" t="s">
        <v>1039</v>
      </c>
      <c r="Q540" s="68">
        <v>1000.0</v>
      </c>
      <c r="R540" s="76">
        <v>17776.8</v>
      </c>
      <c r="S540" s="77">
        <v>1.77768E7</v>
      </c>
      <c r="T540" s="77">
        <v>1422144.0</v>
      </c>
      <c r="U540" s="60">
        <f t="shared" si="2"/>
        <v>19198944</v>
      </c>
      <c r="V540" s="70"/>
      <c r="W540" s="23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</row>
    <row r="541" ht="25.5" customHeight="1">
      <c r="A541" s="55">
        <v>46132.0</v>
      </c>
      <c r="B541" s="56" t="s">
        <v>1038</v>
      </c>
      <c r="C541" s="56" t="s">
        <v>35</v>
      </c>
      <c r="D541" s="58" t="s">
        <v>34</v>
      </c>
      <c r="E541" s="58" t="s">
        <v>70</v>
      </c>
      <c r="F541" s="56" t="s">
        <v>71</v>
      </c>
      <c r="G541" s="60">
        <v>2000.0</v>
      </c>
      <c r="H541" s="62">
        <v>14900.0</v>
      </c>
      <c r="I541" s="64">
        <v>2.98E7</v>
      </c>
      <c r="J541" s="64">
        <v>2384000.0</v>
      </c>
      <c r="K541" s="64">
        <v>3.2184E7</v>
      </c>
      <c r="L541" s="65" t="s">
        <v>991</v>
      </c>
      <c r="M541" s="65" t="str">
        <f>VLOOKUP(L541,'Đơn đặt'!$C$3:$E$275,2,0)</f>
        <v>03-12-TS</v>
      </c>
      <c r="N541" s="65" t="str">
        <f>VLOOKUP(L541,'Đơn đặt'!$C$3:$E$275,3,0)</f>
        <v>38-2026/TS-AVP/ĐĐH</v>
      </c>
      <c r="O541" s="66">
        <v>46130.0</v>
      </c>
      <c r="P541" s="67" t="s">
        <v>1039</v>
      </c>
      <c r="Q541" s="68">
        <v>2000.0</v>
      </c>
      <c r="R541" s="76">
        <v>14140.0</v>
      </c>
      <c r="S541" s="77">
        <v>2.828E7</v>
      </c>
      <c r="T541" s="77">
        <v>2262400.0</v>
      </c>
      <c r="U541" s="60">
        <f t="shared" si="2"/>
        <v>30542400</v>
      </c>
      <c r="V541" s="70"/>
      <c r="W541" s="23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</row>
    <row r="542" ht="25.5" customHeight="1">
      <c r="A542" s="55">
        <v>46132.0</v>
      </c>
      <c r="B542" s="56" t="s">
        <v>739</v>
      </c>
      <c r="C542" s="56" t="s">
        <v>59</v>
      </c>
      <c r="D542" s="58" t="s">
        <v>105</v>
      </c>
      <c r="E542" s="58" t="s">
        <v>70</v>
      </c>
      <c r="F542" s="56" t="s">
        <v>71</v>
      </c>
      <c r="G542" s="60">
        <v>3520.0</v>
      </c>
      <c r="H542" s="62">
        <v>18291.0</v>
      </c>
      <c r="I542" s="64">
        <f t="shared" ref="I542:I543" si="106">ROUND(G542*H542,0)</f>
        <v>64384320</v>
      </c>
      <c r="J542" s="64">
        <f t="shared" ref="J542:J543" si="107">ROUND(I542*0.08,0)</f>
        <v>5150746</v>
      </c>
      <c r="K542" s="64">
        <f t="shared" ref="K542:K543" si="108">I542+J542</f>
        <v>69535066</v>
      </c>
      <c r="L542" s="65" t="s">
        <v>743</v>
      </c>
      <c r="M542" s="65" t="str">
        <f>VLOOKUP(L542,'Đơn đặt'!$C$3:$E$275,2,0)</f>
        <v>02-03-TS</v>
      </c>
      <c r="N542" s="65" t="str">
        <f>VLOOKUP(L542,'Đơn đặt'!$C$3:$E$275,3,0)</f>
        <v>21-2026/TS-AVP/ĐĐH</v>
      </c>
      <c r="O542" s="66">
        <v>46130.0</v>
      </c>
      <c r="P542" s="93" t="s">
        <v>1040</v>
      </c>
      <c r="Q542" s="90">
        <f>5620-Q543</f>
        <v>3520</v>
      </c>
      <c r="R542" s="76">
        <v>16258.2</v>
      </c>
      <c r="S542" s="60">
        <f t="shared" ref="S542:S543" si="109">ROUND(Q542*R542,0)</f>
        <v>57228864</v>
      </c>
      <c r="T542" s="64">
        <f t="shared" ref="T542:T543" si="110">ROUND(S542*0.08,0)</f>
        <v>4578309</v>
      </c>
      <c r="U542" s="60">
        <f t="shared" si="2"/>
        <v>61807173</v>
      </c>
      <c r="V542" s="70"/>
      <c r="W542" s="23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</row>
    <row r="543" ht="25.5" customHeight="1">
      <c r="A543" s="55">
        <v>46132.0</v>
      </c>
      <c r="B543" s="56" t="s">
        <v>739</v>
      </c>
      <c r="C543" s="56" t="s">
        <v>59</v>
      </c>
      <c r="D543" s="58" t="s">
        <v>105</v>
      </c>
      <c r="E543" s="58" t="s">
        <v>70</v>
      </c>
      <c r="F543" s="56" t="s">
        <v>71</v>
      </c>
      <c r="G543" s="60">
        <v>2100.0</v>
      </c>
      <c r="H543" s="62">
        <v>18291.0</v>
      </c>
      <c r="I543" s="64">
        <f t="shared" si="106"/>
        <v>38411100</v>
      </c>
      <c r="J543" s="64">
        <f t="shared" si="107"/>
        <v>3072888</v>
      </c>
      <c r="K543" s="64">
        <f t="shared" si="108"/>
        <v>41483988</v>
      </c>
      <c r="L543" s="91" t="s">
        <v>1041</v>
      </c>
      <c r="M543" s="65" t="str">
        <f>VLOOKUP(L543,'Đơn đặt'!$C$3:$E$275,2,0)</f>
        <v>03-12-TS</v>
      </c>
      <c r="N543" s="65" t="str">
        <f>VLOOKUP(L543,'Đơn đặt'!$C$3:$E$275,3,0)</f>
        <v>38-2026/TS-AVP/ĐĐH</v>
      </c>
      <c r="O543" s="66">
        <v>46130.0</v>
      </c>
      <c r="P543" s="93" t="s">
        <v>1040</v>
      </c>
      <c r="Q543" s="90">
        <v>2100.0</v>
      </c>
      <c r="R543" s="76">
        <v>16258.2</v>
      </c>
      <c r="S543" s="60">
        <f t="shared" si="109"/>
        <v>34142220</v>
      </c>
      <c r="T543" s="64">
        <f t="shared" si="110"/>
        <v>2731378</v>
      </c>
      <c r="U543" s="60">
        <f t="shared" si="2"/>
        <v>36873598</v>
      </c>
      <c r="V543" s="70"/>
      <c r="W543" s="23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</row>
    <row r="544" ht="25.5" customHeight="1">
      <c r="A544" s="55">
        <v>46132.0</v>
      </c>
      <c r="B544" s="56" t="s">
        <v>1042</v>
      </c>
      <c r="C544" s="56" t="s">
        <v>88</v>
      </c>
      <c r="D544" s="58" t="s">
        <v>89</v>
      </c>
      <c r="E544" s="58" t="s">
        <v>776</v>
      </c>
      <c r="F544" s="56" t="s">
        <v>500</v>
      </c>
      <c r="G544" s="60">
        <v>342000.0</v>
      </c>
      <c r="H544" s="62">
        <v>235.0</v>
      </c>
      <c r="I544" s="64">
        <v>8.037E7</v>
      </c>
      <c r="J544" s="64">
        <v>6429600.0</v>
      </c>
      <c r="K544" s="64">
        <v>8.67996E7</v>
      </c>
      <c r="L544" s="91" t="s">
        <v>1043</v>
      </c>
      <c r="M544" s="65" t="str">
        <f>VLOOKUP(L544,'Đơn đặt'!$C$3:$E$275,2,0)</f>
        <v>232a</v>
      </c>
      <c r="N544" s="65" t="str">
        <f>VLOOKUP(L544,'Đơn đặt'!$C$3:$E$275,3,0)</f>
        <v>26/TB/02</v>
      </c>
      <c r="O544" s="66">
        <v>46132.0</v>
      </c>
      <c r="P544" s="67" t="s">
        <v>1044</v>
      </c>
      <c r="Q544" s="68">
        <v>342000.0</v>
      </c>
      <c r="R544" s="76">
        <v>212.44</v>
      </c>
      <c r="S544" s="77">
        <v>7.265448E7</v>
      </c>
      <c r="T544" s="77">
        <v>5812358.0</v>
      </c>
      <c r="U544" s="60">
        <f t="shared" si="2"/>
        <v>78466838</v>
      </c>
      <c r="V544" s="70"/>
      <c r="W544" s="23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</row>
    <row r="545" ht="25.5" customHeight="1">
      <c r="A545" s="55">
        <v>46132.0</v>
      </c>
      <c r="B545" s="56" t="s">
        <v>1042</v>
      </c>
      <c r="C545" s="56" t="s">
        <v>108</v>
      </c>
      <c r="D545" s="58" t="s">
        <v>109</v>
      </c>
      <c r="E545" s="58" t="s">
        <v>776</v>
      </c>
      <c r="F545" s="56" t="s">
        <v>500</v>
      </c>
      <c r="G545" s="60">
        <v>183000.0</v>
      </c>
      <c r="H545" s="62">
        <v>205.0</v>
      </c>
      <c r="I545" s="64">
        <v>3.7515E7</v>
      </c>
      <c r="J545" s="64">
        <v>3001200.0</v>
      </c>
      <c r="K545" s="64">
        <v>4.05162E7</v>
      </c>
      <c r="L545" s="91" t="s">
        <v>1045</v>
      </c>
      <c r="M545" s="65" t="str">
        <f>VLOOKUP(L545,'Đơn đặt'!$C$3:$E$275,2,0)</f>
        <v>232a</v>
      </c>
      <c r="N545" s="65" t="str">
        <f>VLOOKUP(L545,'Đơn đặt'!$C$3:$E$275,3,0)</f>
        <v>26/TB/02</v>
      </c>
      <c r="O545" s="66">
        <v>46132.0</v>
      </c>
      <c r="P545" s="67" t="s">
        <v>1044</v>
      </c>
      <c r="Q545" s="68">
        <v>183000.0</v>
      </c>
      <c r="R545" s="76">
        <v>193.8</v>
      </c>
      <c r="S545" s="77">
        <v>3.54654E7</v>
      </c>
      <c r="T545" s="77">
        <v>2837232.0</v>
      </c>
      <c r="U545" s="60">
        <f t="shared" si="2"/>
        <v>38302632</v>
      </c>
      <c r="V545" s="70"/>
      <c r="W545" s="23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</row>
    <row r="546" ht="25.5" customHeight="1">
      <c r="A546" s="55">
        <v>46132.0</v>
      </c>
      <c r="B546" s="56" t="s">
        <v>1046</v>
      </c>
      <c r="C546" s="56" t="s">
        <v>48</v>
      </c>
      <c r="D546" s="58" t="s">
        <v>47</v>
      </c>
      <c r="E546" s="58" t="s">
        <v>70</v>
      </c>
      <c r="F546" s="56" t="s">
        <v>71</v>
      </c>
      <c r="G546" s="60">
        <v>7000.0</v>
      </c>
      <c r="H546" s="62">
        <v>18291.0</v>
      </c>
      <c r="I546" s="64">
        <v>1.28037E8</v>
      </c>
      <c r="J546" s="64">
        <v>1.024296E7</v>
      </c>
      <c r="K546" s="64">
        <v>1.3827996E8</v>
      </c>
      <c r="L546" s="65" t="s">
        <v>1033</v>
      </c>
      <c r="M546" s="65" t="str">
        <f>VLOOKUP(L546,'Đơn đặt'!$C$3:$E$275,2,0)</f>
        <v>03-12-TS</v>
      </c>
      <c r="N546" s="65" t="str">
        <f>VLOOKUP(L546,'Đơn đặt'!$C$3:$E$275,3,0)</f>
        <v>37-2026/TS-AVP/ĐĐH</v>
      </c>
      <c r="O546" s="66">
        <v>46132.0</v>
      </c>
      <c r="P546" s="93" t="s">
        <v>1047</v>
      </c>
      <c r="Q546" s="68">
        <v>7000.0</v>
      </c>
      <c r="R546" s="68">
        <v>14482.2</v>
      </c>
      <c r="S546" s="60">
        <f>ROUND(Q546*R546,0)</f>
        <v>101375400</v>
      </c>
      <c r="T546" s="60">
        <f>ROUND(S546*0.08,0)</f>
        <v>8110032</v>
      </c>
      <c r="U546" s="60">
        <f t="shared" si="2"/>
        <v>109485432</v>
      </c>
      <c r="V546" s="70"/>
      <c r="W546" s="23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</row>
    <row r="547" ht="25.5" customHeight="1">
      <c r="A547" s="55">
        <v>46132.0</v>
      </c>
      <c r="B547" s="56" t="s">
        <v>1046</v>
      </c>
      <c r="C547" s="56" t="s">
        <v>50</v>
      </c>
      <c r="D547" s="58" t="s">
        <v>49</v>
      </c>
      <c r="E547" s="58" t="s">
        <v>70</v>
      </c>
      <c r="F547" s="56" t="s">
        <v>71</v>
      </c>
      <c r="G547" s="60">
        <v>1240.0</v>
      </c>
      <c r="H547" s="62">
        <v>18291.0</v>
      </c>
      <c r="I547" s="64">
        <v>2.268084E7</v>
      </c>
      <c r="J547" s="64">
        <v>1814467.0</v>
      </c>
      <c r="K547" s="64">
        <v>2.4495307E7</v>
      </c>
      <c r="L547" s="65" t="s">
        <v>773</v>
      </c>
      <c r="M547" s="65" t="str">
        <f>VLOOKUP(L547,'Đơn đặt'!$C$3:$E$275,2,0)</f>
        <v>02-03-TS</v>
      </c>
      <c r="N547" s="65" t="str">
        <f>VLOOKUP(L547,'Đơn đặt'!$C$3:$E$275,3,0)</f>
        <v>22-2026/TS-AVP/ĐĐH</v>
      </c>
      <c r="O547" s="66">
        <v>46132.0</v>
      </c>
      <c r="P547" s="67" t="s">
        <v>1048</v>
      </c>
      <c r="Q547" s="68">
        <v>1240.0</v>
      </c>
      <c r="R547" s="76">
        <v>14482.2</v>
      </c>
      <c r="S547" s="77">
        <v>1.7957928E7</v>
      </c>
      <c r="T547" s="77">
        <v>1436634.0</v>
      </c>
      <c r="U547" s="60">
        <f t="shared" si="2"/>
        <v>19394562</v>
      </c>
      <c r="V547" s="70"/>
      <c r="W547" s="23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</row>
    <row r="548" ht="25.5" customHeight="1">
      <c r="A548" s="55">
        <v>46132.0</v>
      </c>
      <c r="B548" s="56" t="s">
        <v>1049</v>
      </c>
      <c r="C548" s="56" t="s">
        <v>222</v>
      </c>
      <c r="D548" s="58" t="s">
        <v>223</v>
      </c>
      <c r="E548" s="58" t="s">
        <v>70</v>
      </c>
      <c r="F548" s="56" t="s">
        <v>71</v>
      </c>
      <c r="G548" s="60">
        <v>700.0</v>
      </c>
      <c r="H548" s="62">
        <v>19310.0</v>
      </c>
      <c r="I548" s="64">
        <f t="shared" ref="I548:I551" si="111">ROUND(G548*H548,0)</f>
        <v>13517000</v>
      </c>
      <c r="J548" s="64">
        <f t="shared" ref="J548:J551" si="112">ROUND(I548*0.08,0)</f>
        <v>1081360</v>
      </c>
      <c r="K548" s="64">
        <f t="shared" ref="K548:K551" si="113">I548+J548</f>
        <v>14598360</v>
      </c>
      <c r="L548" s="65" t="s">
        <v>680</v>
      </c>
      <c r="M548" s="65" t="str">
        <f>VLOOKUP(L548,'Đơn đặt'!$C$3:$E$275,2,0)</f>
        <v>01-04-TS</v>
      </c>
      <c r="N548" s="65" t="str">
        <f>VLOOKUP(L548,'Đơn đặt'!$C$3:$E$275,3,0)</f>
        <v>07-2026/TS-AVP/ĐĐH</v>
      </c>
      <c r="O548" s="66">
        <v>46132.0</v>
      </c>
      <c r="P548" s="67" t="s">
        <v>1050</v>
      </c>
      <c r="Q548" s="68">
        <v>700.0</v>
      </c>
      <c r="R548" s="76">
        <v>17438.0</v>
      </c>
      <c r="S548" s="64">
        <f t="shared" ref="S548:S551" si="114">ROUND(Q548*R548,0)</f>
        <v>12206600</v>
      </c>
      <c r="T548" s="64">
        <f t="shared" ref="T548:T551" si="115">ROUND(S548*0.08,0)</f>
        <v>976528</v>
      </c>
      <c r="U548" s="60">
        <f t="shared" si="2"/>
        <v>13183128</v>
      </c>
      <c r="V548" s="70"/>
      <c r="W548" s="23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</row>
    <row r="549" ht="25.5" customHeight="1">
      <c r="A549" s="55">
        <v>46132.0</v>
      </c>
      <c r="B549" s="56" t="s">
        <v>1049</v>
      </c>
      <c r="C549" s="56" t="s">
        <v>222</v>
      </c>
      <c r="D549" s="58" t="s">
        <v>223</v>
      </c>
      <c r="E549" s="58" t="s">
        <v>70</v>
      </c>
      <c r="F549" s="56" t="s">
        <v>71</v>
      </c>
      <c r="G549" s="60">
        <v>100.0</v>
      </c>
      <c r="H549" s="62">
        <v>19310.0</v>
      </c>
      <c r="I549" s="64">
        <f t="shared" si="111"/>
        <v>1931000</v>
      </c>
      <c r="J549" s="64">
        <f t="shared" si="112"/>
        <v>154480</v>
      </c>
      <c r="K549" s="64">
        <f t="shared" si="113"/>
        <v>2085480</v>
      </c>
      <c r="L549" s="65" t="s">
        <v>1051</v>
      </c>
      <c r="M549" s="65" t="str">
        <f>VLOOKUP(L549,'Đơn đặt'!$C$3:$E$275,2,0)</f>
        <v>02-11-TS</v>
      </c>
      <c r="N549" s="65" t="str">
        <f>VLOOKUP(L549,'Đơn đặt'!$C$3:$E$275,3,0)</f>
        <v>28-2026/TS-AVP/ĐĐH</v>
      </c>
      <c r="O549" s="66">
        <v>46132.0</v>
      </c>
      <c r="P549" s="67" t="s">
        <v>1050</v>
      </c>
      <c r="Q549" s="68">
        <v>100.0</v>
      </c>
      <c r="R549" s="76">
        <v>17438.0</v>
      </c>
      <c r="S549" s="64">
        <f t="shared" si="114"/>
        <v>1743800</v>
      </c>
      <c r="T549" s="64">
        <f t="shared" si="115"/>
        <v>139504</v>
      </c>
      <c r="U549" s="60">
        <f t="shared" si="2"/>
        <v>1883304</v>
      </c>
      <c r="V549" s="70"/>
      <c r="W549" s="23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</row>
    <row r="550" ht="25.5" customHeight="1">
      <c r="A550" s="55">
        <v>46132.0</v>
      </c>
      <c r="B550" s="56" t="s">
        <v>1049</v>
      </c>
      <c r="C550" s="56" t="s">
        <v>272</v>
      </c>
      <c r="D550" s="58" t="s">
        <v>273</v>
      </c>
      <c r="E550" s="58" t="s">
        <v>70</v>
      </c>
      <c r="F550" s="56" t="s">
        <v>71</v>
      </c>
      <c r="G550" s="60">
        <v>30.0</v>
      </c>
      <c r="H550" s="62">
        <v>17325.0</v>
      </c>
      <c r="I550" s="64">
        <f t="shared" si="111"/>
        <v>519750</v>
      </c>
      <c r="J550" s="64">
        <f t="shared" si="112"/>
        <v>41580</v>
      </c>
      <c r="K550" s="64">
        <f t="shared" si="113"/>
        <v>561330</v>
      </c>
      <c r="L550" s="65" t="s">
        <v>800</v>
      </c>
      <c r="M550" s="65" t="str">
        <f>VLOOKUP(L550,'Đơn đặt'!$C$3:$E$275,2,0)</f>
        <v>01-04-TS</v>
      </c>
      <c r="N550" s="65" t="str">
        <f>VLOOKUP(L550,'Đơn đặt'!$C$3:$E$275,3,0)</f>
        <v>07-2026/TS-AVP/ĐĐH</v>
      </c>
      <c r="O550" s="66">
        <v>46132.0</v>
      </c>
      <c r="P550" s="67" t="s">
        <v>1050</v>
      </c>
      <c r="Q550" s="68">
        <v>30.0</v>
      </c>
      <c r="R550" s="76">
        <v>16505.0</v>
      </c>
      <c r="S550" s="64">
        <f t="shared" si="114"/>
        <v>495150</v>
      </c>
      <c r="T550" s="64">
        <f t="shared" si="115"/>
        <v>39612</v>
      </c>
      <c r="U550" s="60">
        <f t="shared" si="2"/>
        <v>534762</v>
      </c>
      <c r="V550" s="70"/>
      <c r="W550" s="23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</row>
    <row r="551" ht="25.5" customHeight="1">
      <c r="A551" s="55">
        <v>46132.0</v>
      </c>
      <c r="B551" s="56" t="s">
        <v>1049</v>
      </c>
      <c r="C551" s="56" t="s">
        <v>272</v>
      </c>
      <c r="D551" s="58" t="s">
        <v>273</v>
      </c>
      <c r="E551" s="58" t="s">
        <v>70</v>
      </c>
      <c r="F551" s="56" t="s">
        <v>71</v>
      </c>
      <c r="G551" s="60">
        <v>1605.0</v>
      </c>
      <c r="H551" s="62">
        <v>17325.0</v>
      </c>
      <c r="I551" s="64">
        <f t="shared" si="111"/>
        <v>27806625</v>
      </c>
      <c r="J551" s="64">
        <f t="shared" si="112"/>
        <v>2224530</v>
      </c>
      <c r="K551" s="64">
        <f t="shared" si="113"/>
        <v>30031155</v>
      </c>
      <c r="L551" s="65" t="s">
        <v>1052</v>
      </c>
      <c r="M551" s="65" t="str">
        <f>VLOOKUP(L551,'Đơn đặt'!$C$3:$E$275,2,0)</f>
        <v>02-11-TS</v>
      </c>
      <c r="N551" s="65" t="str">
        <f>VLOOKUP(L551,'Đơn đặt'!$C$3:$E$275,3,0)</f>
        <v>28-2026/TS-AVP/ĐĐH</v>
      </c>
      <c r="O551" s="66">
        <v>46132.0</v>
      </c>
      <c r="P551" s="67" t="s">
        <v>1050</v>
      </c>
      <c r="Q551" s="68">
        <v>1605.0</v>
      </c>
      <c r="R551" s="76">
        <v>16505.0</v>
      </c>
      <c r="S551" s="64">
        <f t="shared" si="114"/>
        <v>26490525</v>
      </c>
      <c r="T551" s="64">
        <f t="shared" si="115"/>
        <v>2119242</v>
      </c>
      <c r="U551" s="60">
        <f t="shared" si="2"/>
        <v>28609767</v>
      </c>
      <c r="V551" s="70"/>
      <c r="W551" s="23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</row>
    <row r="552" ht="25.5" customHeight="1">
      <c r="A552" s="55">
        <v>46132.0</v>
      </c>
      <c r="B552" s="56" t="s">
        <v>1049</v>
      </c>
      <c r="C552" s="56" t="s">
        <v>59</v>
      </c>
      <c r="D552" s="58" t="s">
        <v>105</v>
      </c>
      <c r="E552" s="58" t="s">
        <v>70</v>
      </c>
      <c r="F552" s="56" t="s">
        <v>71</v>
      </c>
      <c r="G552" s="60">
        <v>2400.0</v>
      </c>
      <c r="H552" s="62">
        <v>18291.0</v>
      </c>
      <c r="I552" s="64">
        <v>4.38984E7</v>
      </c>
      <c r="J552" s="64">
        <v>3511872.0</v>
      </c>
      <c r="K552" s="64">
        <v>4.7410272E7</v>
      </c>
      <c r="L552" s="65" t="s">
        <v>1041</v>
      </c>
      <c r="M552" s="65" t="str">
        <f>VLOOKUP(L552,'Đơn đặt'!$C$3:$E$275,2,0)</f>
        <v>03-12-TS</v>
      </c>
      <c r="N552" s="65" t="str">
        <f>VLOOKUP(L552,'Đơn đặt'!$C$3:$E$275,3,0)</f>
        <v>38-2026/TS-AVP/ĐĐH</v>
      </c>
      <c r="O552" s="66">
        <v>46132.0</v>
      </c>
      <c r="P552" s="67" t="s">
        <v>1050</v>
      </c>
      <c r="Q552" s="68">
        <v>2400.0</v>
      </c>
      <c r="R552" s="76">
        <v>16258.2</v>
      </c>
      <c r="S552" s="68">
        <v>3.901968E7</v>
      </c>
      <c r="T552" s="77">
        <v>3121574.0</v>
      </c>
      <c r="U552" s="60">
        <f t="shared" si="2"/>
        <v>42141254</v>
      </c>
      <c r="V552" s="70"/>
      <c r="W552" s="23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</row>
    <row r="553" ht="25.5" customHeight="1">
      <c r="A553" s="55">
        <v>46132.0</v>
      </c>
      <c r="B553" s="56" t="s">
        <v>1053</v>
      </c>
      <c r="C553" s="56" t="s">
        <v>575</v>
      </c>
      <c r="D553" s="58" t="s">
        <v>1054</v>
      </c>
      <c r="E553" s="58" t="s">
        <v>70</v>
      </c>
      <c r="F553" s="56" t="s">
        <v>819</v>
      </c>
      <c r="G553" s="60">
        <v>300.0</v>
      </c>
      <c r="H553" s="62">
        <v>196371.0</v>
      </c>
      <c r="I553" s="64">
        <v>5.89113E7</v>
      </c>
      <c r="J553" s="64">
        <v>4712904.0</v>
      </c>
      <c r="K553" s="64">
        <v>6.3624204E7</v>
      </c>
      <c r="L553" s="65" t="s">
        <v>1055</v>
      </c>
      <c r="M553" s="65" t="str">
        <f>VLOOKUP(L553,'Đơn đặt'!$C$3:$E$275,2,0)</f>
        <v>03-17-TS</v>
      </c>
      <c r="N553" s="65" t="str">
        <f>VLOOKUP(L553,'Đơn đặt'!$C$3:$E$275,3,0)</f>
        <v>41-2026/TS-AVP/ĐĐH</v>
      </c>
      <c r="O553" s="66">
        <v>46132.0</v>
      </c>
      <c r="P553" s="67" t="s">
        <v>1056</v>
      </c>
      <c r="Q553" s="68">
        <v>300.0</v>
      </c>
      <c r="R553" s="76">
        <v>183242.2</v>
      </c>
      <c r="S553" s="77">
        <v>5.497266E7</v>
      </c>
      <c r="T553" s="77">
        <v>4397813.0</v>
      </c>
      <c r="U553" s="60">
        <f t="shared" si="2"/>
        <v>59370473</v>
      </c>
      <c r="V553" s="70"/>
      <c r="W553" s="23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</row>
    <row r="554" ht="25.5" customHeight="1">
      <c r="A554" s="55">
        <v>46132.0</v>
      </c>
      <c r="B554" s="56" t="s">
        <v>1053</v>
      </c>
      <c r="C554" s="56" t="s">
        <v>222</v>
      </c>
      <c r="D554" s="58" t="s">
        <v>223</v>
      </c>
      <c r="E554" s="58" t="s">
        <v>70</v>
      </c>
      <c r="F554" s="56" t="s">
        <v>71</v>
      </c>
      <c r="G554" s="60">
        <v>1105.0</v>
      </c>
      <c r="H554" s="62">
        <v>19310.0</v>
      </c>
      <c r="I554" s="64">
        <v>2.133755E7</v>
      </c>
      <c r="J554" s="64">
        <v>1707004.0</v>
      </c>
      <c r="K554" s="64">
        <v>2.3044554E7</v>
      </c>
      <c r="L554" s="65" t="s">
        <v>1051</v>
      </c>
      <c r="M554" s="65" t="str">
        <f>VLOOKUP(L554,'Đơn đặt'!$C$3:$E$275,2,0)</f>
        <v>02-11-TS</v>
      </c>
      <c r="N554" s="65" t="str">
        <f>VLOOKUP(L554,'Đơn đặt'!$C$3:$E$275,3,0)</f>
        <v>28-2026/TS-AVP/ĐĐH</v>
      </c>
      <c r="O554" s="66">
        <v>46132.0</v>
      </c>
      <c r="P554" s="67" t="s">
        <v>1056</v>
      </c>
      <c r="Q554" s="68">
        <v>1105.0</v>
      </c>
      <c r="R554" s="76">
        <v>17438.0</v>
      </c>
      <c r="S554" s="77">
        <v>1.926899E7</v>
      </c>
      <c r="T554" s="77">
        <v>1541519.0</v>
      </c>
      <c r="U554" s="60">
        <f t="shared" si="2"/>
        <v>20810509</v>
      </c>
      <c r="V554" s="70"/>
      <c r="W554" s="23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</row>
    <row r="555" ht="25.5" customHeight="1">
      <c r="A555" s="55">
        <v>46132.0</v>
      </c>
      <c r="B555" s="56" t="s">
        <v>1057</v>
      </c>
      <c r="C555" s="56" t="s">
        <v>3</v>
      </c>
      <c r="D555" s="58" t="s">
        <v>164</v>
      </c>
      <c r="E555" s="58" t="s">
        <v>70</v>
      </c>
      <c r="F555" s="56" t="s">
        <v>112</v>
      </c>
      <c r="G555" s="60">
        <v>4000.0</v>
      </c>
      <c r="H555" s="62">
        <v>38000.0</v>
      </c>
      <c r="I555" s="64">
        <v>1.52E8</v>
      </c>
      <c r="J555" s="64">
        <v>1.216E7</v>
      </c>
      <c r="K555" s="64">
        <v>1.6416E8</v>
      </c>
      <c r="L555" s="65" t="s">
        <v>955</v>
      </c>
      <c r="M555" s="65" t="str">
        <f>VLOOKUP(L555,'Đơn đặt'!$C$3:$E$275,2,0)</f>
        <v>03-03/TS-LP</v>
      </c>
      <c r="N555" s="65" t="str">
        <f>VLOOKUP(L555,'Đơn đặt'!$C$3:$E$275,3,0)</f>
        <v>32-2026/TS-AVP/ĐĐH</v>
      </c>
      <c r="O555" s="66">
        <v>46132.0</v>
      </c>
      <c r="P555" s="67" t="s">
        <v>1058</v>
      </c>
      <c r="Q555" s="68">
        <v>4000.0</v>
      </c>
      <c r="R555" s="76">
        <v>38000.0</v>
      </c>
      <c r="S555" s="77">
        <v>1.52E8</v>
      </c>
      <c r="T555" s="77">
        <v>1.216E7</v>
      </c>
      <c r="U555" s="60">
        <f t="shared" si="2"/>
        <v>164160000</v>
      </c>
      <c r="V555" s="70"/>
      <c r="W555" s="23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</row>
    <row r="556" ht="25.5" customHeight="1">
      <c r="A556" s="55">
        <v>46133.0</v>
      </c>
      <c r="B556" s="56" t="s">
        <v>1059</v>
      </c>
      <c r="C556" s="56" t="s">
        <v>99</v>
      </c>
      <c r="D556" s="58" t="s">
        <v>100</v>
      </c>
      <c r="E556" s="58" t="s">
        <v>776</v>
      </c>
      <c r="F556" s="56" t="s">
        <v>71</v>
      </c>
      <c r="G556" s="60">
        <v>350.0</v>
      </c>
      <c r="H556" s="62">
        <v>15600.0</v>
      </c>
      <c r="I556" s="64">
        <v>5460000.0</v>
      </c>
      <c r="J556" s="64">
        <v>436800.0</v>
      </c>
      <c r="K556" s="64">
        <v>5896800.0</v>
      </c>
      <c r="L556" s="91" t="s">
        <v>1060</v>
      </c>
      <c r="M556" s="65">
        <f>VLOOKUP(L556,'Đơn đặt'!$C$3:$E$275,2,0)</f>
        <v>232</v>
      </c>
      <c r="N556" s="65" t="str">
        <f>VLOOKUP(L556,'Đơn đặt'!$C$3:$E$275,3,0)</f>
        <v>26/YFY/02</v>
      </c>
      <c r="O556" s="66">
        <v>46133.0</v>
      </c>
      <c r="P556" s="67" t="s">
        <v>1061</v>
      </c>
      <c r="Q556" s="68">
        <v>350.0</v>
      </c>
      <c r="R556" s="76">
        <v>11920.0</v>
      </c>
      <c r="S556" s="77">
        <v>4172000.0</v>
      </c>
      <c r="T556" s="77">
        <v>333760.0</v>
      </c>
      <c r="U556" s="60">
        <f t="shared" si="2"/>
        <v>4505760</v>
      </c>
      <c r="V556" s="70"/>
      <c r="W556" s="23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</row>
    <row r="557" ht="25.5" customHeight="1">
      <c r="A557" s="55">
        <v>46133.0</v>
      </c>
      <c r="B557" s="56" t="s">
        <v>1059</v>
      </c>
      <c r="C557" s="56" t="s">
        <v>72</v>
      </c>
      <c r="D557" s="58" t="s">
        <v>73</v>
      </c>
      <c r="E557" s="58" t="s">
        <v>776</v>
      </c>
      <c r="F557" s="56" t="s">
        <v>71</v>
      </c>
      <c r="G557" s="60">
        <v>700.0</v>
      </c>
      <c r="H557" s="62">
        <v>15600.0</v>
      </c>
      <c r="I557" s="64">
        <v>1.092E7</v>
      </c>
      <c r="J557" s="64">
        <v>873600.0</v>
      </c>
      <c r="K557" s="64">
        <v>1.17936E7</v>
      </c>
      <c r="L557" s="91" t="s">
        <v>1062</v>
      </c>
      <c r="M557" s="65">
        <f>VLOOKUP(L557,'Đơn đặt'!$C$3:$E$275,2,0)</f>
        <v>232</v>
      </c>
      <c r="N557" s="65" t="str">
        <f>VLOOKUP(L557,'Đơn đặt'!$C$3:$E$275,3,0)</f>
        <v>26/YFY/02</v>
      </c>
      <c r="O557" s="66">
        <v>46133.0</v>
      </c>
      <c r="P557" s="67" t="s">
        <v>1061</v>
      </c>
      <c r="Q557" s="68">
        <v>700.0</v>
      </c>
      <c r="R557" s="76">
        <v>11920.0</v>
      </c>
      <c r="S557" s="77">
        <v>8344000.0</v>
      </c>
      <c r="T557" s="77">
        <v>667520.0</v>
      </c>
      <c r="U557" s="60">
        <f t="shared" si="2"/>
        <v>9011520</v>
      </c>
      <c r="V557" s="70"/>
      <c r="W557" s="23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</row>
    <row r="558" ht="25.5" customHeight="1">
      <c r="A558" s="55">
        <v>46133.0</v>
      </c>
      <c r="B558" s="56" t="s">
        <v>1063</v>
      </c>
      <c r="C558" s="56" t="s">
        <v>119</v>
      </c>
      <c r="D558" s="58" t="s">
        <v>120</v>
      </c>
      <c r="E558" s="58" t="s">
        <v>70</v>
      </c>
      <c r="F558" s="56" t="s">
        <v>71</v>
      </c>
      <c r="G558" s="60">
        <v>2995.0</v>
      </c>
      <c r="H558" s="62">
        <v>19310.0</v>
      </c>
      <c r="I558" s="64">
        <v>5.783345E7</v>
      </c>
      <c r="J558" s="64">
        <v>4626676.0</v>
      </c>
      <c r="K558" s="64">
        <v>6.2460126E7</v>
      </c>
      <c r="L558" s="65" t="s">
        <v>228</v>
      </c>
      <c r="M558" s="65" t="str">
        <f>VLOOKUP(L558,'Đơn đặt'!$C$3:$E$275,2,0)</f>
        <v>01-02-TS</v>
      </c>
      <c r="N558" s="65" t="str">
        <f>VLOOKUP(L558,'Đơn đặt'!$C$3:$E$275,3,0)</f>
        <v>04-2026/TS-AVP/ĐĐH</v>
      </c>
      <c r="O558" s="66">
        <v>46133.0</v>
      </c>
      <c r="P558" s="67" t="s">
        <v>1064</v>
      </c>
      <c r="Q558" s="68">
        <v>2995.0</v>
      </c>
      <c r="R558" s="76">
        <v>17438.0</v>
      </c>
      <c r="S558" s="77">
        <v>5.222681E7</v>
      </c>
      <c r="T558" s="77">
        <v>4178145.0</v>
      </c>
      <c r="U558" s="60">
        <f t="shared" si="2"/>
        <v>56404955</v>
      </c>
      <c r="V558" s="70"/>
      <c r="W558" s="23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</row>
    <row r="559" ht="25.5" customHeight="1">
      <c r="A559" s="55">
        <v>46133.0</v>
      </c>
      <c r="B559" s="56" t="s">
        <v>1065</v>
      </c>
      <c r="C559" s="56" t="s">
        <v>1</v>
      </c>
      <c r="D559" s="58" t="s">
        <v>136</v>
      </c>
      <c r="E559" s="58" t="s">
        <v>70</v>
      </c>
      <c r="F559" s="56" t="s">
        <v>112</v>
      </c>
      <c r="G559" s="60">
        <v>1000.0</v>
      </c>
      <c r="H559" s="62">
        <v>42560.0</v>
      </c>
      <c r="I559" s="64">
        <v>4.256E7</v>
      </c>
      <c r="J559" s="64">
        <v>3404800.0</v>
      </c>
      <c r="K559" s="64">
        <v>4.59648E7</v>
      </c>
      <c r="L559" s="65" t="s">
        <v>1066</v>
      </c>
      <c r="M559" s="65" t="str">
        <f>VLOOKUP(L559,'Đơn đặt'!$C$3:$E$275,2,0)</f>
        <v>04-34/TS-LP</v>
      </c>
      <c r="N559" s="65" t="str">
        <f>VLOOKUP(L559,'Đơn đặt'!$C$3:$E$275,3,0)</f>
        <v>45-2026/TS-AVP/ĐĐH</v>
      </c>
      <c r="O559" s="66">
        <v>46133.0</v>
      </c>
      <c r="P559" s="67" t="s">
        <v>1067</v>
      </c>
      <c r="Q559" s="68">
        <v>1000.0</v>
      </c>
      <c r="R559" s="76">
        <v>38912.0</v>
      </c>
      <c r="S559" s="77">
        <v>3.8912E7</v>
      </c>
      <c r="T559" s="77">
        <v>3112960.0</v>
      </c>
      <c r="U559" s="60">
        <f t="shared" si="2"/>
        <v>42024960</v>
      </c>
      <c r="V559" s="70"/>
      <c r="W559" s="23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</row>
    <row r="560" ht="25.5" customHeight="1">
      <c r="A560" s="55">
        <v>46133.0</v>
      </c>
      <c r="B560" s="56" t="s">
        <v>1068</v>
      </c>
      <c r="C560" s="56" t="s">
        <v>14</v>
      </c>
      <c r="D560" s="58" t="s">
        <v>13</v>
      </c>
      <c r="E560" s="58" t="s">
        <v>70</v>
      </c>
      <c r="F560" s="56" t="s">
        <v>71</v>
      </c>
      <c r="G560" s="60">
        <v>3000.0</v>
      </c>
      <c r="H560" s="62">
        <v>19404.0</v>
      </c>
      <c r="I560" s="64">
        <v>5.8212E7</v>
      </c>
      <c r="J560" s="64">
        <v>4656960.0</v>
      </c>
      <c r="K560" s="64">
        <v>6.286896E7</v>
      </c>
      <c r="L560" s="65" t="s">
        <v>1069</v>
      </c>
      <c r="M560" s="65" t="str">
        <f>VLOOKUP(L560,'Đơn đặt'!$C$3:$E$275,2,0)</f>
        <v>03-12-TS</v>
      </c>
      <c r="N560" s="65" t="str">
        <f>VLOOKUP(L560,'Đơn đặt'!$C$3:$E$275,3,0)</f>
        <v>38-2026/TS-AVP/ĐĐH</v>
      </c>
      <c r="O560" s="66">
        <v>46133.0</v>
      </c>
      <c r="P560" s="67" t="s">
        <v>1064</v>
      </c>
      <c r="Q560" s="68">
        <v>3000.0</v>
      </c>
      <c r="R560" s="76">
        <v>17776.8</v>
      </c>
      <c r="S560" s="77">
        <v>5.33304E7</v>
      </c>
      <c r="T560" s="77">
        <v>4266432.0</v>
      </c>
      <c r="U560" s="60">
        <f t="shared" si="2"/>
        <v>57596832</v>
      </c>
      <c r="V560" s="70"/>
      <c r="W560" s="23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</row>
    <row r="561" ht="25.5" customHeight="1">
      <c r="A561" s="55">
        <v>46133.0</v>
      </c>
      <c r="B561" s="56" t="s">
        <v>1070</v>
      </c>
      <c r="C561" s="56" t="s">
        <v>9</v>
      </c>
      <c r="D561" s="58" t="s">
        <v>361</v>
      </c>
      <c r="E561" s="58" t="s">
        <v>70</v>
      </c>
      <c r="F561" s="56" t="s">
        <v>500</v>
      </c>
      <c r="G561" s="60">
        <v>1000000.0</v>
      </c>
      <c r="H561" s="62">
        <v>85.0</v>
      </c>
      <c r="I561" s="64">
        <v>8.5E7</v>
      </c>
      <c r="J561" s="64">
        <v>6800000.0</v>
      </c>
      <c r="K561" s="64">
        <v>9.18E7</v>
      </c>
      <c r="L561" s="65" t="s">
        <v>1071</v>
      </c>
      <c r="M561" s="65" t="str">
        <f>VLOOKUP(L561,'Đơn đặt'!$C$3:$E$275,2,0)</f>
        <v>04-23/TS-LP</v>
      </c>
      <c r="N561" s="65" t="str">
        <f>VLOOKUP(L561,'Đơn đặt'!$C$3:$E$275,3,0)</f>
        <v>44-2026/TS-AVP/ĐĐH</v>
      </c>
      <c r="O561" s="66">
        <v>46133.0</v>
      </c>
      <c r="P561" s="67" t="s">
        <v>1072</v>
      </c>
      <c r="Q561" s="68">
        <v>1000000.0</v>
      </c>
      <c r="R561" s="76">
        <v>78.6</v>
      </c>
      <c r="S561" s="77">
        <v>7.86E7</v>
      </c>
      <c r="T561" s="77">
        <v>6288000.0</v>
      </c>
      <c r="U561" s="60">
        <f t="shared" si="2"/>
        <v>84888000</v>
      </c>
      <c r="V561" s="70"/>
      <c r="W561" s="23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</row>
    <row r="562" ht="25.5" customHeight="1">
      <c r="A562" s="55">
        <v>46134.0</v>
      </c>
      <c r="B562" s="56" t="s">
        <v>1073</v>
      </c>
      <c r="C562" s="56" t="s">
        <v>48</v>
      </c>
      <c r="D562" s="58" t="s">
        <v>47</v>
      </c>
      <c r="E562" s="58" t="s">
        <v>70</v>
      </c>
      <c r="F562" s="56" t="s">
        <v>71</v>
      </c>
      <c r="G562" s="60">
        <v>8000.0</v>
      </c>
      <c r="H562" s="62">
        <v>18291.0</v>
      </c>
      <c r="I562" s="64">
        <v>1.46328E8</v>
      </c>
      <c r="J562" s="64">
        <v>1.170624E7</v>
      </c>
      <c r="K562" s="64">
        <v>1.5803424E8</v>
      </c>
      <c r="L562" s="65" t="s">
        <v>1033</v>
      </c>
      <c r="M562" s="65" t="str">
        <f>VLOOKUP(L562,'Đơn đặt'!$C$3:$E$275,2,0)</f>
        <v>03-12-TS</v>
      </c>
      <c r="N562" s="65" t="str">
        <f>VLOOKUP(L562,'Đơn đặt'!$C$3:$E$275,3,0)</f>
        <v>37-2026/TS-AVP/ĐĐH</v>
      </c>
      <c r="O562" s="66">
        <v>46134.0</v>
      </c>
      <c r="P562" s="93" t="s">
        <v>1074</v>
      </c>
      <c r="Q562" s="68">
        <v>8000.0</v>
      </c>
      <c r="R562" s="68">
        <v>14482.2</v>
      </c>
      <c r="S562" s="60">
        <f>ROUND(Q562*R562,0)</f>
        <v>115857600</v>
      </c>
      <c r="T562" s="60">
        <f>ROUND(S562*0.08,0)</f>
        <v>9268608</v>
      </c>
      <c r="U562" s="60">
        <f t="shared" si="2"/>
        <v>125126208</v>
      </c>
      <c r="V562" s="70"/>
      <c r="W562" s="23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</row>
    <row r="563" ht="25.5" customHeight="1">
      <c r="A563" s="55">
        <v>46134.0</v>
      </c>
      <c r="B563" s="56" t="s">
        <v>1073</v>
      </c>
      <c r="C563" s="56" t="s">
        <v>50</v>
      </c>
      <c r="D563" s="58" t="s">
        <v>49</v>
      </c>
      <c r="E563" s="58" t="s">
        <v>70</v>
      </c>
      <c r="F563" s="56" t="s">
        <v>71</v>
      </c>
      <c r="G563" s="60">
        <v>2000.0</v>
      </c>
      <c r="H563" s="62">
        <v>18291.0</v>
      </c>
      <c r="I563" s="64">
        <v>3.6582E7</v>
      </c>
      <c r="J563" s="64">
        <v>2926560.0</v>
      </c>
      <c r="K563" s="64">
        <v>3.950856E7</v>
      </c>
      <c r="L563" s="65" t="s">
        <v>773</v>
      </c>
      <c r="M563" s="65" t="str">
        <f>VLOOKUP(L563,'Đơn đặt'!$C$3:$E$275,2,0)</f>
        <v>02-03-TS</v>
      </c>
      <c r="N563" s="65" t="str">
        <f>VLOOKUP(L563,'Đơn đặt'!$C$3:$E$275,3,0)</f>
        <v>22-2026/TS-AVP/ĐĐH</v>
      </c>
      <c r="O563" s="66">
        <v>46134.0</v>
      </c>
      <c r="P563" s="67" t="s">
        <v>1075</v>
      </c>
      <c r="Q563" s="68">
        <v>2000.0</v>
      </c>
      <c r="R563" s="76">
        <v>14482.2</v>
      </c>
      <c r="S563" s="77">
        <v>2.89644E7</v>
      </c>
      <c r="T563" s="77">
        <v>2317152.0</v>
      </c>
      <c r="U563" s="60">
        <f t="shared" si="2"/>
        <v>31281552</v>
      </c>
      <c r="V563" s="70"/>
      <c r="W563" s="23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</row>
    <row r="564" ht="25.5" customHeight="1">
      <c r="A564" s="55">
        <v>46135.0</v>
      </c>
      <c r="B564" s="56" t="s">
        <v>1076</v>
      </c>
      <c r="C564" s="56" t="s">
        <v>14</v>
      </c>
      <c r="D564" s="58" t="s">
        <v>13</v>
      </c>
      <c r="E564" s="58" t="s">
        <v>70</v>
      </c>
      <c r="F564" s="56" t="s">
        <v>71</v>
      </c>
      <c r="G564" s="60">
        <v>5000.0</v>
      </c>
      <c r="H564" s="62">
        <v>19404.0</v>
      </c>
      <c r="I564" s="64">
        <v>9.702E7</v>
      </c>
      <c r="J564" s="64">
        <v>7761600.0</v>
      </c>
      <c r="K564" s="64">
        <v>1.047816E8</v>
      </c>
      <c r="L564" s="65" t="s">
        <v>840</v>
      </c>
      <c r="M564" s="65" t="str">
        <f>VLOOKUP(L564,'Đơn đặt'!$C$3:$E$275,2,0)</f>
        <v>02-03-TS</v>
      </c>
      <c r="N564" s="65" t="str">
        <f>VLOOKUP(L564,'Đơn đặt'!$C$3:$E$275,3,0)</f>
        <v>21-2026/TS-AVP/ĐĐH</v>
      </c>
      <c r="O564" s="66">
        <v>46135.0</v>
      </c>
      <c r="P564" s="93" t="s">
        <v>1077</v>
      </c>
      <c r="Q564" s="90">
        <v>5000.0</v>
      </c>
      <c r="R564" s="76">
        <v>17776.8</v>
      </c>
      <c r="S564" s="64">
        <f>ROUND(Q564*R564,0)</f>
        <v>88884000</v>
      </c>
      <c r="T564" s="64">
        <f>ROUND(S564*0.08,0)</f>
        <v>7110720</v>
      </c>
      <c r="U564" s="60">
        <f t="shared" si="2"/>
        <v>95994720</v>
      </c>
      <c r="V564" s="70"/>
      <c r="W564" s="23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</row>
    <row r="565" ht="25.5" customHeight="1">
      <c r="A565" s="55">
        <v>46135.0</v>
      </c>
      <c r="B565" s="56" t="s">
        <v>742</v>
      </c>
      <c r="C565" s="56" t="s">
        <v>206</v>
      </c>
      <c r="D565" s="58" t="s">
        <v>207</v>
      </c>
      <c r="E565" s="58" t="s">
        <v>70</v>
      </c>
      <c r="F565" s="56" t="s">
        <v>71</v>
      </c>
      <c r="G565" s="60">
        <v>2000.0</v>
      </c>
      <c r="H565" s="62">
        <v>18134.0</v>
      </c>
      <c r="I565" s="64">
        <v>3.6268E7</v>
      </c>
      <c r="J565" s="64">
        <v>2901440.0</v>
      </c>
      <c r="K565" s="64">
        <v>3.916944E7</v>
      </c>
      <c r="L565" s="65" t="s">
        <v>1018</v>
      </c>
      <c r="M565" s="65" t="str">
        <f>VLOOKUP(L565,'Đơn đặt'!$C$3:$E$275,2,0)</f>
        <v>02-11-TS</v>
      </c>
      <c r="N565" s="65" t="str">
        <f>VLOOKUP(L565,'Đơn đặt'!$C$3:$E$275,3,0)</f>
        <v>28-2026/TS-AVP/ĐĐH</v>
      </c>
      <c r="O565" s="66">
        <v>46135.0</v>
      </c>
      <c r="P565" s="67" t="s">
        <v>1078</v>
      </c>
      <c r="Q565" s="68">
        <v>2000.0</v>
      </c>
      <c r="R565" s="76">
        <v>17202.8</v>
      </c>
      <c r="S565" s="77">
        <v>3.44056E7</v>
      </c>
      <c r="T565" s="77">
        <v>2752448.0</v>
      </c>
      <c r="U565" s="60">
        <f t="shared" si="2"/>
        <v>37158048</v>
      </c>
      <c r="V565" s="70"/>
      <c r="W565" s="23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</row>
    <row r="566" ht="25.5" customHeight="1">
      <c r="A566" s="55">
        <v>46135.0</v>
      </c>
      <c r="B566" s="56" t="s">
        <v>744</v>
      </c>
      <c r="C566" s="56" t="s">
        <v>59</v>
      </c>
      <c r="D566" s="58" t="s">
        <v>105</v>
      </c>
      <c r="E566" s="58" t="s">
        <v>70</v>
      </c>
      <c r="F566" s="56" t="s">
        <v>71</v>
      </c>
      <c r="G566" s="60">
        <v>4000.0</v>
      </c>
      <c r="H566" s="62">
        <v>18291.0</v>
      </c>
      <c r="I566" s="64">
        <v>7.3164E7</v>
      </c>
      <c r="J566" s="64">
        <v>5853120.0</v>
      </c>
      <c r="K566" s="64">
        <v>7.901712E7</v>
      </c>
      <c r="L566" s="65" t="s">
        <v>1041</v>
      </c>
      <c r="M566" s="65" t="str">
        <f>VLOOKUP(L566,'Đơn đặt'!$C$3:$E$275,2,0)</f>
        <v>03-12-TS</v>
      </c>
      <c r="N566" s="65" t="str">
        <f>VLOOKUP(L566,'Đơn đặt'!$C$3:$E$275,3,0)</f>
        <v>38-2026/TS-AVP/ĐĐH</v>
      </c>
      <c r="O566" s="66">
        <v>46135.0</v>
      </c>
      <c r="P566" s="93" t="s">
        <v>1079</v>
      </c>
      <c r="Q566" s="90">
        <v>4000.0</v>
      </c>
      <c r="R566" s="76">
        <v>16258.2</v>
      </c>
      <c r="S566" s="60">
        <f>ROUND(Q566*R566,0)</f>
        <v>65032800</v>
      </c>
      <c r="T566" s="64">
        <f>ROUND(S566*0.08,0)</f>
        <v>5202624</v>
      </c>
      <c r="U566" s="60">
        <f t="shared" si="2"/>
        <v>70235424</v>
      </c>
      <c r="V566" s="70"/>
      <c r="W566" s="23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</row>
    <row r="567" ht="25.5" customHeight="1">
      <c r="A567" s="55">
        <v>46135.0</v>
      </c>
      <c r="B567" s="56" t="s">
        <v>780</v>
      </c>
      <c r="C567" s="56" t="s">
        <v>55</v>
      </c>
      <c r="D567" s="58" t="s">
        <v>53</v>
      </c>
      <c r="E567" s="58" t="s">
        <v>70</v>
      </c>
      <c r="F567" s="56" t="s">
        <v>71</v>
      </c>
      <c r="G567" s="60">
        <v>4000.0</v>
      </c>
      <c r="H567" s="62">
        <v>20024.0</v>
      </c>
      <c r="I567" s="64">
        <v>8.0096E7</v>
      </c>
      <c r="J567" s="64">
        <v>6407680.0</v>
      </c>
      <c r="K567" s="64">
        <v>8.650368E7</v>
      </c>
      <c r="L567" s="65" t="s">
        <v>958</v>
      </c>
      <c r="M567" s="65" t="str">
        <f>VLOOKUP(L567,'Đơn đặt'!$C$3:$E$275,2,0)</f>
        <v>03-12-TS</v>
      </c>
      <c r="N567" s="65" t="str">
        <f>VLOOKUP(L567,'Đơn đặt'!$C$3:$E$275,3,0)</f>
        <v>36-2026/TS-AVP/ĐĐH</v>
      </c>
      <c r="O567" s="66">
        <v>46135.0</v>
      </c>
      <c r="P567" s="67" t="s">
        <v>1080</v>
      </c>
      <c r="Q567" s="68">
        <v>4000.0</v>
      </c>
      <c r="R567" s="76">
        <v>16788.8</v>
      </c>
      <c r="S567" s="77">
        <v>6.71552E7</v>
      </c>
      <c r="T567" s="77">
        <v>5372416.0</v>
      </c>
      <c r="U567" s="60">
        <f t="shared" si="2"/>
        <v>72527616</v>
      </c>
      <c r="V567" s="70"/>
      <c r="W567" s="23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</row>
    <row r="568" ht="25.5" customHeight="1">
      <c r="A568" s="55">
        <v>46136.0</v>
      </c>
      <c r="B568" s="56" t="s">
        <v>1081</v>
      </c>
      <c r="C568" s="56" t="s">
        <v>59</v>
      </c>
      <c r="D568" s="58" t="s">
        <v>105</v>
      </c>
      <c r="E568" s="58" t="s">
        <v>70</v>
      </c>
      <c r="F568" s="56" t="s">
        <v>71</v>
      </c>
      <c r="G568" s="60">
        <v>1290.0</v>
      </c>
      <c r="H568" s="62">
        <v>18291.0</v>
      </c>
      <c r="I568" s="64">
        <v>2.359539E7</v>
      </c>
      <c r="J568" s="64">
        <v>1887631.0</v>
      </c>
      <c r="K568" s="64">
        <v>2.5483021E7</v>
      </c>
      <c r="L568" s="65" t="s">
        <v>1041</v>
      </c>
      <c r="M568" s="65" t="str">
        <f>VLOOKUP(L568,'Đơn đặt'!$C$3:$E$275,2,0)</f>
        <v>03-12-TS</v>
      </c>
      <c r="N568" s="65" t="str">
        <f>VLOOKUP(L568,'Đơn đặt'!$C$3:$E$275,3,0)</f>
        <v>38-2026/TS-AVP/ĐĐH</v>
      </c>
      <c r="O568" s="66">
        <v>46136.0</v>
      </c>
      <c r="P568" s="67" t="s">
        <v>1082</v>
      </c>
      <c r="Q568" s="68">
        <v>1290.0</v>
      </c>
      <c r="R568" s="76">
        <v>16258.2</v>
      </c>
      <c r="S568" s="68">
        <v>2.0973078E7</v>
      </c>
      <c r="T568" s="77">
        <v>1677846.0</v>
      </c>
      <c r="U568" s="60">
        <f t="shared" si="2"/>
        <v>22650924</v>
      </c>
      <c r="V568" s="70"/>
      <c r="W568" s="23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</row>
    <row r="569" ht="25.5" customHeight="1">
      <c r="A569" s="55">
        <v>46136.0</v>
      </c>
      <c r="B569" s="56" t="s">
        <v>1083</v>
      </c>
      <c r="C569" s="56" t="s">
        <v>48</v>
      </c>
      <c r="D569" s="58" t="s">
        <v>47</v>
      </c>
      <c r="E569" s="58" t="s">
        <v>70</v>
      </c>
      <c r="F569" s="56" t="s">
        <v>71</v>
      </c>
      <c r="G569" s="60">
        <v>2680.0</v>
      </c>
      <c r="H569" s="62">
        <v>18291.0</v>
      </c>
      <c r="I569" s="64">
        <v>4.901988E7</v>
      </c>
      <c r="J569" s="64">
        <v>3921590.0</v>
      </c>
      <c r="K569" s="64">
        <v>5.294147E7</v>
      </c>
      <c r="L569" s="65" t="s">
        <v>1033</v>
      </c>
      <c r="M569" s="65" t="str">
        <f>VLOOKUP(L569,'Đơn đặt'!$C$3:$E$275,2,0)</f>
        <v>03-12-TS</v>
      </c>
      <c r="N569" s="65" t="str">
        <f>VLOOKUP(L569,'Đơn đặt'!$C$3:$E$275,3,0)</f>
        <v>37-2026/TS-AVP/ĐĐH</v>
      </c>
      <c r="O569" s="66">
        <v>46136.0</v>
      </c>
      <c r="P569" s="67" t="s">
        <v>1084</v>
      </c>
      <c r="Q569" s="68">
        <v>2680.0</v>
      </c>
      <c r="R569" s="68">
        <v>14482.2</v>
      </c>
      <c r="S569" s="68">
        <v>3.8812296E7</v>
      </c>
      <c r="T569" s="68">
        <v>3104984.0</v>
      </c>
      <c r="U569" s="60">
        <f t="shared" si="2"/>
        <v>41917280</v>
      </c>
      <c r="V569" s="70"/>
      <c r="W569" s="23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</row>
    <row r="570" ht="25.5" customHeight="1">
      <c r="A570" s="55">
        <v>46136.0</v>
      </c>
      <c r="B570" s="56" t="s">
        <v>1083</v>
      </c>
      <c r="C570" s="56" t="s">
        <v>50</v>
      </c>
      <c r="D570" s="58" t="s">
        <v>49</v>
      </c>
      <c r="E570" s="58" t="s">
        <v>70</v>
      </c>
      <c r="F570" s="56" t="s">
        <v>71</v>
      </c>
      <c r="G570" s="60">
        <v>3000.0</v>
      </c>
      <c r="H570" s="62">
        <v>18291.0</v>
      </c>
      <c r="I570" s="64">
        <v>5.4873E7</v>
      </c>
      <c r="J570" s="64">
        <v>4389840.0</v>
      </c>
      <c r="K570" s="64">
        <v>5.926284E7</v>
      </c>
      <c r="L570" s="65" t="s">
        <v>773</v>
      </c>
      <c r="M570" s="65" t="str">
        <f>VLOOKUP(L570,'Đơn đặt'!$C$3:$E$275,2,0)</f>
        <v>02-03-TS</v>
      </c>
      <c r="N570" s="65" t="str">
        <f>VLOOKUP(L570,'Đơn đặt'!$C$3:$E$275,3,0)</f>
        <v>22-2026/TS-AVP/ĐĐH</v>
      </c>
      <c r="O570" s="66">
        <v>46136.0</v>
      </c>
      <c r="P570" s="67" t="s">
        <v>1084</v>
      </c>
      <c r="Q570" s="68">
        <v>3000.0</v>
      </c>
      <c r="R570" s="76">
        <v>14482.2</v>
      </c>
      <c r="S570" s="77">
        <v>4.34466E7</v>
      </c>
      <c r="T570" s="77">
        <v>3475728.0</v>
      </c>
      <c r="U570" s="60">
        <f t="shared" si="2"/>
        <v>46922328</v>
      </c>
      <c r="V570" s="70"/>
      <c r="W570" s="23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</row>
    <row r="571" ht="25.5" customHeight="1">
      <c r="A571" s="55">
        <v>46136.0</v>
      </c>
      <c r="B571" s="56" t="s">
        <v>1085</v>
      </c>
      <c r="C571" s="56" t="s">
        <v>48</v>
      </c>
      <c r="D571" s="58" t="s">
        <v>47</v>
      </c>
      <c r="E571" s="58" t="s">
        <v>70</v>
      </c>
      <c r="F571" s="56" t="s">
        <v>71</v>
      </c>
      <c r="G571" s="60">
        <v>5320.0</v>
      </c>
      <c r="H571" s="62">
        <v>18291.0</v>
      </c>
      <c r="I571" s="64">
        <v>9.730812E7</v>
      </c>
      <c r="J571" s="64">
        <v>7784650.0</v>
      </c>
      <c r="K571" s="64">
        <v>1.0509277E8</v>
      </c>
      <c r="L571" s="65" t="s">
        <v>1033</v>
      </c>
      <c r="M571" s="65" t="str">
        <f>VLOOKUP(L571,'Đơn đặt'!$C$3:$E$275,2,0)</f>
        <v>03-12-TS</v>
      </c>
      <c r="N571" s="65" t="str">
        <f>VLOOKUP(L571,'Đơn đặt'!$C$3:$E$275,3,0)</f>
        <v>37-2026/TS-AVP/ĐĐH</v>
      </c>
      <c r="O571" s="66">
        <v>46136.0</v>
      </c>
      <c r="P571" s="67" t="s">
        <v>1086</v>
      </c>
      <c r="Q571" s="68">
        <v>5320.0</v>
      </c>
      <c r="R571" s="68">
        <v>14482.2</v>
      </c>
      <c r="S571" s="68">
        <v>7.7045304E7</v>
      </c>
      <c r="T571" s="68">
        <v>6163624.0</v>
      </c>
      <c r="U571" s="60">
        <f t="shared" si="2"/>
        <v>83208928</v>
      </c>
      <c r="V571" s="70"/>
      <c r="W571" s="23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</row>
    <row r="572" ht="25.5" customHeight="1">
      <c r="A572" s="55">
        <v>46136.0</v>
      </c>
      <c r="B572" s="56" t="s">
        <v>1085</v>
      </c>
      <c r="C572" s="56" t="s">
        <v>309</v>
      </c>
      <c r="D572" s="58" t="s">
        <v>310</v>
      </c>
      <c r="E572" s="58" t="s">
        <v>70</v>
      </c>
      <c r="F572" s="56" t="s">
        <v>71</v>
      </c>
      <c r="G572" s="60">
        <v>300.0</v>
      </c>
      <c r="H572" s="62">
        <v>19016.0</v>
      </c>
      <c r="I572" s="64">
        <v>5704800.0</v>
      </c>
      <c r="J572" s="64">
        <v>456384.0</v>
      </c>
      <c r="K572" s="64">
        <v>6161184.0</v>
      </c>
      <c r="L572" s="65" t="s">
        <v>1087</v>
      </c>
      <c r="M572" s="65" t="str">
        <f>VLOOKUP(L572,'Đơn đặt'!$C$3:$E$275,2,0)</f>
        <v>04-08-TS</v>
      </c>
      <c r="N572" s="65" t="str">
        <f>VLOOKUP(L572,'Đơn đặt'!$C$3:$E$275,3,0)</f>
        <v>48-2026/TS-AVP/ĐĐH</v>
      </c>
      <c r="O572" s="66">
        <v>46136.0</v>
      </c>
      <c r="P572" s="67" t="s">
        <v>1086</v>
      </c>
      <c r="Q572" s="68">
        <v>300.0</v>
      </c>
      <c r="R572" s="76">
        <v>16971.2</v>
      </c>
      <c r="S572" s="77">
        <v>5091360.0</v>
      </c>
      <c r="T572" s="77">
        <v>407309.0</v>
      </c>
      <c r="U572" s="60">
        <f t="shared" si="2"/>
        <v>5498669</v>
      </c>
      <c r="V572" s="70"/>
      <c r="W572" s="23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</row>
    <row r="573" ht="25.5" customHeight="1">
      <c r="A573" s="55">
        <v>46136.0</v>
      </c>
      <c r="B573" s="56" t="s">
        <v>1088</v>
      </c>
      <c r="C573" s="56" t="s">
        <v>59</v>
      </c>
      <c r="D573" s="58" t="s">
        <v>105</v>
      </c>
      <c r="E573" s="58" t="s">
        <v>70</v>
      </c>
      <c r="F573" s="56" t="s">
        <v>71</v>
      </c>
      <c r="G573" s="60">
        <v>3710.0</v>
      </c>
      <c r="H573" s="62">
        <v>18291.0</v>
      </c>
      <c r="I573" s="64">
        <v>6.785961E7</v>
      </c>
      <c r="J573" s="64">
        <v>5428769.0</v>
      </c>
      <c r="K573" s="64">
        <v>7.3288379E7</v>
      </c>
      <c r="L573" s="65" t="s">
        <v>1041</v>
      </c>
      <c r="M573" s="65" t="str">
        <f>VLOOKUP(L573,'Đơn đặt'!$C$3:$E$275,2,0)</f>
        <v>03-12-TS</v>
      </c>
      <c r="N573" s="65" t="str">
        <f>VLOOKUP(L573,'Đơn đặt'!$C$3:$E$275,3,0)</f>
        <v>38-2026/TS-AVP/ĐĐH</v>
      </c>
      <c r="O573" s="66">
        <v>46136.0</v>
      </c>
      <c r="P573" s="67" t="s">
        <v>1089</v>
      </c>
      <c r="Q573" s="68">
        <v>3710.0</v>
      </c>
      <c r="R573" s="76">
        <v>16258.2</v>
      </c>
      <c r="S573" s="68">
        <v>6.0317922E7</v>
      </c>
      <c r="T573" s="77">
        <v>4825434.0</v>
      </c>
      <c r="U573" s="60">
        <f t="shared" si="2"/>
        <v>65143356</v>
      </c>
      <c r="V573" s="70"/>
      <c r="W573" s="23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</row>
    <row r="574" ht="25.5" customHeight="1">
      <c r="A574" s="55">
        <v>46137.0</v>
      </c>
      <c r="B574" s="56" t="s">
        <v>1090</v>
      </c>
      <c r="C574" s="56" t="s">
        <v>419</v>
      </c>
      <c r="D574" s="58" t="s">
        <v>555</v>
      </c>
      <c r="E574" s="58" t="s">
        <v>70</v>
      </c>
      <c r="F574" s="56" t="s">
        <v>71</v>
      </c>
      <c r="G574" s="60">
        <v>695.0</v>
      </c>
      <c r="H574" s="62">
        <v>20024.0</v>
      </c>
      <c r="I574" s="64">
        <v>1.391668E7</v>
      </c>
      <c r="J574" s="64">
        <v>1113334.0</v>
      </c>
      <c r="K574" s="64">
        <v>1.5030014E7</v>
      </c>
      <c r="L574" s="65" t="s">
        <v>1091</v>
      </c>
      <c r="M574" s="65" t="str">
        <f>VLOOKUP(L574,'Đơn đặt'!$C$3:$E$275,2,0)</f>
        <v>04-08-TS</v>
      </c>
      <c r="N574" s="65" t="str">
        <f>VLOOKUP(L574,'Đơn đặt'!$C$3:$E$275,3,0)</f>
        <v>47-2026/TS-AVP/ĐĐH</v>
      </c>
      <c r="O574" s="66">
        <v>46137.0</v>
      </c>
      <c r="P574" s="67" t="s">
        <v>1092</v>
      </c>
      <c r="Q574" s="68">
        <v>695.0</v>
      </c>
      <c r="R574" s="76">
        <v>17900.8</v>
      </c>
      <c r="S574" s="77">
        <v>1.2441056E7</v>
      </c>
      <c r="T574" s="77">
        <v>995284.0</v>
      </c>
      <c r="U574" s="60">
        <f t="shared" si="2"/>
        <v>13436340</v>
      </c>
      <c r="V574" s="70"/>
      <c r="W574" s="23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</row>
    <row r="575" ht="25.5" customHeight="1">
      <c r="A575" s="55">
        <v>46137.0</v>
      </c>
      <c r="B575" s="56" t="s">
        <v>1090</v>
      </c>
      <c r="C575" s="56" t="s">
        <v>29</v>
      </c>
      <c r="D575" s="58" t="s">
        <v>28</v>
      </c>
      <c r="E575" s="58" t="s">
        <v>70</v>
      </c>
      <c r="F575" s="56" t="s">
        <v>71</v>
      </c>
      <c r="G575" s="60">
        <v>250.0</v>
      </c>
      <c r="H575" s="62">
        <v>19152.0</v>
      </c>
      <c r="I575" s="64">
        <v>4788000.0</v>
      </c>
      <c r="J575" s="64">
        <v>383040.0</v>
      </c>
      <c r="K575" s="64">
        <v>5171040.0</v>
      </c>
      <c r="L575" s="65" t="s">
        <v>1093</v>
      </c>
      <c r="M575" s="65" t="str">
        <f>VLOOKUP(L575,'Đơn đặt'!$C$3:$E$275,2,0)</f>
        <v>04-08-TS</v>
      </c>
      <c r="N575" s="65" t="str">
        <f>VLOOKUP(L575,'Đơn đặt'!$C$3:$E$275,3,0)</f>
        <v>47-2026/TS-AVP/ĐĐH</v>
      </c>
      <c r="O575" s="66">
        <v>46137.0</v>
      </c>
      <c r="P575" s="67" t="s">
        <v>1092</v>
      </c>
      <c r="Q575" s="68">
        <v>250.0</v>
      </c>
      <c r="R575" s="76">
        <v>19118.4</v>
      </c>
      <c r="S575" s="77">
        <v>4779600.0</v>
      </c>
      <c r="T575" s="77">
        <v>382368.0</v>
      </c>
      <c r="U575" s="60">
        <f t="shared" si="2"/>
        <v>5161968</v>
      </c>
      <c r="V575" s="70"/>
      <c r="W575" s="23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</row>
    <row r="576" ht="25.5" customHeight="1">
      <c r="A576" s="55">
        <v>46137.0</v>
      </c>
      <c r="B576" s="56" t="s">
        <v>1094</v>
      </c>
      <c r="C576" s="56" t="s">
        <v>119</v>
      </c>
      <c r="D576" s="58" t="s">
        <v>120</v>
      </c>
      <c r="E576" s="58" t="s">
        <v>70</v>
      </c>
      <c r="F576" s="56" t="s">
        <v>71</v>
      </c>
      <c r="G576" s="60">
        <v>2500.0</v>
      </c>
      <c r="H576" s="62">
        <v>19310.0</v>
      </c>
      <c r="I576" s="64">
        <v>4.8275E7</v>
      </c>
      <c r="J576" s="64">
        <v>3862000.0</v>
      </c>
      <c r="K576" s="64">
        <v>5.2137E7</v>
      </c>
      <c r="L576" s="65" t="s">
        <v>1095</v>
      </c>
      <c r="M576" s="65" t="str">
        <f>VLOOKUP(L576,'Đơn đặt'!$C$3:$E$275,2,0)</f>
        <v>02-11-TS</v>
      </c>
      <c r="N576" s="65" t="str">
        <f>VLOOKUP(L576,'Đơn đặt'!$C$3:$E$275,3,0)</f>
        <v>28-2026/TS-AVP/ĐĐH</v>
      </c>
      <c r="O576" s="66">
        <v>46137.0</v>
      </c>
      <c r="P576" s="67" t="s">
        <v>1096</v>
      </c>
      <c r="Q576" s="68">
        <v>2500.0</v>
      </c>
      <c r="R576" s="76">
        <v>17438.0</v>
      </c>
      <c r="S576" s="77">
        <v>4.3595E7</v>
      </c>
      <c r="T576" s="77">
        <v>3487600.0</v>
      </c>
      <c r="U576" s="60">
        <f t="shared" si="2"/>
        <v>47082600</v>
      </c>
      <c r="V576" s="70"/>
      <c r="W576" s="23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</row>
    <row r="577" ht="25.5" customHeight="1">
      <c r="A577" s="55">
        <v>46137.0</v>
      </c>
      <c r="B577" s="56" t="s">
        <v>1094</v>
      </c>
      <c r="C577" s="56" t="s">
        <v>14</v>
      </c>
      <c r="D577" s="58" t="s">
        <v>13</v>
      </c>
      <c r="E577" s="58" t="s">
        <v>70</v>
      </c>
      <c r="F577" s="56" t="s">
        <v>71</v>
      </c>
      <c r="G577" s="60">
        <v>1500.0</v>
      </c>
      <c r="H577" s="62">
        <v>19404.0</v>
      </c>
      <c r="I577" s="64">
        <v>2.9106E7</v>
      </c>
      <c r="J577" s="64">
        <v>2328480.0</v>
      </c>
      <c r="K577" s="64">
        <v>3.143448E7</v>
      </c>
      <c r="L577" s="65" t="s">
        <v>1069</v>
      </c>
      <c r="M577" s="65" t="str">
        <f>VLOOKUP(L577,'Đơn đặt'!$C$3:$E$275,2,0)</f>
        <v>03-12-TS</v>
      </c>
      <c r="N577" s="65" t="str">
        <f>VLOOKUP(L577,'Đơn đặt'!$C$3:$E$275,3,0)</f>
        <v>38-2026/TS-AVP/ĐĐH</v>
      </c>
      <c r="O577" s="66">
        <v>46137.0</v>
      </c>
      <c r="P577" s="67" t="s">
        <v>1096</v>
      </c>
      <c r="Q577" s="68">
        <v>1500.0</v>
      </c>
      <c r="R577" s="76">
        <v>17776.8</v>
      </c>
      <c r="S577" s="77">
        <v>2.66652E7</v>
      </c>
      <c r="T577" s="77">
        <v>2133216.0</v>
      </c>
      <c r="U577" s="60">
        <f t="shared" si="2"/>
        <v>28798416</v>
      </c>
      <c r="V577" s="70"/>
      <c r="W577" s="23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</row>
    <row r="578" ht="25.5" customHeight="1">
      <c r="A578" s="55">
        <v>46137.0</v>
      </c>
      <c r="B578" s="56" t="s">
        <v>1097</v>
      </c>
      <c r="C578" s="56" t="s">
        <v>14</v>
      </c>
      <c r="D578" s="58" t="s">
        <v>13</v>
      </c>
      <c r="E578" s="58" t="s">
        <v>70</v>
      </c>
      <c r="F578" s="56" t="s">
        <v>71</v>
      </c>
      <c r="G578" s="60">
        <v>3500.0</v>
      </c>
      <c r="H578" s="62">
        <v>19404.0</v>
      </c>
      <c r="I578" s="64">
        <v>6.7914E7</v>
      </c>
      <c r="J578" s="64">
        <v>5433120.0</v>
      </c>
      <c r="K578" s="64">
        <v>7.334712E7</v>
      </c>
      <c r="L578" s="65" t="s">
        <v>1069</v>
      </c>
      <c r="M578" s="65" t="str">
        <f>VLOOKUP(L578,'Đơn đặt'!$C$3:$E$275,2,0)</f>
        <v>03-12-TS</v>
      </c>
      <c r="N578" s="65" t="str">
        <f>VLOOKUP(L578,'Đơn đặt'!$C$3:$E$275,3,0)</f>
        <v>38-2026/TS-AVP/ĐĐH</v>
      </c>
      <c r="O578" s="66">
        <v>46137.0</v>
      </c>
      <c r="P578" s="67" t="s">
        <v>1098</v>
      </c>
      <c r="Q578" s="68">
        <v>3500.0</v>
      </c>
      <c r="R578" s="76">
        <v>17776.8</v>
      </c>
      <c r="S578" s="77">
        <v>6.22188E7</v>
      </c>
      <c r="T578" s="77">
        <v>4977504.0</v>
      </c>
      <c r="U578" s="60">
        <f t="shared" si="2"/>
        <v>67196304</v>
      </c>
      <c r="V578" s="70"/>
      <c r="W578" s="23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</row>
    <row r="579" ht="25.5" customHeight="1">
      <c r="A579" s="55">
        <v>46137.0</v>
      </c>
      <c r="B579" s="56" t="s">
        <v>1099</v>
      </c>
      <c r="C579" s="56" t="s">
        <v>29</v>
      </c>
      <c r="D579" s="58" t="s">
        <v>28</v>
      </c>
      <c r="E579" s="58" t="s">
        <v>70</v>
      </c>
      <c r="F579" s="56" t="s">
        <v>71</v>
      </c>
      <c r="G579" s="60">
        <v>1000.0</v>
      </c>
      <c r="H579" s="62">
        <v>19152.0</v>
      </c>
      <c r="I579" s="64">
        <v>1.9152E7</v>
      </c>
      <c r="J579" s="64">
        <v>1532160.0</v>
      </c>
      <c r="K579" s="64">
        <v>2.068416E7</v>
      </c>
      <c r="L579" s="65" t="s">
        <v>1093</v>
      </c>
      <c r="M579" s="65" t="str">
        <f>VLOOKUP(L579,'Đơn đặt'!$C$3:$E$275,2,0)</f>
        <v>04-08-TS</v>
      </c>
      <c r="N579" s="65" t="str">
        <f>VLOOKUP(L579,'Đơn đặt'!$C$3:$E$275,3,0)</f>
        <v>47-2026/TS-AVP/ĐĐH</v>
      </c>
      <c r="O579" s="66">
        <v>46137.0</v>
      </c>
      <c r="P579" s="67" t="s">
        <v>1100</v>
      </c>
      <c r="Q579" s="68">
        <v>1000.0</v>
      </c>
      <c r="R579" s="76">
        <v>19118.4</v>
      </c>
      <c r="S579" s="77">
        <v>1.91184E7</v>
      </c>
      <c r="T579" s="77">
        <v>1529472.0</v>
      </c>
      <c r="U579" s="60">
        <f t="shared" si="2"/>
        <v>20647872</v>
      </c>
      <c r="V579" s="70"/>
      <c r="W579" s="23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</row>
    <row r="580" ht="25.5" customHeight="1">
      <c r="A580" s="55">
        <v>46140.0</v>
      </c>
      <c r="B580" s="56" t="s">
        <v>1101</v>
      </c>
      <c r="C580" s="56" t="s">
        <v>14</v>
      </c>
      <c r="D580" s="58" t="s">
        <v>13</v>
      </c>
      <c r="E580" s="58" t="s">
        <v>70</v>
      </c>
      <c r="F580" s="56" t="s">
        <v>71</v>
      </c>
      <c r="G580" s="60">
        <v>2000.0</v>
      </c>
      <c r="H580" s="62">
        <v>19404.0</v>
      </c>
      <c r="I580" s="64">
        <v>3.8808E7</v>
      </c>
      <c r="J580" s="64">
        <v>3104640.0</v>
      </c>
      <c r="K580" s="64">
        <v>4.191264E7</v>
      </c>
      <c r="L580" s="65" t="s">
        <v>1069</v>
      </c>
      <c r="M580" s="65" t="str">
        <f>VLOOKUP(L580,'Đơn đặt'!$C$3:$E$275,2,0)</f>
        <v>03-12-TS</v>
      </c>
      <c r="N580" s="65" t="str">
        <f>VLOOKUP(L580,'Đơn đặt'!$C$3:$E$275,3,0)</f>
        <v>38-2026/TS-AVP/ĐĐH</v>
      </c>
      <c r="O580" s="66">
        <v>46140.0</v>
      </c>
      <c r="P580" s="67" t="s">
        <v>1102</v>
      </c>
      <c r="Q580" s="68">
        <v>2000.0</v>
      </c>
      <c r="R580" s="76">
        <v>17776.8</v>
      </c>
      <c r="S580" s="77">
        <v>3.55536E7</v>
      </c>
      <c r="T580" s="77">
        <v>2844288.0</v>
      </c>
      <c r="U580" s="60">
        <f t="shared" si="2"/>
        <v>38397888</v>
      </c>
      <c r="V580" s="70"/>
      <c r="W580" s="23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</row>
    <row r="581" ht="25.5" customHeight="1">
      <c r="A581" s="55">
        <v>46140.0</v>
      </c>
      <c r="B581" s="56" t="s">
        <v>1101</v>
      </c>
      <c r="C581" s="56" t="s">
        <v>206</v>
      </c>
      <c r="D581" s="58" t="s">
        <v>207</v>
      </c>
      <c r="E581" s="58" t="s">
        <v>70</v>
      </c>
      <c r="F581" s="56" t="s">
        <v>71</v>
      </c>
      <c r="G581" s="60">
        <v>2760.0</v>
      </c>
      <c r="H581" s="62">
        <v>18134.0</v>
      </c>
      <c r="I581" s="64">
        <v>5.004984E7</v>
      </c>
      <c r="J581" s="64">
        <v>4003987.0</v>
      </c>
      <c r="K581" s="64">
        <v>5.4053827E7</v>
      </c>
      <c r="L581" s="65" t="s">
        <v>1018</v>
      </c>
      <c r="M581" s="65" t="str">
        <f>VLOOKUP(L581,'Đơn đặt'!$C$3:$E$275,2,0)</f>
        <v>02-11-TS</v>
      </c>
      <c r="N581" s="65" t="str">
        <f>VLOOKUP(L581,'Đơn đặt'!$C$3:$E$275,3,0)</f>
        <v>28-2026/TS-AVP/ĐĐH</v>
      </c>
      <c r="O581" s="66">
        <v>46140.0</v>
      </c>
      <c r="P581" s="67" t="s">
        <v>1102</v>
      </c>
      <c r="Q581" s="68">
        <v>2760.0</v>
      </c>
      <c r="R581" s="76">
        <v>17202.8</v>
      </c>
      <c r="S581" s="77">
        <v>4.7479728E7</v>
      </c>
      <c r="T581" s="77">
        <v>3798378.0</v>
      </c>
      <c r="U581" s="60">
        <f t="shared" si="2"/>
        <v>51278106</v>
      </c>
      <c r="V581" s="70"/>
      <c r="W581" s="23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</row>
    <row r="582" ht="25.5" customHeight="1">
      <c r="A582" s="55">
        <v>46140.0</v>
      </c>
      <c r="B582" s="56" t="s">
        <v>1103</v>
      </c>
      <c r="C582" s="56" t="s">
        <v>48</v>
      </c>
      <c r="D582" s="58" t="s">
        <v>47</v>
      </c>
      <c r="E582" s="58" t="s">
        <v>70</v>
      </c>
      <c r="F582" s="56" t="s">
        <v>71</v>
      </c>
      <c r="G582" s="60">
        <v>3000.0</v>
      </c>
      <c r="H582" s="62">
        <v>18291.0</v>
      </c>
      <c r="I582" s="64">
        <v>5.4873E7</v>
      </c>
      <c r="J582" s="64">
        <v>4389840.0</v>
      </c>
      <c r="K582" s="64">
        <v>5.926284E7</v>
      </c>
      <c r="L582" s="65" t="s">
        <v>771</v>
      </c>
      <c r="M582" s="65" t="str">
        <f>VLOOKUP(L582,'Đơn đặt'!$C$3:$E$275,2,0)</f>
        <v>02-03-TS</v>
      </c>
      <c r="N582" s="65" t="str">
        <f>VLOOKUP(L582,'Đơn đặt'!$C$3:$E$275,3,0)</f>
        <v>22-2026/TS-AVP/ĐĐH</v>
      </c>
      <c r="O582" s="66">
        <v>46140.0</v>
      </c>
      <c r="P582" s="67" t="s">
        <v>1104</v>
      </c>
      <c r="Q582" s="68">
        <v>3000.0</v>
      </c>
      <c r="R582" s="68">
        <v>14482.2</v>
      </c>
      <c r="S582" s="68">
        <v>4.34466E7</v>
      </c>
      <c r="T582" s="68">
        <v>3475728.0</v>
      </c>
      <c r="U582" s="60">
        <f t="shared" si="2"/>
        <v>46922328</v>
      </c>
      <c r="V582" s="70"/>
      <c r="W582" s="23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</row>
    <row r="583" ht="25.5" customHeight="1">
      <c r="A583" s="55">
        <v>46140.0</v>
      </c>
      <c r="B583" s="56" t="s">
        <v>1103</v>
      </c>
      <c r="C583" s="56" t="s">
        <v>309</v>
      </c>
      <c r="D583" s="58" t="s">
        <v>310</v>
      </c>
      <c r="E583" s="58" t="s">
        <v>70</v>
      </c>
      <c r="F583" s="56" t="s">
        <v>71</v>
      </c>
      <c r="G583" s="60">
        <v>130.0</v>
      </c>
      <c r="H583" s="62">
        <v>19016.0</v>
      </c>
      <c r="I583" s="64">
        <v>2472080.0</v>
      </c>
      <c r="J583" s="64">
        <v>197766.0</v>
      </c>
      <c r="K583" s="64">
        <v>2669846.0</v>
      </c>
      <c r="L583" s="65" t="s">
        <v>1087</v>
      </c>
      <c r="M583" s="65" t="str">
        <f>VLOOKUP(L583,'Đơn đặt'!$C$3:$E$275,2,0)</f>
        <v>04-08-TS</v>
      </c>
      <c r="N583" s="65" t="str">
        <f>VLOOKUP(L583,'Đơn đặt'!$C$3:$E$275,3,0)</f>
        <v>48-2026/TS-AVP/ĐĐH</v>
      </c>
      <c r="O583" s="66">
        <v>46140.0</v>
      </c>
      <c r="P583" s="67" t="s">
        <v>1104</v>
      </c>
      <c r="Q583" s="68">
        <v>130.0</v>
      </c>
      <c r="R583" s="76">
        <v>16971.2</v>
      </c>
      <c r="S583" s="77">
        <v>2206256.0</v>
      </c>
      <c r="T583" s="77">
        <v>176500.0</v>
      </c>
      <c r="U583" s="60">
        <f t="shared" si="2"/>
        <v>2382756</v>
      </c>
      <c r="V583" s="70"/>
      <c r="W583" s="23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</row>
    <row r="584" ht="25.5" customHeight="1">
      <c r="A584" s="55">
        <v>46140.0</v>
      </c>
      <c r="B584" s="56" t="s">
        <v>754</v>
      </c>
      <c r="C584" s="56" t="s">
        <v>48</v>
      </c>
      <c r="D584" s="58" t="s">
        <v>47</v>
      </c>
      <c r="E584" s="58" t="s">
        <v>70</v>
      </c>
      <c r="F584" s="56" t="s">
        <v>71</v>
      </c>
      <c r="G584" s="60">
        <v>2050.0</v>
      </c>
      <c r="H584" s="62">
        <v>18291.0</v>
      </c>
      <c r="I584" s="64">
        <v>3.749655E7</v>
      </c>
      <c r="J584" s="64">
        <v>2999724.0</v>
      </c>
      <c r="K584" s="64">
        <v>4.0496274E7</v>
      </c>
      <c r="L584" s="65" t="s">
        <v>1033</v>
      </c>
      <c r="M584" s="65" t="str">
        <f>VLOOKUP(L584,'Đơn đặt'!$C$3:$E$275,2,0)</f>
        <v>03-12-TS</v>
      </c>
      <c r="N584" s="65" t="str">
        <f>VLOOKUP(L584,'Đơn đặt'!$C$3:$E$275,3,0)</f>
        <v>37-2026/TS-AVP/ĐĐH</v>
      </c>
      <c r="O584" s="66">
        <v>46140.0</v>
      </c>
      <c r="P584" s="93" t="s">
        <v>1105</v>
      </c>
      <c r="Q584" s="68">
        <v>2050.0</v>
      </c>
      <c r="R584" s="68">
        <v>14482.2</v>
      </c>
      <c r="S584" s="60">
        <f>ROUND(Q584*R584,0)</f>
        <v>29688510</v>
      </c>
      <c r="T584" s="60">
        <f>ROUND(S584*0.08,0)</f>
        <v>2375081</v>
      </c>
      <c r="U584" s="60">
        <f t="shared" si="2"/>
        <v>32063591</v>
      </c>
      <c r="V584" s="70"/>
      <c r="W584" s="23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</row>
    <row r="585" ht="25.5" customHeight="1">
      <c r="A585" s="55">
        <v>46140.0</v>
      </c>
      <c r="B585" s="56" t="s">
        <v>754</v>
      </c>
      <c r="C585" s="56" t="s">
        <v>50</v>
      </c>
      <c r="D585" s="58" t="s">
        <v>49</v>
      </c>
      <c r="E585" s="58" t="s">
        <v>70</v>
      </c>
      <c r="F585" s="56" t="s">
        <v>71</v>
      </c>
      <c r="G585" s="60">
        <v>2000.0</v>
      </c>
      <c r="H585" s="62">
        <v>18291.0</v>
      </c>
      <c r="I585" s="64">
        <v>3.6582E7</v>
      </c>
      <c r="J585" s="64">
        <v>2926560.0</v>
      </c>
      <c r="K585" s="64">
        <v>3.950856E7</v>
      </c>
      <c r="L585" s="65" t="s">
        <v>773</v>
      </c>
      <c r="M585" s="65" t="str">
        <f>VLOOKUP(L585,'Đơn đặt'!$C$3:$E$275,2,0)</f>
        <v>02-03-TS</v>
      </c>
      <c r="N585" s="65" t="str">
        <f>VLOOKUP(L585,'Đơn đặt'!$C$3:$E$275,3,0)</f>
        <v>22-2026/TS-AVP/ĐĐH</v>
      </c>
      <c r="O585" s="66">
        <v>46140.0</v>
      </c>
      <c r="P585" s="67" t="s">
        <v>1106</v>
      </c>
      <c r="Q585" s="68">
        <v>2000.0</v>
      </c>
      <c r="R585" s="76">
        <v>14482.2</v>
      </c>
      <c r="S585" s="77">
        <v>2.89644E7</v>
      </c>
      <c r="T585" s="77">
        <v>2317152.0</v>
      </c>
      <c r="U585" s="60">
        <f t="shared" si="2"/>
        <v>31281552</v>
      </c>
      <c r="V585" s="70"/>
      <c r="W585" s="23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</row>
    <row r="586" ht="25.5" customHeight="1">
      <c r="A586" s="55">
        <v>46140.0</v>
      </c>
      <c r="B586" s="56" t="s">
        <v>757</v>
      </c>
      <c r="C586" s="56" t="s">
        <v>59</v>
      </c>
      <c r="D586" s="58" t="s">
        <v>105</v>
      </c>
      <c r="E586" s="58" t="s">
        <v>70</v>
      </c>
      <c r="F586" s="56" t="s">
        <v>71</v>
      </c>
      <c r="G586" s="60">
        <v>1000.0</v>
      </c>
      <c r="H586" s="62">
        <v>18291.0</v>
      </c>
      <c r="I586" s="64">
        <v>1.8291E7</v>
      </c>
      <c r="J586" s="64">
        <v>1463280.0</v>
      </c>
      <c r="K586" s="64">
        <v>1.975428E7</v>
      </c>
      <c r="L586" s="65" t="s">
        <v>1041</v>
      </c>
      <c r="M586" s="65" t="str">
        <f>VLOOKUP(L586,'Đơn đặt'!$C$3:$E$275,2,0)</f>
        <v>03-12-TS</v>
      </c>
      <c r="N586" s="65" t="str">
        <f>VLOOKUP(L586,'Đơn đặt'!$C$3:$E$275,3,0)</f>
        <v>38-2026/TS-AVP/ĐĐH</v>
      </c>
      <c r="O586" s="66">
        <v>46140.0</v>
      </c>
      <c r="P586" s="67" t="s">
        <v>1107</v>
      </c>
      <c r="Q586" s="68">
        <v>1000.0</v>
      </c>
      <c r="R586" s="76">
        <v>16258.2</v>
      </c>
      <c r="S586" s="68">
        <v>1.62582E7</v>
      </c>
      <c r="T586" s="77">
        <v>1300656.0</v>
      </c>
      <c r="U586" s="60">
        <f t="shared" si="2"/>
        <v>17558856</v>
      </c>
      <c r="V586" s="70"/>
      <c r="W586" s="23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</row>
    <row r="587" ht="25.5" customHeight="1">
      <c r="A587" s="55">
        <v>46140.0</v>
      </c>
      <c r="B587" s="56" t="s">
        <v>757</v>
      </c>
      <c r="C587" s="56" t="s">
        <v>206</v>
      </c>
      <c r="D587" s="58" t="s">
        <v>207</v>
      </c>
      <c r="E587" s="58" t="s">
        <v>70</v>
      </c>
      <c r="F587" s="56" t="s">
        <v>71</v>
      </c>
      <c r="G587" s="60">
        <v>240.0</v>
      </c>
      <c r="H587" s="62">
        <v>18134.0</v>
      </c>
      <c r="I587" s="64">
        <v>4352160.0</v>
      </c>
      <c r="J587" s="64">
        <v>348173.0</v>
      </c>
      <c r="K587" s="64">
        <v>4700333.0</v>
      </c>
      <c r="L587" s="65" t="s">
        <v>1018</v>
      </c>
      <c r="M587" s="65" t="str">
        <f>VLOOKUP(L587,'Đơn đặt'!$C$3:$E$275,2,0)</f>
        <v>02-11-TS</v>
      </c>
      <c r="N587" s="65" t="str">
        <f>VLOOKUP(L587,'Đơn đặt'!$C$3:$E$275,3,0)</f>
        <v>28-2026/TS-AVP/ĐĐH</v>
      </c>
      <c r="O587" s="66">
        <v>46140.0</v>
      </c>
      <c r="P587" s="67" t="s">
        <v>1107</v>
      </c>
      <c r="Q587" s="68">
        <v>240.0</v>
      </c>
      <c r="R587" s="76">
        <v>17202.8</v>
      </c>
      <c r="S587" s="77">
        <v>4128672.0</v>
      </c>
      <c r="T587" s="77">
        <v>330294.0</v>
      </c>
      <c r="U587" s="60">
        <f t="shared" si="2"/>
        <v>4458966</v>
      </c>
      <c r="V587" s="70"/>
      <c r="W587" s="23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</row>
    <row r="588" ht="25.5" customHeight="1">
      <c r="A588" s="55">
        <v>46140.0</v>
      </c>
      <c r="B588" s="56" t="s">
        <v>757</v>
      </c>
      <c r="C588" s="56" t="s">
        <v>419</v>
      </c>
      <c r="D588" s="58" t="s">
        <v>555</v>
      </c>
      <c r="E588" s="58" t="s">
        <v>70</v>
      </c>
      <c r="F588" s="56" t="s">
        <v>71</v>
      </c>
      <c r="G588" s="60">
        <v>55.0</v>
      </c>
      <c r="H588" s="62">
        <v>20024.0</v>
      </c>
      <c r="I588" s="64">
        <v>1101320.0</v>
      </c>
      <c r="J588" s="64">
        <v>88105.0</v>
      </c>
      <c r="K588" s="64">
        <v>1189425.0</v>
      </c>
      <c r="L588" s="65" t="s">
        <v>1091</v>
      </c>
      <c r="M588" s="65" t="str">
        <f>VLOOKUP(L588,'Đơn đặt'!$C$3:$E$275,2,0)</f>
        <v>04-08-TS</v>
      </c>
      <c r="N588" s="65" t="str">
        <f>VLOOKUP(L588,'Đơn đặt'!$C$3:$E$275,3,0)</f>
        <v>47-2026/TS-AVP/ĐĐH</v>
      </c>
      <c r="O588" s="66">
        <v>46140.0</v>
      </c>
      <c r="P588" s="67" t="s">
        <v>1107</v>
      </c>
      <c r="Q588" s="68">
        <v>55.0</v>
      </c>
      <c r="R588" s="76">
        <v>17900.8</v>
      </c>
      <c r="S588" s="77">
        <v>984544.0</v>
      </c>
      <c r="T588" s="77">
        <v>78763.0</v>
      </c>
      <c r="U588" s="60">
        <f t="shared" si="2"/>
        <v>1063307</v>
      </c>
      <c r="V588" s="70"/>
      <c r="W588" s="23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</row>
    <row r="589" ht="25.5" customHeight="1">
      <c r="A589" s="55">
        <v>46140.0</v>
      </c>
      <c r="B589" s="56" t="s">
        <v>761</v>
      </c>
      <c r="C589" s="56" t="s">
        <v>48</v>
      </c>
      <c r="D589" s="58" t="s">
        <v>47</v>
      </c>
      <c r="E589" s="58" t="s">
        <v>70</v>
      </c>
      <c r="F589" s="56" t="s">
        <v>71</v>
      </c>
      <c r="G589" s="60">
        <v>2950.0</v>
      </c>
      <c r="H589" s="62">
        <v>18291.0</v>
      </c>
      <c r="I589" s="64">
        <v>5.395845E7</v>
      </c>
      <c r="J589" s="64">
        <v>4316676.0</v>
      </c>
      <c r="K589" s="64">
        <v>5.8275126E7</v>
      </c>
      <c r="L589" s="65" t="s">
        <v>1033</v>
      </c>
      <c r="M589" s="65" t="str">
        <f>VLOOKUP(L589,'Đơn đặt'!$C$3:$E$275,2,0)</f>
        <v>03-12-TS</v>
      </c>
      <c r="N589" s="65" t="str">
        <f>VLOOKUP(L589,'Đơn đặt'!$C$3:$E$275,3,0)</f>
        <v>37-2026/TS-AVP/ĐĐH</v>
      </c>
      <c r="O589" s="66">
        <v>46140.0</v>
      </c>
      <c r="P589" s="67" t="s">
        <v>1108</v>
      </c>
      <c r="Q589" s="68">
        <v>2950.0</v>
      </c>
      <c r="R589" s="68">
        <v>14482.2</v>
      </c>
      <c r="S589" s="68">
        <v>4.272249E7</v>
      </c>
      <c r="T589" s="68">
        <v>3417799.0</v>
      </c>
      <c r="U589" s="60">
        <f t="shared" si="2"/>
        <v>46140289</v>
      </c>
      <c r="V589" s="70"/>
      <c r="W589" s="23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</row>
    <row r="590" ht="25.5" customHeight="1">
      <c r="A590" s="55">
        <v>46140.0</v>
      </c>
      <c r="B590" s="56" t="s">
        <v>751</v>
      </c>
      <c r="C590" s="56" t="s">
        <v>59</v>
      </c>
      <c r="D590" s="58" t="s">
        <v>105</v>
      </c>
      <c r="E590" s="58" t="s">
        <v>70</v>
      </c>
      <c r="F590" s="56" t="s">
        <v>71</v>
      </c>
      <c r="G590" s="60">
        <v>3000.0</v>
      </c>
      <c r="H590" s="62">
        <v>18291.0</v>
      </c>
      <c r="I590" s="64">
        <v>5.4873E7</v>
      </c>
      <c r="J590" s="64">
        <v>4389840.0</v>
      </c>
      <c r="K590" s="64">
        <v>5.926284E7</v>
      </c>
      <c r="L590" s="65" t="s">
        <v>1041</v>
      </c>
      <c r="M590" s="65" t="str">
        <f>VLOOKUP(L590,'Đơn đặt'!$C$3:$E$275,2,0)</f>
        <v>03-12-TS</v>
      </c>
      <c r="N590" s="65" t="str">
        <f>VLOOKUP(L590,'Đơn đặt'!$C$3:$E$275,3,0)</f>
        <v>38-2026/TS-AVP/ĐĐH</v>
      </c>
      <c r="O590" s="66">
        <v>46140.0</v>
      </c>
      <c r="P590" s="67" t="s">
        <v>1109</v>
      </c>
      <c r="Q590" s="68">
        <v>3000.0</v>
      </c>
      <c r="R590" s="76">
        <v>16258.2</v>
      </c>
      <c r="S590" s="68">
        <v>4.87746E7</v>
      </c>
      <c r="T590" s="77">
        <v>3901968.0</v>
      </c>
      <c r="U590" s="60">
        <f t="shared" si="2"/>
        <v>52676568</v>
      </c>
      <c r="V590" s="70"/>
      <c r="W590" s="23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</row>
    <row r="591" ht="25.5" customHeight="1">
      <c r="A591" s="55">
        <v>46140.0</v>
      </c>
      <c r="B591" s="56" t="s">
        <v>751</v>
      </c>
      <c r="C591" s="56" t="s">
        <v>414</v>
      </c>
      <c r="D591" s="58" t="s">
        <v>415</v>
      </c>
      <c r="E591" s="58" t="s">
        <v>70</v>
      </c>
      <c r="F591" s="56" t="s">
        <v>71</v>
      </c>
      <c r="G591" s="60">
        <v>600.0</v>
      </c>
      <c r="H591" s="62">
        <v>20202.0</v>
      </c>
      <c r="I591" s="64">
        <v>1.21212E7</v>
      </c>
      <c r="J591" s="64">
        <v>969696.0</v>
      </c>
      <c r="K591" s="64">
        <v>1.3090896E7</v>
      </c>
      <c r="L591" s="65" t="s">
        <v>1110</v>
      </c>
      <c r="M591" s="65" t="str">
        <f>VLOOKUP(L591,'Đơn đặt'!$C$3:$E$275,2,0)</f>
        <v>04-08-TS</v>
      </c>
      <c r="N591" s="65" t="str">
        <f>VLOOKUP(L591,'Đơn đặt'!$C$3:$E$275,3,0)</f>
        <v>47-2026/TS-AVP/ĐĐH</v>
      </c>
      <c r="O591" s="66">
        <v>46140.0</v>
      </c>
      <c r="P591" s="67" t="s">
        <v>1109</v>
      </c>
      <c r="Q591" s="68">
        <v>600.0</v>
      </c>
      <c r="R591" s="76">
        <v>17936.4</v>
      </c>
      <c r="S591" s="77">
        <v>1.076184E7</v>
      </c>
      <c r="T591" s="77">
        <v>860947.0</v>
      </c>
      <c r="U591" s="60">
        <f t="shared" si="2"/>
        <v>11622787</v>
      </c>
      <c r="V591" s="70"/>
      <c r="W591" s="23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</row>
    <row r="592" ht="25.5" customHeight="1">
      <c r="A592" s="78">
        <v>46141.0</v>
      </c>
      <c r="B592" s="79" t="s">
        <v>1111</v>
      </c>
      <c r="C592" s="56" t="s">
        <v>125</v>
      </c>
      <c r="D592" s="80" t="s">
        <v>126</v>
      </c>
      <c r="E592" s="58" t="s">
        <v>242</v>
      </c>
      <c r="F592" s="56" t="s">
        <v>112</v>
      </c>
      <c r="G592" s="81">
        <v>7341.6</v>
      </c>
      <c r="H592" s="62">
        <v>30400.0</v>
      </c>
      <c r="I592" s="64">
        <v>2.2318464E8</v>
      </c>
      <c r="J592" s="64">
        <v>1.7854771E7</v>
      </c>
      <c r="K592" s="64">
        <v>2.41039411E8</v>
      </c>
      <c r="L592" s="91" t="s">
        <v>1112</v>
      </c>
      <c r="M592" s="65" t="str">
        <f>VLOOKUP(L592,'Đơn đặt'!$C$3:$E$275,2,0)</f>
        <v>04/TS/26</v>
      </c>
      <c r="N592" s="65" t="str">
        <f>VLOOKUP(L592,'Đơn đặt'!$C$3:$E$275,3,0)</f>
        <v>Hàng SX</v>
      </c>
      <c r="O592" s="78" t="s">
        <v>98</v>
      </c>
      <c r="P592" s="92"/>
      <c r="Q592" s="81">
        <f>G592</f>
        <v>7341.6</v>
      </c>
      <c r="R592" s="92"/>
      <c r="S592" s="83">
        <f>ROUND(Q592*R592,0)</f>
        <v>0</v>
      </c>
      <c r="T592" s="83">
        <f>ROUND(S592*0.08,0)</f>
        <v>0</v>
      </c>
      <c r="U592" s="81">
        <f t="shared" si="2"/>
        <v>0</v>
      </c>
      <c r="V592" s="70"/>
      <c r="W592" s="23"/>
      <c r="X592" s="69"/>
      <c r="Y592" s="69"/>
      <c r="Z592" s="69"/>
      <c r="AA592" s="69"/>
      <c r="AB592" s="69"/>
      <c r="AC592" s="69"/>
      <c r="AD592" s="69"/>
      <c r="AE592" s="69"/>
      <c r="AF592" s="69"/>
      <c r="AG592" s="69"/>
      <c r="AH592" s="69"/>
      <c r="AI592" s="69"/>
      <c r="AJ592" s="69"/>
      <c r="AK592" s="69"/>
      <c r="AL592" s="69"/>
      <c r="AM592" s="69"/>
      <c r="AN592" s="69"/>
      <c r="AO592" s="69"/>
    </row>
    <row r="593" ht="25.5" customHeight="1">
      <c r="A593" s="55">
        <v>46141.0</v>
      </c>
      <c r="B593" s="56" t="s">
        <v>1113</v>
      </c>
      <c r="C593" s="56" t="s">
        <v>88</v>
      </c>
      <c r="D593" s="58" t="s">
        <v>89</v>
      </c>
      <c r="E593" s="58" t="s">
        <v>776</v>
      </c>
      <c r="F593" s="56" t="s">
        <v>500</v>
      </c>
      <c r="G593" s="60">
        <v>9000.0</v>
      </c>
      <c r="H593" s="62">
        <v>235.0</v>
      </c>
      <c r="I593" s="64">
        <v>2115000.0</v>
      </c>
      <c r="J593" s="64">
        <v>169200.0</v>
      </c>
      <c r="K593" s="64">
        <v>2284200.0</v>
      </c>
      <c r="L593" s="91" t="s">
        <v>1043</v>
      </c>
      <c r="M593" s="65" t="str">
        <f>VLOOKUP(L593,'Đơn đặt'!$C$3:$E$275,2,0)</f>
        <v>232a</v>
      </c>
      <c r="N593" s="65" t="str">
        <f>VLOOKUP(L593,'Đơn đặt'!$C$3:$E$275,3,0)</f>
        <v>26/TB/02</v>
      </c>
      <c r="O593" s="66">
        <v>46141.0</v>
      </c>
      <c r="P593" s="67" t="s">
        <v>1114</v>
      </c>
      <c r="Q593" s="68">
        <v>9000.0</v>
      </c>
      <c r="R593" s="76">
        <v>212.44</v>
      </c>
      <c r="S593" s="77">
        <v>1911960.0</v>
      </c>
      <c r="T593" s="77">
        <v>152957.0</v>
      </c>
      <c r="U593" s="60">
        <f t="shared" si="2"/>
        <v>2064917</v>
      </c>
      <c r="V593" s="70"/>
      <c r="W593" s="23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</row>
    <row r="594" ht="25.5" customHeight="1">
      <c r="A594" s="55">
        <v>46141.0</v>
      </c>
      <c r="B594" s="56" t="s">
        <v>1115</v>
      </c>
      <c r="C594" s="56" t="s">
        <v>59</v>
      </c>
      <c r="D594" s="58" t="s">
        <v>105</v>
      </c>
      <c r="E594" s="58" t="s">
        <v>70</v>
      </c>
      <c r="F594" s="56" t="s">
        <v>71</v>
      </c>
      <c r="G594" s="60">
        <v>4000.0</v>
      </c>
      <c r="H594" s="62">
        <v>18291.0</v>
      </c>
      <c r="I594" s="64">
        <v>7.3164E7</v>
      </c>
      <c r="J594" s="64">
        <v>5853120.0</v>
      </c>
      <c r="K594" s="64">
        <v>7.901712E7</v>
      </c>
      <c r="L594" s="65" t="s">
        <v>1041</v>
      </c>
      <c r="M594" s="65" t="str">
        <f>VLOOKUP(L594,'Đơn đặt'!$C$3:$E$275,2,0)</f>
        <v>03-12-TS</v>
      </c>
      <c r="N594" s="65" t="str">
        <f>VLOOKUP(L594,'Đơn đặt'!$C$3:$E$275,3,0)</f>
        <v>38-2026/TS-AVP/ĐĐH</v>
      </c>
      <c r="O594" s="66">
        <v>46141.0</v>
      </c>
      <c r="P594" s="67" t="s">
        <v>1116</v>
      </c>
      <c r="Q594" s="68">
        <v>4000.0</v>
      </c>
      <c r="R594" s="76">
        <v>16258.2</v>
      </c>
      <c r="S594" s="68">
        <v>6.50328E7</v>
      </c>
      <c r="T594" s="77">
        <v>5202624.0</v>
      </c>
      <c r="U594" s="60">
        <f t="shared" si="2"/>
        <v>70235424</v>
      </c>
      <c r="V594" s="70"/>
      <c r="W594" s="23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</row>
    <row r="595" ht="25.5" customHeight="1">
      <c r="A595" s="55">
        <v>46141.0</v>
      </c>
      <c r="B595" s="56" t="s">
        <v>785</v>
      </c>
      <c r="C595" s="56" t="s">
        <v>38</v>
      </c>
      <c r="D595" s="58" t="s">
        <v>36</v>
      </c>
      <c r="E595" s="58" t="s">
        <v>70</v>
      </c>
      <c r="F595" s="56" t="s">
        <v>71</v>
      </c>
      <c r="G595" s="60">
        <v>2300.0</v>
      </c>
      <c r="H595" s="62">
        <v>18953.0</v>
      </c>
      <c r="I595" s="64">
        <v>4.35919E7</v>
      </c>
      <c r="J595" s="64">
        <v>3487352.0</v>
      </c>
      <c r="K595" s="64">
        <v>4.7079252E7</v>
      </c>
      <c r="L595" s="65" t="s">
        <v>1117</v>
      </c>
      <c r="M595" s="65" t="str">
        <f>VLOOKUP(L595,'Đơn đặt'!$C$3:$E$275,2,0)</f>
        <v>04-08-TS</v>
      </c>
      <c r="N595" s="65" t="str">
        <f>VLOOKUP(L595,'Đơn đặt'!$C$3:$E$275,3,0)</f>
        <v>47-2026/TS-AVP/ĐĐH</v>
      </c>
      <c r="O595" s="66">
        <v>46141.0</v>
      </c>
      <c r="P595" s="67" t="s">
        <v>1118</v>
      </c>
      <c r="Q595" s="68">
        <v>2300.0</v>
      </c>
      <c r="R595" s="76">
        <v>18246.6</v>
      </c>
      <c r="S595" s="77">
        <v>4.196718E7</v>
      </c>
      <c r="T595" s="77">
        <v>3357374.0</v>
      </c>
      <c r="U595" s="60">
        <f t="shared" si="2"/>
        <v>45324554</v>
      </c>
      <c r="V595" s="70"/>
      <c r="W595" s="23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</row>
    <row r="596" ht="25.5" customHeight="1">
      <c r="A596" s="55">
        <v>46141.0</v>
      </c>
      <c r="B596" s="56" t="s">
        <v>785</v>
      </c>
      <c r="C596" s="56" t="s">
        <v>329</v>
      </c>
      <c r="D596" s="58" t="s">
        <v>461</v>
      </c>
      <c r="E596" s="58" t="s">
        <v>70</v>
      </c>
      <c r="F596" s="56" t="s">
        <v>71</v>
      </c>
      <c r="G596" s="60">
        <v>900.0</v>
      </c>
      <c r="H596" s="62">
        <v>20024.0</v>
      </c>
      <c r="I596" s="64">
        <v>1.80216E7</v>
      </c>
      <c r="J596" s="64">
        <v>1441728.0</v>
      </c>
      <c r="K596" s="64">
        <v>1.9463328E7</v>
      </c>
      <c r="L596" s="65" t="s">
        <v>855</v>
      </c>
      <c r="M596" s="65" t="str">
        <f>VLOOKUP(L596,'Đơn đặt'!$C$3:$E$275,2,0)</f>
        <v>03-12-TS</v>
      </c>
      <c r="N596" s="65" t="str">
        <f>VLOOKUP(L596,'Đơn đặt'!$C$3:$E$275,3,0)</f>
        <v>38-2026/TS-AVP/ĐĐH</v>
      </c>
      <c r="O596" s="66">
        <v>46141.0</v>
      </c>
      <c r="P596" s="67" t="s">
        <v>1118</v>
      </c>
      <c r="Q596" s="68">
        <v>900.0</v>
      </c>
      <c r="R596" s="76">
        <v>17900.8</v>
      </c>
      <c r="S596" s="77">
        <v>1.611072E7</v>
      </c>
      <c r="T596" s="77">
        <v>1288858.0</v>
      </c>
      <c r="U596" s="60">
        <f t="shared" si="2"/>
        <v>17399578</v>
      </c>
      <c r="V596" s="70"/>
      <c r="W596" s="23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</row>
    <row r="597" ht="25.5" customHeight="1">
      <c r="A597" s="55">
        <v>46141.0</v>
      </c>
      <c r="B597" s="56" t="s">
        <v>1119</v>
      </c>
      <c r="C597" s="56" t="s">
        <v>48</v>
      </c>
      <c r="D597" s="58" t="s">
        <v>47</v>
      </c>
      <c r="E597" s="58" t="s">
        <v>70</v>
      </c>
      <c r="F597" s="56" t="s">
        <v>71</v>
      </c>
      <c r="G597" s="60">
        <v>6000.0</v>
      </c>
      <c r="H597" s="62">
        <v>18291.0</v>
      </c>
      <c r="I597" s="64">
        <v>1.09746E8</v>
      </c>
      <c r="J597" s="64">
        <v>8779680.0</v>
      </c>
      <c r="K597" s="64">
        <v>1.1852568E8</v>
      </c>
      <c r="L597" s="65" t="s">
        <v>1033</v>
      </c>
      <c r="M597" s="65" t="str">
        <f>VLOOKUP(L597,'Đơn đặt'!$C$3:$E$275,2,0)</f>
        <v>03-12-TS</v>
      </c>
      <c r="N597" s="65" t="str">
        <f>VLOOKUP(L597,'Đơn đặt'!$C$3:$E$275,3,0)</f>
        <v>37-2026/TS-AVP/ĐĐH</v>
      </c>
      <c r="O597" s="66">
        <v>46141.0</v>
      </c>
      <c r="P597" s="67" t="s">
        <v>1120</v>
      </c>
      <c r="Q597" s="68">
        <v>2660.0</v>
      </c>
      <c r="R597" s="68">
        <v>14482.2</v>
      </c>
      <c r="S597" s="60">
        <f>ROUND(Q597*R597,0)</f>
        <v>38522652</v>
      </c>
      <c r="T597" s="60">
        <f>ROUND(S597*0.08,0)</f>
        <v>3081812</v>
      </c>
      <c r="U597" s="60">
        <f t="shared" si="2"/>
        <v>41604464</v>
      </c>
      <c r="V597" s="70"/>
      <c r="W597" s="23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</row>
    <row r="598" ht="25.5" customHeight="1">
      <c r="A598" s="55">
        <v>46141.0</v>
      </c>
      <c r="B598" s="56" t="s">
        <v>1119</v>
      </c>
      <c r="C598" s="56" t="s">
        <v>48</v>
      </c>
      <c r="D598" s="58" t="s">
        <v>47</v>
      </c>
      <c r="E598" s="58" t="s">
        <v>70</v>
      </c>
      <c r="F598" s="56"/>
      <c r="G598" s="60"/>
      <c r="H598" s="62"/>
      <c r="I598" s="64"/>
      <c r="J598" s="64"/>
      <c r="K598" s="64"/>
      <c r="L598" s="65" t="s">
        <v>1033</v>
      </c>
      <c r="M598" s="65" t="str">
        <f>VLOOKUP(L598,'Đơn đặt'!$C$3:$E$275,2,0)</f>
        <v>03-12-TS</v>
      </c>
      <c r="N598" s="65" t="str">
        <f>VLOOKUP(L598,'Đơn đặt'!$C$3:$E$275,3,0)</f>
        <v>37-2026/TS-AVP/ĐĐH</v>
      </c>
      <c r="O598" s="66">
        <v>46141.0</v>
      </c>
      <c r="P598" s="67" t="s">
        <v>1121</v>
      </c>
      <c r="Q598" s="68">
        <v>3040.0</v>
      </c>
      <c r="R598" s="68">
        <v>14482.2</v>
      </c>
      <c r="S598" s="68">
        <v>4.4025888E7</v>
      </c>
      <c r="T598" s="68">
        <v>3522071.0</v>
      </c>
      <c r="U598" s="60">
        <f t="shared" si="2"/>
        <v>47547959</v>
      </c>
      <c r="V598" s="70"/>
      <c r="W598" s="23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</row>
    <row r="599" ht="25.5" customHeight="1">
      <c r="A599" s="55">
        <v>46141.0</v>
      </c>
      <c r="B599" s="56" t="s">
        <v>1119</v>
      </c>
      <c r="C599" s="56" t="s">
        <v>48</v>
      </c>
      <c r="D599" s="58" t="s">
        <v>47</v>
      </c>
      <c r="E599" s="58" t="s">
        <v>70</v>
      </c>
      <c r="F599" s="56"/>
      <c r="G599" s="60"/>
      <c r="H599" s="62"/>
      <c r="I599" s="64"/>
      <c r="J599" s="64"/>
      <c r="K599" s="64"/>
      <c r="L599" s="65" t="s">
        <v>1033</v>
      </c>
      <c r="M599" s="65" t="str">
        <f>VLOOKUP(L599,'Đơn đặt'!$C$3:$E$275,2,0)</f>
        <v>03-12-TS</v>
      </c>
      <c r="N599" s="65" t="str">
        <f>VLOOKUP(L599,'Đơn đặt'!$C$3:$E$275,3,0)</f>
        <v>37-2026/TS-AVP/ĐĐH</v>
      </c>
      <c r="O599" s="66">
        <v>46141.0</v>
      </c>
      <c r="P599" s="67" t="s">
        <v>1122</v>
      </c>
      <c r="Q599" s="68">
        <v>300.0</v>
      </c>
      <c r="R599" s="68">
        <v>14482.2</v>
      </c>
      <c r="S599" s="60">
        <f t="shared" ref="S599:S600" si="116">ROUND(Q599*R599,0)</f>
        <v>4344660</v>
      </c>
      <c r="T599" s="60">
        <f t="shared" ref="T599:T600" si="117">ROUND(S599*0.08,0)</f>
        <v>347573</v>
      </c>
      <c r="U599" s="60">
        <f t="shared" si="2"/>
        <v>4692233</v>
      </c>
      <c r="V599" s="70"/>
      <c r="W599" s="23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</row>
    <row r="600" ht="25.5" customHeight="1">
      <c r="A600" s="55">
        <v>46141.0</v>
      </c>
      <c r="B600" s="56" t="s">
        <v>1123</v>
      </c>
      <c r="C600" s="56" t="s">
        <v>48</v>
      </c>
      <c r="D600" s="58" t="s">
        <v>47</v>
      </c>
      <c r="E600" s="58" t="s">
        <v>70</v>
      </c>
      <c r="F600" s="56" t="s">
        <v>71</v>
      </c>
      <c r="G600" s="60">
        <v>2000.0</v>
      </c>
      <c r="H600" s="62">
        <v>18291.0</v>
      </c>
      <c r="I600" s="64">
        <v>3.6582E7</v>
      </c>
      <c r="J600" s="64">
        <v>2926560.0</v>
      </c>
      <c r="K600" s="64">
        <v>3.950856E7</v>
      </c>
      <c r="L600" s="65" t="s">
        <v>1033</v>
      </c>
      <c r="M600" s="65" t="str">
        <f>VLOOKUP(L600,'Đơn đặt'!$C$3:$E$275,2,0)</f>
        <v>03-12-TS</v>
      </c>
      <c r="N600" s="65" t="str">
        <f>VLOOKUP(L600,'Đơn đặt'!$C$3:$E$275,3,0)</f>
        <v>37-2026/TS-AVP/ĐĐH</v>
      </c>
      <c r="O600" s="66">
        <v>46141.0</v>
      </c>
      <c r="P600" s="67" t="s">
        <v>1122</v>
      </c>
      <c r="Q600" s="68">
        <v>400.0</v>
      </c>
      <c r="R600" s="68">
        <v>14482.2</v>
      </c>
      <c r="S600" s="60">
        <f t="shared" si="116"/>
        <v>5792880</v>
      </c>
      <c r="T600" s="60">
        <f t="shared" si="117"/>
        <v>463430</v>
      </c>
      <c r="U600" s="60">
        <f t="shared" si="2"/>
        <v>6256310</v>
      </c>
      <c r="V600" s="70"/>
      <c r="W600" s="23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</row>
    <row r="601" ht="25.5" customHeight="1">
      <c r="A601" s="55">
        <v>46141.0</v>
      </c>
      <c r="B601" s="56" t="s">
        <v>1123</v>
      </c>
      <c r="C601" s="56" t="s">
        <v>48</v>
      </c>
      <c r="D601" s="58" t="s">
        <v>47</v>
      </c>
      <c r="E601" s="58" t="s">
        <v>70</v>
      </c>
      <c r="F601" s="56"/>
      <c r="G601" s="60"/>
      <c r="H601" s="62"/>
      <c r="I601" s="64"/>
      <c r="J601" s="64"/>
      <c r="K601" s="64"/>
      <c r="L601" s="65" t="s">
        <v>1033</v>
      </c>
      <c r="M601" s="65" t="str">
        <f>VLOOKUP(L601,'Đơn đặt'!$C$3:$E$275,2,0)</f>
        <v>03-12-TS</v>
      </c>
      <c r="N601" s="65" t="str">
        <f>VLOOKUP(L601,'Đơn đặt'!$C$3:$E$275,3,0)</f>
        <v>37-2026/TS-AVP/ĐĐH</v>
      </c>
      <c r="O601" s="66">
        <v>46141.0</v>
      </c>
      <c r="P601" s="67" t="s">
        <v>1124</v>
      </c>
      <c r="Q601" s="68">
        <v>1600.0</v>
      </c>
      <c r="R601" s="68">
        <v>14482.2</v>
      </c>
      <c r="S601" s="68">
        <v>2.317152E7</v>
      </c>
      <c r="T601" s="68">
        <v>1853722.0</v>
      </c>
      <c r="U601" s="60">
        <f t="shared" si="2"/>
        <v>25025242</v>
      </c>
      <c r="V601" s="70"/>
      <c r="W601" s="23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</row>
    <row r="602" ht="25.5" customHeight="1">
      <c r="A602" s="55">
        <v>46141.0</v>
      </c>
      <c r="B602" s="56" t="s">
        <v>1123</v>
      </c>
      <c r="C602" s="56" t="s">
        <v>50</v>
      </c>
      <c r="D602" s="58" t="s">
        <v>49</v>
      </c>
      <c r="E602" s="58" t="s">
        <v>70</v>
      </c>
      <c r="F602" s="56" t="s">
        <v>71</v>
      </c>
      <c r="G602" s="60">
        <v>2000.0</v>
      </c>
      <c r="H602" s="62">
        <v>18291.0</v>
      </c>
      <c r="I602" s="64">
        <v>3.6582E7</v>
      </c>
      <c r="J602" s="64">
        <v>2926560.0</v>
      </c>
      <c r="K602" s="64">
        <v>3.950856E7</v>
      </c>
      <c r="L602" s="65" t="s">
        <v>1125</v>
      </c>
      <c r="M602" s="65" t="str">
        <f>VLOOKUP(L602,'Đơn đặt'!$C$3:$E$275,2,0)</f>
        <v>03-12-TS</v>
      </c>
      <c r="N602" s="65" t="str">
        <f>VLOOKUP(L602,'Đơn đặt'!$C$3:$E$275,3,0)</f>
        <v>37-2026/TS-AVP/ĐĐH</v>
      </c>
      <c r="O602" s="66">
        <v>46141.0</v>
      </c>
      <c r="P602" s="67" t="s">
        <v>1122</v>
      </c>
      <c r="Q602" s="68">
        <v>2000.0</v>
      </c>
      <c r="R602" s="76">
        <v>14482.2</v>
      </c>
      <c r="S602" s="77">
        <v>2.89644E7</v>
      </c>
      <c r="T602" s="77">
        <v>2317152.0</v>
      </c>
      <c r="U602" s="60">
        <f t="shared" si="2"/>
        <v>31281552</v>
      </c>
      <c r="V602" s="70"/>
      <c r="W602" s="23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</row>
    <row r="603" ht="25.5" customHeight="1">
      <c r="A603" s="55">
        <v>46141.0</v>
      </c>
      <c r="B603" s="56" t="s">
        <v>1126</v>
      </c>
      <c r="C603" s="56" t="s">
        <v>41</v>
      </c>
      <c r="D603" s="58" t="s">
        <v>40</v>
      </c>
      <c r="E603" s="58" t="s">
        <v>70</v>
      </c>
      <c r="F603" s="56" t="s">
        <v>71</v>
      </c>
      <c r="G603" s="60">
        <f>2610-G604</f>
        <v>300</v>
      </c>
      <c r="H603" s="62">
        <v>20024.0</v>
      </c>
      <c r="I603" s="64">
        <f t="shared" ref="I603:I604" si="118">ROUND(G603*H603,0)</f>
        <v>6007200</v>
      </c>
      <c r="J603" s="64">
        <f t="shared" ref="J603:J604" si="119">ROUND(I603*0.08,0)</f>
        <v>480576</v>
      </c>
      <c r="K603" s="64">
        <f t="shared" ref="K603:K604" si="120">I603+J603</f>
        <v>6487776</v>
      </c>
      <c r="L603" s="65" t="s">
        <v>943</v>
      </c>
      <c r="M603" s="65" t="str">
        <f>VLOOKUP(L603,'Đơn đặt'!$C$3:$E$275,2,0)</f>
        <v>03-12-TS</v>
      </c>
      <c r="N603" s="65" t="str">
        <f>VLOOKUP(L603,'Đơn đặt'!$C$3:$E$275,3,0)</f>
        <v>38-2026/TS-AVP/ĐĐH</v>
      </c>
      <c r="O603" s="66">
        <v>46141.0</v>
      </c>
      <c r="P603" s="67" t="s">
        <v>1127</v>
      </c>
      <c r="Q603" s="68">
        <v>300.0</v>
      </c>
      <c r="R603" s="76">
        <v>17900.8</v>
      </c>
      <c r="S603" s="64">
        <f t="shared" ref="S603:S604" si="121">ROUND(Q603*R603,0)</f>
        <v>5370240</v>
      </c>
      <c r="T603" s="64">
        <f t="shared" ref="T603:T604" si="122">ROUND(S603*0.08,0)</f>
        <v>429619</v>
      </c>
      <c r="U603" s="60">
        <f t="shared" si="2"/>
        <v>5799859</v>
      </c>
      <c r="V603" s="70"/>
      <c r="W603" s="23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</row>
    <row r="604" ht="25.5" customHeight="1">
      <c r="A604" s="55">
        <v>46141.0</v>
      </c>
      <c r="B604" s="56" t="s">
        <v>1126</v>
      </c>
      <c r="C604" s="56" t="s">
        <v>41</v>
      </c>
      <c r="D604" s="58" t="s">
        <v>40</v>
      </c>
      <c r="E604" s="58" t="s">
        <v>70</v>
      </c>
      <c r="F604" s="56" t="s">
        <v>71</v>
      </c>
      <c r="G604" s="60">
        <v>2310.0</v>
      </c>
      <c r="H604" s="62">
        <v>20024.0</v>
      </c>
      <c r="I604" s="64">
        <f t="shared" si="118"/>
        <v>46255440</v>
      </c>
      <c r="J604" s="64">
        <f t="shared" si="119"/>
        <v>3700435</v>
      </c>
      <c r="K604" s="64">
        <f t="shared" si="120"/>
        <v>49955875</v>
      </c>
      <c r="L604" s="65" t="s">
        <v>1128</v>
      </c>
      <c r="M604" s="65" t="str">
        <f>VLOOKUP(L604,'Đơn đặt'!$C$3:$E$275,2,0)</f>
        <v>04-08-TS</v>
      </c>
      <c r="N604" s="65" t="str">
        <f>VLOOKUP(L604,'Đơn đặt'!$C$3:$E$275,3,0)</f>
        <v>47-2026/TS-AVP/ĐĐH</v>
      </c>
      <c r="O604" s="66">
        <v>46141.0</v>
      </c>
      <c r="P604" s="67" t="s">
        <v>1127</v>
      </c>
      <c r="Q604" s="68">
        <v>2310.0</v>
      </c>
      <c r="R604" s="76">
        <v>17900.8</v>
      </c>
      <c r="S604" s="64">
        <f t="shared" si="121"/>
        <v>41350848</v>
      </c>
      <c r="T604" s="64">
        <f t="shared" si="122"/>
        <v>3308068</v>
      </c>
      <c r="U604" s="60">
        <f t="shared" si="2"/>
        <v>44658916</v>
      </c>
      <c r="V604" s="70"/>
      <c r="W604" s="23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</row>
    <row r="605" ht="25.5" customHeight="1">
      <c r="A605" s="55">
        <v>46141.0</v>
      </c>
      <c r="B605" s="56" t="s">
        <v>1126</v>
      </c>
      <c r="C605" s="56" t="s">
        <v>38</v>
      </c>
      <c r="D605" s="58" t="s">
        <v>36</v>
      </c>
      <c r="E605" s="58" t="s">
        <v>70</v>
      </c>
      <c r="F605" s="56" t="s">
        <v>71</v>
      </c>
      <c r="G605" s="60">
        <v>470.0</v>
      </c>
      <c r="H605" s="62">
        <v>18953.0</v>
      </c>
      <c r="I605" s="64">
        <v>8907910.0</v>
      </c>
      <c r="J605" s="64">
        <v>712633.0</v>
      </c>
      <c r="K605" s="64">
        <v>9620543.0</v>
      </c>
      <c r="L605" s="65" t="s">
        <v>1117</v>
      </c>
      <c r="M605" s="65" t="str">
        <f>VLOOKUP(L605,'Đơn đặt'!$C$3:$E$275,2,0)</f>
        <v>04-08-TS</v>
      </c>
      <c r="N605" s="65" t="str">
        <f>VLOOKUP(L605,'Đơn đặt'!$C$3:$E$275,3,0)</f>
        <v>47-2026/TS-AVP/ĐĐH</v>
      </c>
      <c r="O605" s="66">
        <v>46141.0</v>
      </c>
      <c r="P605" s="67" t="s">
        <v>1127</v>
      </c>
      <c r="Q605" s="68">
        <v>470.0</v>
      </c>
      <c r="R605" s="76">
        <v>18246.6</v>
      </c>
      <c r="S605" s="77">
        <v>8575902.0</v>
      </c>
      <c r="T605" s="77">
        <v>686072.0</v>
      </c>
      <c r="U605" s="60">
        <f t="shared" si="2"/>
        <v>9261974</v>
      </c>
      <c r="V605" s="70"/>
      <c r="W605" s="23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</row>
    <row r="606" ht="25.5" customHeight="1">
      <c r="A606" s="55">
        <v>46141.0</v>
      </c>
      <c r="B606" s="56" t="s">
        <v>1129</v>
      </c>
      <c r="C606" s="56" t="s">
        <v>409</v>
      </c>
      <c r="D606" s="58" t="s">
        <v>664</v>
      </c>
      <c r="E606" s="58" t="s">
        <v>70</v>
      </c>
      <c r="F606" s="56" t="s">
        <v>71</v>
      </c>
      <c r="G606" s="60">
        <v>2700.0</v>
      </c>
      <c r="H606" s="62">
        <v>18953.0</v>
      </c>
      <c r="I606" s="64">
        <v>5.11731E7</v>
      </c>
      <c r="J606" s="64">
        <v>4093848.0</v>
      </c>
      <c r="K606" s="64">
        <v>5.5266948E7</v>
      </c>
      <c r="L606" s="65" t="s">
        <v>1130</v>
      </c>
      <c r="M606" s="65" t="str">
        <f>VLOOKUP(L606,'Đơn đặt'!$C$3:$E$275,2,0)</f>
        <v>04-08-TS</v>
      </c>
      <c r="N606" s="65" t="str">
        <f>VLOOKUP(L606,'Đơn đặt'!$C$3:$E$275,3,0)</f>
        <v>47-2026/TS-AVP/ĐĐH</v>
      </c>
      <c r="O606" s="66">
        <v>46141.0</v>
      </c>
      <c r="P606" s="67" t="s">
        <v>1131</v>
      </c>
      <c r="Q606" s="68">
        <v>2700.0</v>
      </c>
      <c r="R606" s="76">
        <v>17782.6</v>
      </c>
      <c r="S606" s="77">
        <v>4.801302E7</v>
      </c>
      <c r="T606" s="77">
        <v>3841042.0</v>
      </c>
      <c r="U606" s="60">
        <f t="shared" si="2"/>
        <v>51854062</v>
      </c>
      <c r="V606" s="70"/>
      <c r="W606" s="23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</row>
    <row r="607" ht="25.5" customHeight="1">
      <c r="A607" s="55">
        <v>46141.0</v>
      </c>
      <c r="B607" s="56" t="s">
        <v>1129</v>
      </c>
      <c r="C607" s="56" t="s">
        <v>41</v>
      </c>
      <c r="D607" s="58" t="s">
        <v>40</v>
      </c>
      <c r="E607" s="58" t="s">
        <v>70</v>
      </c>
      <c r="F607" s="56" t="s">
        <v>71</v>
      </c>
      <c r="G607" s="60">
        <v>390.0</v>
      </c>
      <c r="H607" s="62">
        <v>20024.0</v>
      </c>
      <c r="I607" s="64">
        <v>7809360.0</v>
      </c>
      <c r="J607" s="64">
        <v>624749.0</v>
      </c>
      <c r="K607" s="64">
        <v>8434109.0</v>
      </c>
      <c r="L607" s="65" t="s">
        <v>1128</v>
      </c>
      <c r="M607" s="65" t="str">
        <f>VLOOKUP(L607,'Đơn đặt'!$C$3:$E$275,2,0)</f>
        <v>04-08-TS</v>
      </c>
      <c r="N607" s="65" t="str">
        <f>VLOOKUP(L607,'Đơn đặt'!$C$3:$E$275,3,0)</f>
        <v>47-2026/TS-AVP/ĐĐH</v>
      </c>
      <c r="O607" s="66">
        <v>46141.0</v>
      </c>
      <c r="P607" s="67" t="s">
        <v>1131</v>
      </c>
      <c r="Q607" s="68">
        <v>390.0</v>
      </c>
      <c r="R607" s="76">
        <v>17900.8</v>
      </c>
      <c r="S607" s="77">
        <v>6981312.0</v>
      </c>
      <c r="T607" s="77">
        <v>558505.0</v>
      </c>
      <c r="U607" s="60">
        <f t="shared" si="2"/>
        <v>7539817</v>
      </c>
      <c r="V607" s="70"/>
      <c r="W607" s="23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</row>
    <row r="608" ht="25.5" customHeight="1">
      <c r="A608" s="55">
        <v>46146.0</v>
      </c>
      <c r="B608" s="56" t="s">
        <v>1132</v>
      </c>
      <c r="C608" s="56" t="s">
        <v>55</v>
      </c>
      <c r="D608" s="58" t="s">
        <v>53</v>
      </c>
      <c r="E608" s="58" t="s">
        <v>70</v>
      </c>
      <c r="F608" s="56" t="s">
        <v>71</v>
      </c>
      <c r="G608" s="60">
        <v>3000.0</v>
      </c>
      <c r="H608" s="62">
        <v>21025.0</v>
      </c>
      <c r="I608" s="64">
        <v>6.3075E7</v>
      </c>
      <c r="J608" s="64">
        <v>5046000.0</v>
      </c>
      <c r="K608" s="64">
        <v>6.8121E7</v>
      </c>
      <c r="L608" s="65" t="s">
        <v>958</v>
      </c>
      <c r="M608" s="65" t="str">
        <f>VLOOKUP(L608,'Đơn đặt'!$C$3:$E$275,2,0)</f>
        <v>03-12-TS</v>
      </c>
      <c r="N608" s="65" t="str">
        <f>VLOOKUP(L608,'Đơn đặt'!$C$3:$E$275,3,0)</f>
        <v>36-2026/TS-AVP/ĐĐH</v>
      </c>
      <c r="O608" s="66">
        <v>46146.0</v>
      </c>
      <c r="P608" s="67" t="s">
        <v>1133</v>
      </c>
      <c r="Q608" s="68">
        <v>3000.0</v>
      </c>
      <c r="R608" s="76">
        <v>16989.0</v>
      </c>
      <c r="S608" s="77">
        <v>5.0967E7</v>
      </c>
      <c r="T608" s="77">
        <v>4077360.0</v>
      </c>
      <c r="U608" s="60">
        <f t="shared" si="2"/>
        <v>55044360</v>
      </c>
      <c r="V608" s="70"/>
      <c r="W608" s="23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</row>
    <row r="609" ht="25.5" customHeight="1">
      <c r="A609" s="55">
        <v>46146.0</v>
      </c>
      <c r="B609" s="56" t="s">
        <v>1134</v>
      </c>
      <c r="C609" s="56" t="s">
        <v>206</v>
      </c>
      <c r="D609" s="58" t="s">
        <v>207</v>
      </c>
      <c r="E609" s="58" t="s">
        <v>70</v>
      </c>
      <c r="F609" s="56" t="s">
        <v>71</v>
      </c>
      <c r="G609" s="60">
        <v>2000.0</v>
      </c>
      <c r="H609" s="62">
        <v>19041.0</v>
      </c>
      <c r="I609" s="64">
        <v>3.8082E7</v>
      </c>
      <c r="J609" s="64">
        <v>3046560.0</v>
      </c>
      <c r="K609" s="64">
        <v>4.112856E7</v>
      </c>
      <c r="L609" s="65" t="s">
        <v>1135</v>
      </c>
      <c r="M609" s="65" t="str">
        <f>VLOOKUP(L609,'Đơn đặt'!$C$3:$E$275,2,0)</f>
        <v>02-11-TS</v>
      </c>
      <c r="N609" s="65" t="str">
        <f>VLOOKUP(L609,'Đơn đặt'!$C$3:$E$275,3,0)</f>
        <v>52-2026/TS-AVP/ĐĐH</v>
      </c>
      <c r="O609" s="66">
        <v>46146.0</v>
      </c>
      <c r="P609" s="67" t="s">
        <v>1136</v>
      </c>
      <c r="Q609" s="68">
        <v>2000.0</v>
      </c>
      <c r="R609" s="76">
        <v>18064.2</v>
      </c>
      <c r="S609" s="77">
        <v>3.61284E7</v>
      </c>
      <c r="T609" s="77">
        <v>2890272.0</v>
      </c>
      <c r="U609" s="60">
        <f t="shared" si="2"/>
        <v>39018672</v>
      </c>
      <c r="V609" s="70"/>
      <c r="W609" s="23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</row>
    <row r="610" ht="25.5" customHeight="1">
      <c r="A610" s="55">
        <v>46146.0</v>
      </c>
      <c r="B610" s="56" t="s">
        <v>1134</v>
      </c>
      <c r="C610" s="56" t="s">
        <v>21</v>
      </c>
      <c r="D610" s="58" t="s">
        <v>371</v>
      </c>
      <c r="E610" s="58" t="s">
        <v>70</v>
      </c>
      <c r="F610" s="56" t="s">
        <v>71</v>
      </c>
      <c r="G610" s="60">
        <v>1600.0</v>
      </c>
      <c r="H610" s="62">
        <v>18930.0</v>
      </c>
      <c r="I610" s="64">
        <v>3.0288E7</v>
      </c>
      <c r="J610" s="64">
        <v>2423040.0</v>
      </c>
      <c r="K610" s="64">
        <v>3.271104E7</v>
      </c>
      <c r="L610" s="65" t="s">
        <v>1137</v>
      </c>
      <c r="M610" s="65" t="str">
        <f>VLOOKUP(L610,'Đơn đặt'!$C$3:$E$275,2,0)</f>
        <v>04-08-TS</v>
      </c>
      <c r="N610" s="65" t="str">
        <f>VLOOKUP(L610,'Đơn đặt'!$C$3:$E$275,3,0)</f>
        <v>57-2026/TS-AVP/ĐĐH</v>
      </c>
      <c r="O610" s="66">
        <v>46146.0</v>
      </c>
      <c r="P610" s="67" t="s">
        <v>1136</v>
      </c>
      <c r="Q610" s="68">
        <v>1600.0</v>
      </c>
      <c r="R610" s="76">
        <v>18346.0</v>
      </c>
      <c r="S610" s="77">
        <v>2.93536E7</v>
      </c>
      <c r="T610" s="77">
        <v>2348288.0</v>
      </c>
      <c r="U610" s="60">
        <f t="shared" si="2"/>
        <v>31701888</v>
      </c>
      <c r="V610" s="70"/>
      <c r="W610" s="23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</row>
    <row r="611" ht="25.5" customHeight="1">
      <c r="A611" s="55">
        <v>46146.0</v>
      </c>
      <c r="B611" s="56" t="s">
        <v>1134</v>
      </c>
      <c r="C611" s="56" t="s">
        <v>38</v>
      </c>
      <c r="D611" s="58" t="s">
        <v>36</v>
      </c>
      <c r="E611" s="58" t="s">
        <v>70</v>
      </c>
      <c r="F611" s="56" t="s">
        <v>71</v>
      </c>
      <c r="G611" s="60">
        <v>700.0</v>
      </c>
      <c r="H611" s="62">
        <v>19901.0</v>
      </c>
      <c r="I611" s="64">
        <v>1.39307E7</v>
      </c>
      <c r="J611" s="64">
        <v>1114456.0</v>
      </c>
      <c r="K611" s="64">
        <v>1.5045156E7</v>
      </c>
      <c r="L611" s="65" t="s">
        <v>1138</v>
      </c>
      <c r="M611" s="65" t="str">
        <f>VLOOKUP(L611,'Đơn đặt'!$C$3:$E$275,2,0)</f>
        <v>04-08-TS</v>
      </c>
      <c r="N611" s="65" t="str">
        <f>VLOOKUP(L611,'Đơn đặt'!$C$3:$E$275,3,0)</f>
        <v>57-2026/TS-AVP/ĐĐH</v>
      </c>
      <c r="O611" s="66">
        <v>46146.0</v>
      </c>
      <c r="P611" s="67" t="s">
        <v>1136</v>
      </c>
      <c r="Q611" s="68">
        <v>700.0</v>
      </c>
      <c r="R611" s="76">
        <v>19156.2</v>
      </c>
      <c r="S611" s="77">
        <v>1.340934E7</v>
      </c>
      <c r="T611" s="77">
        <v>1072747.0</v>
      </c>
      <c r="U611" s="60">
        <f t="shared" si="2"/>
        <v>14482087</v>
      </c>
      <c r="V611" s="70"/>
      <c r="W611" s="23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</row>
    <row r="612" ht="25.5" customHeight="1">
      <c r="A612" s="55">
        <v>46147.0</v>
      </c>
      <c r="B612" s="56" t="s">
        <v>1139</v>
      </c>
      <c r="C612" s="56" t="s">
        <v>38</v>
      </c>
      <c r="D612" s="58" t="s">
        <v>36</v>
      </c>
      <c r="E612" s="58" t="s">
        <v>70</v>
      </c>
      <c r="F612" s="56" t="s">
        <v>71</v>
      </c>
      <c r="G612" s="60">
        <v>2000.0</v>
      </c>
      <c r="H612" s="62">
        <v>19901.0</v>
      </c>
      <c r="I612" s="64">
        <v>3.9802E7</v>
      </c>
      <c r="J612" s="64">
        <v>3184160.0</v>
      </c>
      <c r="K612" s="64">
        <v>4.298616E7</v>
      </c>
      <c r="L612" s="65" t="s">
        <v>1138</v>
      </c>
      <c r="M612" s="65" t="str">
        <f>VLOOKUP(L612,'Đơn đặt'!$C$3:$E$275,2,0)</f>
        <v>04-08-TS</v>
      </c>
      <c r="N612" s="65" t="str">
        <f>VLOOKUP(L612,'Đơn đặt'!$C$3:$E$275,3,0)</f>
        <v>57-2026/TS-AVP/ĐĐH</v>
      </c>
      <c r="O612" s="66">
        <v>46146.0</v>
      </c>
      <c r="P612" s="67" t="s">
        <v>1140</v>
      </c>
      <c r="Q612" s="68">
        <v>2000.0</v>
      </c>
      <c r="R612" s="76">
        <v>19156.2</v>
      </c>
      <c r="S612" s="77">
        <v>3.83124E7</v>
      </c>
      <c r="T612" s="77">
        <v>3064991.0</v>
      </c>
      <c r="U612" s="60">
        <f t="shared" si="2"/>
        <v>41377391</v>
      </c>
      <c r="V612" s="70"/>
      <c r="W612" s="23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</row>
    <row r="613" ht="25.5" customHeight="1">
      <c r="A613" s="55">
        <v>46147.0</v>
      </c>
      <c r="B613" s="56" t="s">
        <v>1139</v>
      </c>
      <c r="C613" s="56" t="s">
        <v>423</v>
      </c>
      <c r="D613" s="58" t="s">
        <v>424</v>
      </c>
      <c r="E613" s="58" t="s">
        <v>70</v>
      </c>
      <c r="F613" s="56" t="s">
        <v>71</v>
      </c>
      <c r="G613" s="60">
        <v>600.0</v>
      </c>
      <c r="H613" s="62">
        <v>19283.0</v>
      </c>
      <c r="I613" s="64">
        <v>1.15698E7</v>
      </c>
      <c r="J613" s="64">
        <v>925584.0</v>
      </c>
      <c r="K613" s="64">
        <v>1.2495384E7</v>
      </c>
      <c r="L613" s="91" t="s">
        <v>1141</v>
      </c>
      <c r="M613" s="65" t="str">
        <f>VLOOKUP(L613,'Đơn đặt'!$C$3:$E$275,2,0)</f>
        <v>04-08-TS</v>
      </c>
      <c r="N613" s="65" t="str">
        <f>VLOOKUP(L613,'Đơn đặt'!$C$3:$E$275,3,0)</f>
        <v>57-2026/TS-AVP/ĐĐH</v>
      </c>
      <c r="O613" s="66">
        <v>46146.0</v>
      </c>
      <c r="P613" s="67" t="s">
        <v>1140</v>
      </c>
      <c r="Q613" s="68">
        <v>600.0</v>
      </c>
      <c r="R613" s="76">
        <v>18360.6</v>
      </c>
      <c r="S613" s="77">
        <v>1.101636E7</v>
      </c>
      <c r="T613" s="77">
        <v>881309.0</v>
      </c>
      <c r="U613" s="60">
        <f t="shared" si="2"/>
        <v>11897669</v>
      </c>
      <c r="V613" s="70"/>
      <c r="W613" s="23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</row>
    <row r="614" ht="25.5" customHeight="1">
      <c r="A614" s="55">
        <v>46147.0</v>
      </c>
      <c r="B614" s="56" t="s">
        <v>1139</v>
      </c>
      <c r="C614" s="56" t="s">
        <v>206</v>
      </c>
      <c r="D614" s="58" t="s">
        <v>207</v>
      </c>
      <c r="E614" s="58" t="s">
        <v>70</v>
      </c>
      <c r="F614" s="56" t="s">
        <v>71</v>
      </c>
      <c r="G614" s="60">
        <v>1600.0</v>
      </c>
      <c r="H614" s="62">
        <v>19041.0</v>
      </c>
      <c r="I614" s="64">
        <v>3.04656E7</v>
      </c>
      <c r="J614" s="64">
        <v>2437248.0</v>
      </c>
      <c r="K614" s="64">
        <v>3.2902848E7</v>
      </c>
      <c r="L614" s="65" t="s">
        <v>1135</v>
      </c>
      <c r="M614" s="65" t="str">
        <f>VLOOKUP(L614,'Đơn đặt'!$C$3:$E$275,2,0)</f>
        <v>02-11-TS</v>
      </c>
      <c r="N614" s="65" t="str">
        <f>VLOOKUP(L614,'Đơn đặt'!$C$3:$E$275,3,0)</f>
        <v>52-2026/TS-AVP/ĐĐH</v>
      </c>
      <c r="O614" s="66">
        <v>46146.0</v>
      </c>
      <c r="P614" s="67" t="s">
        <v>1140</v>
      </c>
      <c r="Q614" s="68">
        <v>1600.0</v>
      </c>
      <c r="R614" s="76">
        <v>18064.2</v>
      </c>
      <c r="S614" s="77">
        <v>2.890272E7</v>
      </c>
      <c r="T614" s="77">
        <v>2312218.0</v>
      </c>
      <c r="U614" s="60">
        <f t="shared" si="2"/>
        <v>31214938</v>
      </c>
      <c r="V614" s="70"/>
      <c r="W614" s="23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</row>
    <row r="615" ht="25.5" customHeight="1">
      <c r="A615" s="55">
        <v>46147.0</v>
      </c>
      <c r="B615" s="56" t="s">
        <v>1142</v>
      </c>
      <c r="C615" s="56" t="s">
        <v>17</v>
      </c>
      <c r="D615" s="58" t="s">
        <v>16</v>
      </c>
      <c r="E615" s="58" t="s">
        <v>70</v>
      </c>
      <c r="F615" s="56" t="s">
        <v>71</v>
      </c>
      <c r="G615" s="60">
        <v>1250.0</v>
      </c>
      <c r="H615" s="62">
        <v>19283.0</v>
      </c>
      <c r="I615" s="64">
        <v>2.410375E7</v>
      </c>
      <c r="J615" s="64">
        <v>1928300.0</v>
      </c>
      <c r="K615" s="64">
        <v>2.603205E7</v>
      </c>
      <c r="L615" s="65" t="s">
        <v>1143</v>
      </c>
      <c r="M615" s="65" t="str">
        <f>VLOOKUP(L615,'Đơn đặt'!$C$3:$E$275,2,0)</f>
        <v>04-08-TS</v>
      </c>
      <c r="N615" s="65" t="str">
        <f>VLOOKUP(L615,'Đơn đặt'!$C$3:$E$275,3,0)</f>
        <v>57-2026/TS-AVP/ĐĐH</v>
      </c>
      <c r="O615" s="66">
        <v>46146.0</v>
      </c>
      <c r="P615" s="67" t="s">
        <v>1144</v>
      </c>
      <c r="Q615" s="68">
        <v>1250.0</v>
      </c>
      <c r="R615" s="76">
        <v>18448.6</v>
      </c>
      <c r="S615" s="77">
        <v>2.306075E7</v>
      </c>
      <c r="T615" s="77">
        <v>1844860.0</v>
      </c>
      <c r="U615" s="60">
        <f t="shared" si="2"/>
        <v>24905610</v>
      </c>
      <c r="V615" s="70"/>
      <c r="W615" s="23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</row>
    <row r="616" ht="25.5" customHeight="1">
      <c r="A616" s="55">
        <v>46147.0</v>
      </c>
      <c r="B616" s="56" t="s">
        <v>1145</v>
      </c>
      <c r="C616" s="56" t="s">
        <v>48</v>
      </c>
      <c r="D616" s="58" t="s">
        <v>47</v>
      </c>
      <c r="E616" s="58" t="s">
        <v>70</v>
      </c>
      <c r="F616" s="56" t="s">
        <v>71</v>
      </c>
      <c r="G616" s="60">
        <v>1000.0</v>
      </c>
      <c r="H616" s="62">
        <v>19206.0</v>
      </c>
      <c r="I616" s="64">
        <v>1.9206E7</v>
      </c>
      <c r="J616" s="64">
        <v>1536480.0</v>
      </c>
      <c r="K616" s="64">
        <v>2.074248E7</v>
      </c>
      <c r="L616" s="65" t="s">
        <v>1146</v>
      </c>
      <c r="M616" s="65" t="str">
        <f>VLOOKUP(L616,'Đơn đặt'!$C$3:$E$275,2,0)</f>
        <v>03-12-TS</v>
      </c>
      <c r="N616" s="65" t="str">
        <f>VLOOKUP(L616,'Đơn đặt'!$C$3:$E$275,3,0)</f>
        <v>58-2026/TS-AVP/ĐĐH</v>
      </c>
      <c r="O616" s="66">
        <v>46146.0</v>
      </c>
      <c r="P616" s="67" t="s">
        <v>1147</v>
      </c>
      <c r="Q616" s="68">
        <v>1000.0</v>
      </c>
      <c r="R616" s="68">
        <v>15209.2</v>
      </c>
      <c r="S616" s="68">
        <v>1.52092E7</v>
      </c>
      <c r="T616" s="68">
        <v>1216736.0</v>
      </c>
      <c r="U616" s="60">
        <f t="shared" si="2"/>
        <v>16425936</v>
      </c>
      <c r="V616" s="70"/>
      <c r="W616" s="23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</row>
    <row r="617" ht="25.5" customHeight="1">
      <c r="A617" s="55">
        <v>46147.0</v>
      </c>
      <c r="B617" s="56" t="s">
        <v>1145</v>
      </c>
      <c r="C617" s="56" t="s">
        <v>50</v>
      </c>
      <c r="D617" s="58" t="s">
        <v>49</v>
      </c>
      <c r="E617" s="58" t="s">
        <v>70</v>
      </c>
      <c r="F617" s="56" t="s">
        <v>71</v>
      </c>
      <c r="G617" s="60">
        <v>2000.0</v>
      </c>
      <c r="H617" s="62">
        <v>19206.0</v>
      </c>
      <c r="I617" s="64">
        <v>3.8412E7</v>
      </c>
      <c r="J617" s="64">
        <v>3072960.0</v>
      </c>
      <c r="K617" s="64">
        <v>4.148496E7</v>
      </c>
      <c r="L617" s="65" t="s">
        <v>1125</v>
      </c>
      <c r="M617" s="65" t="str">
        <f>VLOOKUP(L617,'Đơn đặt'!$C$3:$E$275,2,0)</f>
        <v>03-12-TS</v>
      </c>
      <c r="N617" s="65" t="str">
        <f>VLOOKUP(L617,'Đơn đặt'!$C$3:$E$275,3,0)</f>
        <v>37-2026/TS-AVP/ĐĐH</v>
      </c>
      <c r="O617" s="66">
        <v>46146.0</v>
      </c>
      <c r="P617" s="67" t="s">
        <v>1147</v>
      </c>
      <c r="Q617" s="68">
        <v>2000.0</v>
      </c>
      <c r="R617" s="76">
        <v>15209.2</v>
      </c>
      <c r="S617" s="77">
        <v>3.04184E7</v>
      </c>
      <c r="T617" s="77">
        <v>2433472.0</v>
      </c>
      <c r="U617" s="60">
        <f t="shared" si="2"/>
        <v>32851872</v>
      </c>
      <c r="V617" s="70"/>
      <c r="W617" s="23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</row>
    <row r="618" ht="25.5" customHeight="1">
      <c r="A618" s="55">
        <v>46147.0</v>
      </c>
      <c r="B618" s="56" t="s">
        <v>763</v>
      </c>
      <c r="C618" s="56" t="s">
        <v>48</v>
      </c>
      <c r="D618" s="58" t="s">
        <v>47</v>
      </c>
      <c r="E618" s="58" t="s">
        <v>70</v>
      </c>
      <c r="F618" s="56" t="s">
        <v>71</v>
      </c>
      <c r="G618" s="60">
        <v>4000.0</v>
      </c>
      <c r="H618" s="62">
        <v>19206.0</v>
      </c>
      <c r="I618" s="64">
        <v>7.6824E7</v>
      </c>
      <c r="J618" s="64">
        <v>6145920.0</v>
      </c>
      <c r="K618" s="64">
        <v>8.296992E7</v>
      </c>
      <c r="L618" s="65" t="s">
        <v>1146</v>
      </c>
      <c r="M618" s="65" t="str">
        <f>VLOOKUP(L618,'Đơn đặt'!$C$3:$E$275,2,0)</f>
        <v>03-12-TS</v>
      </c>
      <c r="N618" s="65" t="str">
        <f>VLOOKUP(L618,'Đơn đặt'!$C$3:$E$275,3,0)</f>
        <v>58-2026/TS-AVP/ĐĐH</v>
      </c>
      <c r="O618" s="66">
        <v>46146.0</v>
      </c>
      <c r="P618" s="67" t="s">
        <v>1148</v>
      </c>
      <c r="Q618" s="68">
        <v>4000.0</v>
      </c>
      <c r="R618" s="68">
        <v>15209.2</v>
      </c>
      <c r="S618" s="68">
        <v>6.08368E7</v>
      </c>
      <c r="T618" s="68">
        <v>4866944.0</v>
      </c>
      <c r="U618" s="60">
        <f t="shared" si="2"/>
        <v>65703744</v>
      </c>
      <c r="V618" s="70"/>
      <c r="W618" s="23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</row>
    <row r="619" ht="25.5" customHeight="1">
      <c r="A619" s="55">
        <v>46147.0</v>
      </c>
      <c r="B619" s="56" t="s">
        <v>1149</v>
      </c>
      <c r="C619" s="56" t="s">
        <v>59</v>
      </c>
      <c r="D619" s="58" t="s">
        <v>105</v>
      </c>
      <c r="E619" s="58" t="s">
        <v>70</v>
      </c>
      <c r="F619" s="56" t="s">
        <v>71</v>
      </c>
      <c r="G619" s="60">
        <v>400.0</v>
      </c>
      <c r="H619" s="62">
        <v>19206.0</v>
      </c>
      <c r="I619" s="64">
        <v>7682400.0</v>
      </c>
      <c r="J619" s="64">
        <v>614592.0</v>
      </c>
      <c r="K619" s="64">
        <v>8296992.0</v>
      </c>
      <c r="L619" s="84" t="s">
        <v>1150</v>
      </c>
      <c r="M619" s="65" t="str">
        <f>VLOOKUP(L619,'Đơn đặt'!$C$3:$E$275,2,0)</f>
        <v>03-12-TS</v>
      </c>
      <c r="N619" s="65" t="str">
        <f>VLOOKUP(L619,'Đơn đặt'!$C$3:$E$275,3,0)</f>
        <v>54-2026/TS-AVP/ĐĐH</v>
      </c>
      <c r="O619" s="66">
        <v>46147.0</v>
      </c>
      <c r="P619" s="67" t="s">
        <v>1151</v>
      </c>
      <c r="Q619" s="68">
        <v>400.0</v>
      </c>
      <c r="R619" s="76">
        <v>17073.2</v>
      </c>
      <c r="S619" s="68">
        <v>6829280.0</v>
      </c>
      <c r="T619" s="77">
        <v>546342.0</v>
      </c>
      <c r="U619" s="60">
        <f t="shared" si="2"/>
        <v>7375622</v>
      </c>
      <c r="V619" s="70"/>
      <c r="W619" s="23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</row>
    <row r="620" ht="25.5" customHeight="1">
      <c r="A620" s="55">
        <v>46147.0</v>
      </c>
      <c r="B620" s="56" t="s">
        <v>1149</v>
      </c>
      <c r="C620" s="56" t="s">
        <v>206</v>
      </c>
      <c r="D620" s="58" t="s">
        <v>207</v>
      </c>
      <c r="E620" s="58" t="s">
        <v>70</v>
      </c>
      <c r="F620" s="56" t="s">
        <v>71</v>
      </c>
      <c r="G620" s="60">
        <v>400.0</v>
      </c>
      <c r="H620" s="62">
        <v>19041.0</v>
      </c>
      <c r="I620" s="64">
        <v>7616400.0</v>
      </c>
      <c r="J620" s="64">
        <v>609312.0</v>
      </c>
      <c r="K620" s="64">
        <v>8225712.0</v>
      </c>
      <c r="L620" s="65" t="s">
        <v>1135</v>
      </c>
      <c r="M620" s="65" t="str">
        <f>VLOOKUP(L620,'Đơn đặt'!$C$3:$E$275,2,0)</f>
        <v>02-11-TS</v>
      </c>
      <c r="N620" s="65" t="str">
        <f>VLOOKUP(L620,'Đơn đặt'!$C$3:$E$275,3,0)</f>
        <v>52-2026/TS-AVP/ĐĐH</v>
      </c>
      <c r="O620" s="66">
        <v>46147.0</v>
      </c>
      <c r="P620" s="67" t="s">
        <v>1151</v>
      </c>
      <c r="Q620" s="68">
        <v>400.0</v>
      </c>
      <c r="R620" s="76">
        <v>18064.2</v>
      </c>
      <c r="S620" s="77">
        <v>7225680.0</v>
      </c>
      <c r="T620" s="77">
        <v>578054.0</v>
      </c>
      <c r="U620" s="60">
        <f t="shared" si="2"/>
        <v>7803734</v>
      </c>
      <c r="V620" s="70"/>
      <c r="W620" s="23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</row>
    <row r="621" ht="25.5" customHeight="1">
      <c r="A621" s="55">
        <v>46147.0</v>
      </c>
      <c r="B621" s="56" t="s">
        <v>1149</v>
      </c>
      <c r="C621" s="56" t="s">
        <v>247</v>
      </c>
      <c r="D621" s="58" t="s">
        <v>380</v>
      </c>
      <c r="E621" s="58" t="s">
        <v>70</v>
      </c>
      <c r="F621" s="56" t="s">
        <v>71</v>
      </c>
      <c r="G621" s="60">
        <v>2350.0</v>
      </c>
      <c r="H621" s="62">
        <v>19283.0</v>
      </c>
      <c r="I621" s="64">
        <v>4.531505E7</v>
      </c>
      <c r="J621" s="64">
        <v>3625204.0</v>
      </c>
      <c r="K621" s="64">
        <v>4.8940254E7</v>
      </c>
      <c r="L621" s="65" t="s">
        <v>1152</v>
      </c>
      <c r="M621" s="65" t="str">
        <f>VLOOKUP(L621,'Đơn đặt'!$C$3:$E$275,2,0)</f>
        <v>03-12-TS</v>
      </c>
      <c r="N621" s="65" t="str">
        <f>VLOOKUP(L621,'Đơn đặt'!$C$3:$E$275,3,0)</f>
        <v>54-2026/TS-AVP/ĐĐH</v>
      </c>
      <c r="O621" s="66">
        <v>46147.0</v>
      </c>
      <c r="P621" s="67" t="s">
        <v>1151</v>
      </c>
      <c r="Q621" s="68">
        <v>2350.0</v>
      </c>
      <c r="R621" s="76">
        <v>18448.6</v>
      </c>
      <c r="S621" s="77">
        <v>4.335421E7</v>
      </c>
      <c r="T621" s="77">
        <v>3468337.0</v>
      </c>
      <c r="U621" s="60">
        <f t="shared" si="2"/>
        <v>46822547</v>
      </c>
      <c r="V621" s="70"/>
      <c r="W621" s="23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</row>
    <row r="622" ht="25.5" customHeight="1">
      <c r="A622" s="55">
        <v>46147.0</v>
      </c>
      <c r="B622" s="56" t="s">
        <v>768</v>
      </c>
      <c r="C622" s="56" t="s">
        <v>59</v>
      </c>
      <c r="D622" s="58" t="s">
        <v>105</v>
      </c>
      <c r="E622" s="58" t="s">
        <v>70</v>
      </c>
      <c r="F622" s="56" t="s">
        <v>71</v>
      </c>
      <c r="G622" s="60">
        <v>1600.0</v>
      </c>
      <c r="H622" s="62">
        <v>19206.0</v>
      </c>
      <c r="I622" s="64">
        <v>3.07296E7</v>
      </c>
      <c r="J622" s="64">
        <v>2458368.0</v>
      </c>
      <c r="K622" s="64">
        <v>3.3187968E7</v>
      </c>
      <c r="L622" s="84" t="s">
        <v>1150</v>
      </c>
      <c r="M622" s="65" t="str">
        <f>VLOOKUP(L622,'Đơn đặt'!$C$3:$E$275,2,0)</f>
        <v>03-12-TS</v>
      </c>
      <c r="N622" s="65" t="str">
        <f>VLOOKUP(L622,'Đơn đặt'!$C$3:$E$275,3,0)</f>
        <v>54-2026/TS-AVP/ĐĐH</v>
      </c>
      <c r="O622" s="66">
        <v>46147.0</v>
      </c>
      <c r="P622" s="67" t="s">
        <v>1153</v>
      </c>
      <c r="Q622" s="68">
        <v>1600.0</v>
      </c>
      <c r="R622" s="76">
        <v>17073.2</v>
      </c>
      <c r="S622" s="68">
        <v>2.731712E7</v>
      </c>
      <c r="T622" s="77">
        <v>2185370.0</v>
      </c>
      <c r="U622" s="60">
        <f t="shared" si="2"/>
        <v>29502490</v>
      </c>
      <c r="V622" s="70"/>
      <c r="W622" s="23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</row>
    <row r="623" ht="25.5" customHeight="1">
      <c r="A623" s="55">
        <v>46147.0</v>
      </c>
      <c r="B623" s="56" t="s">
        <v>768</v>
      </c>
      <c r="C623" s="56" t="s">
        <v>35</v>
      </c>
      <c r="D623" s="58" t="s">
        <v>34</v>
      </c>
      <c r="E623" s="58" t="s">
        <v>70</v>
      </c>
      <c r="F623" s="56" t="s">
        <v>71</v>
      </c>
      <c r="G623" s="60">
        <v>900.0</v>
      </c>
      <c r="H623" s="62">
        <v>15645.0</v>
      </c>
      <c r="I623" s="64">
        <f t="shared" ref="I623:I624" si="123">G623*H623</f>
        <v>14080500</v>
      </c>
      <c r="J623" s="64">
        <f t="shared" ref="J623:J624" si="124">I623*0.08</f>
        <v>1126440</v>
      </c>
      <c r="K623" s="64">
        <f t="shared" ref="K623:K624" si="125">I623+J623</f>
        <v>15206940</v>
      </c>
      <c r="L623" s="91" t="s">
        <v>1154</v>
      </c>
      <c r="M623" s="65" t="str">
        <f>VLOOKUP(L623,'Đơn đặt'!$C$3:$E$275,2,0)</f>
        <v>03-12-TS</v>
      </c>
      <c r="N623" s="65" t="str">
        <f>VLOOKUP(L623,'Đơn đặt'!$C$3:$E$275,3,0)</f>
        <v>54-2026/TS-AVP/ĐĐH</v>
      </c>
      <c r="O623" s="66">
        <v>46147.0</v>
      </c>
      <c r="P623" s="67" t="s">
        <v>1153</v>
      </c>
      <c r="Q623" s="90">
        <v>900.0</v>
      </c>
      <c r="R623" s="76">
        <v>14849.0</v>
      </c>
      <c r="S623" s="64">
        <f t="shared" ref="S623:S624" si="126">Q623*R623</f>
        <v>13364100</v>
      </c>
      <c r="T623" s="64">
        <f t="shared" ref="T623:T624" si="127">S623*0.08</f>
        <v>1069128</v>
      </c>
      <c r="U623" s="60">
        <f t="shared" si="2"/>
        <v>14433228</v>
      </c>
      <c r="V623" s="70"/>
      <c r="W623" s="23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</row>
    <row r="624" ht="25.5" customHeight="1">
      <c r="A624" s="55">
        <v>46147.0</v>
      </c>
      <c r="B624" s="56" t="s">
        <v>768</v>
      </c>
      <c r="C624" s="56" t="s">
        <v>35</v>
      </c>
      <c r="D624" s="58" t="s">
        <v>34</v>
      </c>
      <c r="E624" s="58" t="s">
        <v>70</v>
      </c>
      <c r="F624" s="56" t="s">
        <v>71</v>
      </c>
      <c r="G624" s="60">
        <v>1300.0</v>
      </c>
      <c r="H624" s="62">
        <v>15645.0</v>
      </c>
      <c r="I624" s="64">
        <f t="shared" si="123"/>
        <v>20338500</v>
      </c>
      <c r="J624" s="64">
        <f t="shared" si="124"/>
        <v>1627080</v>
      </c>
      <c r="K624" s="64">
        <f t="shared" si="125"/>
        <v>21965580</v>
      </c>
      <c r="L624" s="91" t="s">
        <v>1155</v>
      </c>
      <c r="M624" s="65" t="str">
        <f>VLOOKUP(L624,'Đơn đặt'!$C$3:$E$275,2,0)</f>
        <v>04-08-TS</v>
      </c>
      <c r="N624" s="65" t="str">
        <f>VLOOKUP(L624,'Đơn đặt'!$C$3:$E$275,3,0)</f>
        <v>57-2026/TS-AVP/ĐĐH</v>
      </c>
      <c r="O624" s="66">
        <v>46147.0</v>
      </c>
      <c r="P624" s="67" t="s">
        <v>1153</v>
      </c>
      <c r="Q624" s="90">
        <v>1300.0</v>
      </c>
      <c r="R624" s="76">
        <v>14849.0</v>
      </c>
      <c r="S624" s="64">
        <f t="shared" si="126"/>
        <v>19303700</v>
      </c>
      <c r="T624" s="64">
        <f t="shared" si="127"/>
        <v>1544296</v>
      </c>
      <c r="U624" s="60">
        <f t="shared" si="2"/>
        <v>20847996</v>
      </c>
      <c r="V624" s="70"/>
      <c r="W624" s="23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</row>
    <row r="625" ht="25.5" customHeight="1">
      <c r="A625" s="78">
        <v>46148.0</v>
      </c>
      <c r="B625" s="79" t="s">
        <v>1156</v>
      </c>
      <c r="C625" s="79" t="s">
        <v>110</v>
      </c>
      <c r="D625" s="80" t="s">
        <v>874</v>
      </c>
      <c r="E625" s="58" t="s">
        <v>70</v>
      </c>
      <c r="F625" s="79" t="s">
        <v>112</v>
      </c>
      <c r="G625" s="81">
        <v>4680.0</v>
      </c>
      <c r="H625" s="82">
        <v>28000.0</v>
      </c>
      <c r="I625" s="83">
        <v>1.3104E8</v>
      </c>
      <c r="J625" s="83">
        <v>1.04832E7</v>
      </c>
      <c r="K625" s="83">
        <v>1.415232E8</v>
      </c>
      <c r="L625" s="84" t="s">
        <v>875</v>
      </c>
      <c r="M625" s="84" t="str">
        <f>VLOOKUP(L625,'Đơn đặt'!$C$3:$E$275,2,0)</f>
        <v>2/10/TSC-LT</v>
      </c>
      <c r="N625" s="84" t="str">
        <f>VLOOKUP(L625,'Đơn đặt'!$C$3:$E$275,3,0)</f>
        <v>Hàng SX</v>
      </c>
      <c r="O625" s="78" t="s">
        <v>98</v>
      </c>
      <c r="P625" s="92"/>
      <c r="Q625" s="81">
        <f>G625</f>
        <v>4680</v>
      </c>
      <c r="R625" s="92"/>
      <c r="S625" s="83">
        <f>ROUND(Q625*R625,0)</f>
        <v>0</v>
      </c>
      <c r="T625" s="83">
        <f>ROUND(S625*0.08,0)</f>
        <v>0</v>
      </c>
      <c r="U625" s="81">
        <f t="shared" si="2"/>
        <v>0</v>
      </c>
      <c r="V625" s="70"/>
      <c r="W625" s="23"/>
      <c r="X625" s="69"/>
      <c r="Y625" s="69"/>
      <c r="Z625" s="69"/>
      <c r="AA625" s="69"/>
      <c r="AB625" s="69"/>
      <c r="AC625" s="69"/>
      <c r="AD625" s="69"/>
      <c r="AE625" s="69"/>
      <c r="AF625" s="69"/>
      <c r="AG625" s="69"/>
      <c r="AH625" s="69"/>
      <c r="AI625" s="69"/>
      <c r="AJ625" s="69"/>
      <c r="AK625" s="69"/>
      <c r="AL625" s="69"/>
      <c r="AM625" s="69"/>
      <c r="AN625" s="69"/>
      <c r="AO625" s="69"/>
    </row>
    <row r="626" ht="25.5" customHeight="1">
      <c r="A626" s="55">
        <v>46148.0</v>
      </c>
      <c r="B626" s="56" t="s">
        <v>1157</v>
      </c>
      <c r="C626" s="56" t="s">
        <v>48</v>
      </c>
      <c r="D626" s="58" t="s">
        <v>47</v>
      </c>
      <c r="E626" s="58" t="s">
        <v>70</v>
      </c>
      <c r="F626" s="56" t="s">
        <v>71</v>
      </c>
      <c r="G626" s="60">
        <v>2000.0</v>
      </c>
      <c r="H626" s="62">
        <v>19206.0</v>
      </c>
      <c r="I626" s="64">
        <v>3.8412E7</v>
      </c>
      <c r="J626" s="64">
        <v>3072960.0</v>
      </c>
      <c r="K626" s="64">
        <v>4.148496E7</v>
      </c>
      <c r="L626" s="65" t="s">
        <v>1146</v>
      </c>
      <c r="M626" s="65" t="str">
        <f>VLOOKUP(L626,'Đơn đặt'!$C$3:$E$275,2,0)</f>
        <v>03-12-TS</v>
      </c>
      <c r="N626" s="65" t="str">
        <f>VLOOKUP(L626,'Đơn đặt'!$C$3:$E$275,3,0)</f>
        <v>58-2026/TS-AVP/ĐĐH</v>
      </c>
      <c r="O626" s="66">
        <v>46148.0</v>
      </c>
      <c r="P626" s="67" t="s">
        <v>1158</v>
      </c>
      <c r="Q626" s="68">
        <v>2000.0</v>
      </c>
      <c r="R626" s="68">
        <v>15209.2</v>
      </c>
      <c r="S626" s="68">
        <v>3.04184E7</v>
      </c>
      <c r="T626" s="68">
        <v>2433472.0</v>
      </c>
      <c r="U626" s="60">
        <f t="shared" si="2"/>
        <v>32851872</v>
      </c>
      <c r="V626" s="70"/>
      <c r="W626" s="23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</row>
    <row r="627" ht="25.5" customHeight="1">
      <c r="A627" s="55">
        <v>46148.0</v>
      </c>
      <c r="B627" s="56" t="s">
        <v>1157</v>
      </c>
      <c r="C627" s="56" t="s">
        <v>50</v>
      </c>
      <c r="D627" s="58" t="s">
        <v>49</v>
      </c>
      <c r="E627" s="58" t="s">
        <v>70</v>
      </c>
      <c r="F627" s="56" t="s">
        <v>71</v>
      </c>
      <c r="G627" s="60">
        <v>2000.0</v>
      </c>
      <c r="H627" s="62">
        <v>19206.0</v>
      </c>
      <c r="I627" s="64">
        <v>3.8412E7</v>
      </c>
      <c r="J627" s="64">
        <v>3072960.0</v>
      </c>
      <c r="K627" s="64">
        <v>4.148496E7</v>
      </c>
      <c r="L627" s="65" t="s">
        <v>950</v>
      </c>
      <c r="M627" s="65" t="str">
        <f>VLOOKUP(L627,'Đơn đặt'!$C$3:$E$275,2,0)</f>
        <v>03-12-TS</v>
      </c>
      <c r="N627" s="65" t="str">
        <f>VLOOKUP(L627,'Đơn đặt'!$C$3:$E$275,3,0)</f>
        <v>58-2026/TS-AVP/ĐĐH</v>
      </c>
      <c r="O627" s="66">
        <v>46148.0</v>
      </c>
      <c r="P627" s="67" t="s">
        <v>1158</v>
      </c>
      <c r="Q627" s="68">
        <v>2000.0</v>
      </c>
      <c r="R627" s="76">
        <v>15209.2</v>
      </c>
      <c r="S627" s="77">
        <v>3.04184E7</v>
      </c>
      <c r="T627" s="77">
        <v>2433472.0</v>
      </c>
      <c r="U627" s="60">
        <f t="shared" si="2"/>
        <v>32851872</v>
      </c>
      <c r="V627" s="70"/>
      <c r="W627" s="23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</row>
    <row r="628" ht="25.5" customHeight="1">
      <c r="A628" s="55">
        <v>46148.0</v>
      </c>
      <c r="B628" s="56" t="s">
        <v>1159</v>
      </c>
      <c r="C628" s="56" t="s">
        <v>48</v>
      </c>
      <c r="D628" s="58" t="s">
        <v>47</v>
      </c>
      <c r="E628" s="58" t="s">
        <v>70</v>
      </c>
      <c r="F628" s="56" t="s">
        <v>71</v>
      </c>
      <c r="G628" s="60">
        <v>4000.0</v>
      </c>
      <c r="H628" s="62">
        <v>19206.0</v>
      </c>
      <c r="I628" s="64">
        <v>7.6824E7</v>
      </c>
      <c r="J628" s="64">
        <v>6145920.0</v>
      </c>
      <c r="K628" s="64">
        <v>8.296992E7</v>
      </c>
      <c r="L628" s="65" t="s">
        <v>1146</v>
      </c>
      <c r="M628" s="65" t="str">
        <f>VLOOKUP(L628,'Đơn đặt'!$C$3:$E$275,2,0)</f>
        <v>03-12-TS</v>
      </c>
      <c r="N628" s="65" t="str">
        <f>VLOOKUP(L628,'Đơn đặt'!$C$3:$E$275,3,0)</f>
        <v>58-2026/TS-AVP/ĐĐH</v>
      </c>
      <c r="O628" s="66">
        <v>46148.0</v>
      </c>
      <c r="P628" s="67" t="s">
        <v>1160</v>
      </c>
      <c r="Q628" s="68">
        <v>4000.0</v>
      </c>
      <c r="R628" s="68">
        <v>15209.2</v>
      </c>
      <c r="S628" s="68">
        <v>6.08368E7</v>
      </c>
      <c r="T628" s="68">
        <v>4866944.0</v>
      </c>
      <c r="U628" s="60">
        <f t="shared" si="2"/>
        <v>65703744</v>
      </c>
      <c r="V628" s="70"/>
      <c r="W628" s="23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</row>
    <row r="629" ht="25.5" customHeight="1">
      <c r="A629" s="55">
        <v>46148.0</v>
      </c>
      <c r="B629" s="56" t="s">
        <v>1161</v>
      </c>
      <c r="C629" s="56" t="s">
        <v>222</v>
      </c>
      <c r="D629" s="58" t="s">
        <v>223</v>
      </c>
      <c r="E629" s="58" t="s">
        <v>70</v>
      </c>
      <c r="F629" s="56" t="s">
        <v>71</v>
      </c>
      <c r="G629" s="60">
        <v>4000.0</v>
      </c>
      <c r="H629" s="62">
        <v>20276.0</v>
      </c>
      <c r="I629" s="64">
        <v>8.1104E7</v>
      </c>
      <c r="J629" s="64">
        <v>6488320.0</v>
      </c>
      <c r="K629" s="64">
        <v>8.759232E7</v>
      </c>
      <c r="L629" s="65" t="s">
        <v>1162</v>
      </c>
      <c r="M629" s="65" t="str">
        <f>VLOOKUP(L629,'Đơn đặt'!$C$3:$E$275,2,0)</f>
        <v>02-11-TS</v>
      </c>
      <c r="N629" s="65" t="str">
        <f>VLOOKUP(L629,'Đơn đặt'!$C$3:$E$275,3,0)</f>
        <v>52-2026/TS-AVP/ĐĐH</v>
      </c>
      <c r="O629" s="66">
        <v>46148.0</v>
      </c>
      <c r="P629" s="67" t="s">
        <v>1163</v>
      </c>
      <c r="Q629" s="68">
        <v>4000.0</v>
      </c>
      <c r="R629" s="76">
        <v>18311.2</v>
      </c>
      <c r="S629" s="77">
        <v>7.32448E7</v>
      </c>
      <c r="T629" s="77">
        <v>5859584.0</v>
      </c>
      <c r="U629" s="60">
        <f t="shared" si="2"/>
        <v>79104384</v>
      </c>
      <c r="V629" s="70"/>
      <c r="W629" s="23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</row>
    <row r="630" ht="25.5" customHeight="1">
      <c r="A630" s="55">
        <v>46148.0</v>
      </c>
      <c r="B630" s="56" t="s">
        <v>1161</v>
      </c>
      <c r="C630" s="56" t="s">
        <v>329</v>
      </c>
      <c r="D630" s="58" t="s">
        <v>461</v>
      </c>
      <c r="E630" s="58" t="s">
        <v>70</v>
      </c>
      <c r="F630" s="56" t="s">
        <v>71</v>
      </c>
      <c r="G630" s="60">
        <v>1250.0</v>
      </c>
      <c r="H630" s="62">
        <v>21025.0</v>
      </c>
      <c r="I630" s="64">
        <v>2.628125E7</v>
      </c>
      <c r="J630" s="64">
        <v>2102500.0</v>
      </c>
      <c r="K630" s="64">
        <v>2.838375E7</v>
      </c>
      <c r="L630" s="65" t="s">
        <v>1164</v>
      </c>
      <c r="M630" s="65" t="str">
        <f>VLOOKUP(L630,'Đơn đặt'!$C$3:$E$275,2,0)</f>
        <v>04-08-TS</v>
      </c>
      <c r="N630" s="65" t="str">
        <f>VLOOKUP(L630,'Đơn đặt'!$C$3:$E$275,3,0)</f>
        <v>57-2026/TS-AVP/ĐĐH</v>
      </c>
      <c r="O630" s="66">
        <v>46148.0</v>
      </c>
      <c r="P630" s="67" t="s">
        <v>1163</v>
      </c>
      <c r="Q630" s="68">
        <v>1250.0</v>
      </c>
      <c r="R630" s="76">
        <v>18797.0</v>
      </c>
      <c r="S630" s="77">
        <v>2.349625E7</v>
      </c>
      <c r="T630" s="77">
        <v>1879700.0</v>
      </c>
      <c r="U630" s="60">
        <f t="shared" si="2"/>
        <v>25375950</v>
      </c>
      <c r="V630" s="70"/>
      <c r="W630" s="23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</row>
    <row r="631" ht="25.5" customHeight="1">
      <c r="A631" s="55">
        <v>46149.0</v>
      </c>
      <c r="B631" s="56" t="s">
        <v>1165</v>
      </c>
      <c r="C631" s="56" t="s">
        <v>59</v>
      </c>
      <c r="D631" s="58" t="s">
        <v>105</v>
      </c>
      <c r="E631" s="58" t="s">
        <v>70</v>
      </c>
      <c r="F631" s="56" t="s">
        <v>71</v>
      </c>
      <c r="G631" s="60">
        <v>4000.0</v>
      </c>
      <c r="H631" s="62">
        <v>19206.0</v>
      </c>
      <c r="I631" s="64">
        <v>7.6824E7</v>
      </c>
      <c r="J631" s="64">
        <v>6145920.0</v>
      </c>
      <c r="K631" s="64">
        <v>8.296992E7</v>
      </c>
      <c r="L631" s="84" t="s">
        <v>1150</v>
      </c>
      <c r="M631" s="65" t="str">
        <f>VLOOKUP(L631,'Đơn đặt'!$C$3:$E$275,2,0)</f>
        <v>03-12-TS</v>
      </c>
      <c r="N631" s="65" t="str">
        <f>VLOOKUP(L631,'Đơn đặt'!$C$3:$E$275,3,0)</f>
        <v>54-2026/TS-AVP/ĐĐH</v>
      </c>
      <c r="O631" s="66">
        <v>46149.0</v>
      </c>
      <c r="P631" s="67" t="s">
        <v>1166</v>
      </c>
      <c r="Q631" s="68">
        <v>4000.0</v>
      </c>
      <c r="R631" s="76">
        <v>17073.2</v>
      </c>
      <c r="S631" s="68">
        <v>6.82928E7</v>
      </c>
      <c r="T631" s="77">
        <v>5463424.0</v>
      </c>
      <c r="U631" s="60">
        <f t="shared" si="2"/>
        <v>73756224</v>
      </c>
      <c r="V631" s="70"/>
      <c r="W631" s="23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</row>
    <row r="632" ht="25.5" customHeight="1">
      <c r="A632" s="55">
        <v>46149.0</v>
      </c>
      <c r="B632" s="56" t="s">
        <v>1167</v>
      </c>
      <c r="C632" s="56" t="s">
        <v>59</v>
      </c>
      <c r="D632" s="58" t="s">
        <v>105</v>
      </c>
      <c r="E632" s="58" t="s">
        <v>70</v>
      </c>
      <c r="F632" s="56" t="s">
        <v>71</v>
      </c>
      <c r="G632" s="60">
        <v>1000.0</v>
      </c>
      <c r="H632" s="62">
        <v>19206.0</v>
      </c>
      <c r="I632" s="64">
        <v>1.9206E7</v>
      </c>
      <c r="J632" s="64">
        <v>1536480.0</v>
      </c>
      <c r="K632" s="64">
        <v>2.074248E7</v>
      </c>
      <c r="L632" s="84" t="s">
        <v>1150</v>
      </c>
      <c r="M632" s="65" t="str">
        <f>VLOOKUP(L632,'Đơn đặt'!$C$3:$E$275,2,0)</f>
        <v>03-12-TS</v>
      </c>
      <c r="N632" s="65" t="str">
        <f>VLOOKUP(L632,'Đơn đặt'!$C$3:$E$275,3,0)</f>
        <v>54-2026/TS-AVP/ĐĐH</v>
      </c>
      <c r="O632" s="66">
        <v>46149.0</v>
      </c>
      <c r="P632" s="67" t="s">
        <v>1168</v>
      </c>
      <c r="Q632" s="68">
        <v>1000.0</v>
      </c>
      <c r="R632" s="76">
        <v>17073.2</v>
      </c>
      <c r="S632" s="68">
        <v>1.70732E7</v>
      </c>
      <c r="T632" s="77">
        <v>1365856.0</v>
      </c>
      <c r="U632" s="60">
        <f t="shared" si="2"/>
        <v>18439056</v>
      </c>
      <c r="V632" s="70"/>
      <c r="W632" s="23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</row>
    <row r="633" ht="25.5" customHeight="1">
      <c r="A633" s="55">
        <v>46149.0</v>
      </c>
      <c r="B633" s="56" t="s">
        <v>1167</v>
      </c>
      <c r="C633" s="56" t="s">
        <v>247</v>
      </c>
      <c r="D633" s="58" t="s">
        <v>380</v>
      </c>
      <c r="E633" s="58" t="s">
        <v>70</v>
      </c>
      <c r="F633" s="56" t="s">
        <v>71</v>
      </c>
      <c r="G633" s="60">
        <v>1000.0</v>
      </c>
      <c r="H633" s="62">
        <v>19283.0</v>
      </c>
      <c r="I633" s="64">
        <f t="shared" ref="I633:I634" si="128">ROUND(G633*H633,0)</f>
        <v>19283000</v>
      </c>
      <c r="J633" s="64">
        <f t="shared" ref="J633:J634" si="129">ROUND(I633*0.08,0)</f>
        <v>1542640</v>
      </c>
      <c r="K633" s="64">
        <f t="shared" ref="K633:K634" si="130">I633+J633</f>
        <v>20825640</v>
      </c>
      <c r="L633" s="65" t="s">
        <v>1152</v>
      </c>
      <c r="M633" s="65" t="str">
        <f>VLOOKUP(L633,'Đơn đặt'!$C$3:$E$275,2,0)</f>
        <v>03-12-TS</v>
      </c>
      <c r="N633" s="65" t="str">
        <f>VLOOKUP(L633,'Đơn đặt'!$C$3:$E$275,3,0)</f>
        <v>54-2026/TS-AVP/ĐĐH</v>
      </c>
      <c r="O633" s="66">
        <v>46149.0</v>
      </c>
      <c r="P633" s="67" t="s">
        <v>1168</v>
      </c>
      <c r="Q633" s="68">
        <v>1000.0</v>
      </c>
      <c r="R633" s="76">
        <v>18448.6</v>
      </c>
      <c r="S633" s="64">
        <f t="shared" ref="S633:S634" si="131">ROUND(Q633*R633,0)</f>
        <v>18448600</v>
      </c>
      <c r="T633" s="64">
        <f t="shared" ref="T633:T634" si="132">ROUND(S633*0.08,0)</f>
        <v>1475888</v>
      </c>
      <c r="U633" s="60">
        <f t="shared" si="2"/>
        <v>19924488</v>
      </c>
      <c r="V633" s="70"/>
      <c r="W633" s="23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</row>
    <row r="634" ht="25.5" customHeight="1">
      <c r="A634" s="55">
        <v>46149.0</v>
      </c>
      <c r="B634" s="56" t="s">
        <v>1167</v>
      </c>
      <c r="C634" s="56" t="s">
        <v>247</v>
      </c>
      <c r="D634" s="58" t="s">
        <v>380</v>
      </c>
      <c r="E634" s="58" t="s">
        <v>70</v>
      </c>
      <c r="F634" s="56" t="s">
        <v>71</v>
      </c>
      <c r="G634" s="60">
        <v>520.0</v>
      </c>
      <c r="H634" s="62">
        <v>19283.0</v>
      </c>
      <c r="I634" s="64">
        <f t="shared" si="128"/>
        <v>10027160</v>
      </c>
      <c r="J634" s="64">
        <f t="shared" si="129"/>
        <v>802173</v>
      </c>
      <c r="K634" s="64">
        <f t="shared" si="130"/>
        <v>10829333</v>
      </c>
      <c r="L634" s="65" t="s">
        <v>1169</v>
      </c>
      <c r="M634" s="65" t="str">
        <f>VLOOKUP(L634,'Đơn đặt'!$C$3:$E$275,2,0)</f>
        <v>04-08-TS</v>
      </c>
      <c r="N634" s="65" t="str">
        <f>VLOOKUP(L634,'Đơn đặt'!$C$3:$E$275,3,0)</f>
        <v>57-2026/TS-AVP/ĐĐH</v>
      </c>
      <c r="O634" s="66">
        <v>46149.0</v>
      </c>
      <c r="P634" s="67" t="s">
        <v>1168</v>
      </c>
      <c r="Q634" s="68">
        <v>520.0</v>
      </c>
      <c r="R634" s="76">
        <v>18448.6</v>
      </c>
      <c r="S634" s="64">
        <f t="shared" si="131"/>
        <v>9593272</v>
      </c>
      <c r="T634" s="64">
        <f t="shared" si="132"/>
        <v>767462</v>
      </c>
      <c r="U634" s="60">
        <f t="shared" si="2"/>
        <v>10360734</v>
      </c>
      <c r="V634" s="70"/>
      <c r="W634" s="23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</row>
    <row r="635" ht="25.5" customHeight="1">
      <c r="A635" s="55">
        <v>46150.0</v>
      </c>
      <c r="B635" s="56" t="s">
        <v>792</v>
      </c>
      <c r="C635" s="56" t="s">
        <v>222</v>
      </c>
      <c r="D635" s="58" t="s">
        <v>223</v>
      </c>
      <c r="E635" s="58" t="s">
        <v>70</v>
      </c>
      <c r="F635" s="56" t="s">
        <v>71</v>
      </c>
      <c r="G635" s="60">
        <v>2000.0</v>
      </c>
      <c r="H635" s="62">
        <v>20276.0</v>
      </c>
      <c r="I635" s="64">
        <v>4.0552E7</v>
      </c>
      <c r="J635" s="64">
        <v>3244160.0</v>
      </c>
      <c r="K635" s="64">
        <v>4.379616E7</v>
      </c>
      <c r="L635" s="65" t="s">
        <v>1162</v>
      </c>
      <c r="M635" s="65" t="str">
        <f>VLOOKUP(L635,'Đơn đặt'!$C$3:$E$275,2,0)</f>
        <v>02-11-TS</v>
      </c>
      <c r="N635" s="65" t="str">
        <f>VLOOKUP(L635,'Đơn đặt'!$C$3:$E$275,3,0)</f>
        <v>52-2026/TS-AVP/ĐĐH</v>
      </c>
      <c r="O635" s="66">
        <v>46150.0</v>
      </c>
      <c r="P635" s="67" t="s">
        <v>1170</v>
      </c>
      <c r="Q635" s="68">
        <v>2000.0</v>
      </c>
      <c r="R635" s="76">
        <v>18311.2</v>
      </c>
      <c r="S635" s="77">
        <v>3.66224E7</v>
      </c>
      <c r="T635" s="77">
        <v>2929792.0</v>
      </c>
      <c r="U635" s="60">
        <f t="shared" si="2"/>
        <v>39552192</v>
      </c>
      <c r="V635" s="70"/>
      <c r="W635" s="23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</row>
    <row r="636" ht="25.5" customHeight="1">
      <c r="A636" s="55">
        <v>46150.0</v>
      </c>
      <c r="B636" s="56" t="s">
        <v>789</v>
      </c>
      <c r="C636" s="56" t="s">
        <v>48</v>
      </c>
      <c r="D636" s="58" t="s">
        <v>47</v>
      </c>
      <c r="E636" s="58" t="s">
        <v>70</v>
      </c>
      <c r="F636" s="56" t="s">
        <v>71</v>
      </c>
      <c r="G636" s="60">
        <v>6000.0</v>
      </c>
      <c r="H636" s="62">
        <v>19206.0</v>
      </c>
      <c r="I636" s="64">
        <v>1.15236E8</v>
      </c>
      <c r="J636" s="64">
        <v>9218880.0</v>
      </c>
      <c r="K636" s="64">
        <v>1.2445488E8</v>
      </c>
      <c r="L636" s="65" t="s">
        <v>1146</v>
      </c>
      <c r="M636" s="65" t="str">
        <f>VLOOKUP(L636,'Đơn đặt'!$C$3:$E$275,2,0)</f>
        <v>03-12-TS</v>
      </c>
      <c r="N636" s="65" t="str">
        <f>VLOOKUP(L636,'Đơn đặt'!$C$3:$E$275,3,0)</f>
        <v>58-2026/TS-AVP/ĐĐH</v>
      </c>
      <c r="O636" s="66">
        <v>46150.0</v>
      </c>
      <c r="P636" s="67" t="s">
        <v>1171</v>
      </c>
      <c r="Q636" s="68">
        <v>6000.0</v>
      </c>
      <c r="R636" s="68">
        <v>15209.2</v>
      </c>
      <c r="S636" s="68">
        <v>9.12552E7</v>
      </c>
      <c r="T636" s="68">
        <v>7300416.0</v>
      </c>
      <c r="U636" s="60">
        <f t="shared" si="2"/>
        <v>98555616</v>
      </c>
      <c r="V636" s="70"/>
      <c r="W636" s="23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</row>
    <row r="637" ht="25.5" customHeight="1">
      <c r="A637" s="55">
        <v>46150.0</v>
      </c>
      <c r="B637" s="56" t="s">
        <v>789</v>
      </c>
      <c r="C637" s="56" t="s">
        <v>50</v>
      </c>
      <c r="D637" s="58" t="s">
        <v>49</v>
      </c>
      <c r="E637" s="58" t="s">
        <v>70</v>
      </c>
      <c r="F637" s="56" t="s">
        <v>71</v>
      </c>
      <c r="G637" s="60">
        <v>2000.0</v>
      </c>
      <c r="H637" s="62">
        <v>19206.0</v>
      </c>
      <c r="I637" s="64">
        <v>3.8412E7</v>
      </c>
      <c r="J637" s="64">
        <v>3072960.0</v>
      </c>
      <c r="K637" s="64">
        <v>4.148496E7</v>
      </c>
      <c r="L637" s="65" t="s">
        <v>950</v>
      </c>
      <c r="M637" s="65" t="str">
        <f>VLOOKUP(L637,'Đơn đặt'!$C$3:$E$275,2,0)</f>
        <v>03-12-TS</v>
      </c>
      <c r="N637" s="65" t="str">
        <f>VLOOKUP(L637,'Đơn đặt'!$C$3:$E$275,3,0)</f>
        <v>58-2026/TS-AVP/ĐĐH</v>
      </c>
      <c r="O637" s="66">
        <v>46150.0</v>
      </c>
      <c r="P637" s="67" t="s">
        <v>1171</v>
      </c>
      <c r="Q637" s="68">
        <v>2000.0</v>
      </c>
      <c r="R637" s="76">
        <v>15209.2</v>
      </c>
      <c r="S637" s="77">
        <v>3.04184E7</v>
      </c>
      <c r="T637" s="77">
        <v>2433472.0</v>
      </c>
      <c r="U637" s="60">
        <f t="shared" si="2"/>
        <v>32851872</v>
      </c>
      <c r="V637" s="70"/>
      <c r="W637" s="23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</row>
    <row r="638" ht="25.5" customHeight="1">
      <c r="A638" s="55">
        <v>46153.0</v>
      </c>
      <c r="B638" s="56" t="s">
        <v>787</v>
      </c>
      <c r="C638" s="56" t="s">
        <v>59</v>
      </c>
      <c r="D638" s="58" t="s">
        <v>105</v>
      </c>
      <c r="E638" s="58" t="s">
        <v>70</v>
      </c>
      <c r="F638" s="56" t="s">
        <v>71</v>
      </c>
      <c r="G638" s="60">
        <v>2000.0</v>
      </c>
      <c r="H638" s="62">
        <v>19206.0</v>
      </c>
      <c r="I638" s="64">
        <v>3.8412E7</v>
      </c>
      <c r="J638" s="64">
        <v>3072960.0</v>
      </c>
      <c r="K638" s="64">
        <v>4.148496E7</v>
      </c>
      <c r="L638" s="84" t="s">
        <v>1150</v>
      </c>
      <c r="M638" s="65" t="str">
        <f>VLOOKUP(L638,'Đơn đặt'!$C$3:$E$275,2,0)</f>
        <v>03-12-TS</v>
      </c>
      <c r="N638" s="65" t="str">
        <f>VLOOKUP(L638,'Đơn đặt'!$C$3:$E$275,3,0)</f>
        <v>54-2026/TS-AVP/ĐĐH</v>
      </c>
      <c r="O638" s="66">
        <v>46151.0</v>
      </c>
      <c r="P638" s="67" t="s">
        <v>1172</v>
      </c>
      <c r="Q638" s="68">
        <v>2000.0</v>
      </c>
      <c r="R638" s="76">
        <v>17073.2</v>
      </c>
      <c r="S638" s="68">
        <v>3.41464E7</v>
      </c>
      <c r="T638" s="77">
        <v>2731712.0</v>
      </c>
      <c r="U638" s="60">
        <f t="shared" si="2"/>
        <v>36878112</v>
      </c>
      <c r="V638" s="70"/>
      <c r="W638" s="23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</row>
    <row r="639" ht="25.5" customHeight="1">
      <c r="A639" s="55">
        <v>46153.0</v>
      </c>
      <c r="B639" s="56" t="s">
        <v>787</v>
      </c>
      <c r="C639" s="56" t="s">
        <v>206</v>
      </c>
      <c r="D639" s="58" t="s">
        <v>207</v>
      </c>
      <c r="E639" s="58" t="s">
        <v>70</v>
      </c>
      <c r="F639" s="56" t="s">
        <v>71</v>
      </c>
      <c r="G639" s="60">
        <v>2800.0</v>
      </c>
      <c r="H639" s="62">
        <v>19041.0</v>
      </c>
      <c r="I639" s="64">
        <v>5.33148E7</v>
      </c>
      <c r="J639" s="64">
        <v>4265184.0</v>
      </c>
      <c r="K639" s="64">
        <v>5.7579984E7</v>
      </c>
      <c r="L639" s="65" t="s">
        <v>1135</v>
      </c>
      <c r="M639" s="65" t="str">
        <f>VLOOKUP(L639,'Đơn đặt'!$C$3:$E$275,2,0)</f>
        <v>02-11-TS</v>
      </c>
      <c r="N639" s="65" t="str">
        <f>VLOOKUP(L639,'Đơn đặt'!$C$3:$E$275,3,0)</f>
        <v>52-2026/TS-AVP/ĐĐH</v>
      </c>
      <c r="O639" s="66">
        <v>46151.0</v>
      </c>
      <c r="P639" s="67" t="s">
        <v>1172</v>
      </c>
      <c r="Q639" s="68">
        <v>2800.0</v>
      </c>
      <c r="R639" s="76">
        <v>18064.2</v>
      </c>
      <c r="S639" s="77">
        <v>5.057976E7</v>
      </c>
      <c r="T639" s="77">
        <v>4046381.0</v>
      </c>
      <c r="U639" s="60">
        <f t="shared" si="2"/>
        <v>54626141</v>
      </c>
      <c r="V639" s="70"/>
      <c r="W639" s="23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</row>
    <row r="640" ht="25.5" customHeight="1">
      <c r="A640" s="55">
        <v>46154.0</v>
      </c>
      <c r="B640" s="56" t="s">
        <v>1173</v>
      </c>
      <c r="C640" s="56" t="s">
        <v>244</v>
      </c>
      <c r="D640" s="58" t="s">
        <v>245</v>
      </c>
      <c r="E640" s="58" t="s">
        <v>70</v>
      </c>
      <c r="F640" s="56" t="s">
        <v>71</v>
      </c>
      <c r="G640" s="60">
        <v>60.0</v>
      </c>
      <c r="H640" s="62">
        <v>19901.0</v>
      </c>
      <c r="I640" s="64">
        <f t="shared" ref="I640:I641" si="133">ROUND(G640*H640,0)</f>
        <v>1194060</v>
      </c>
      <c r="J640" s="64">
        <f t="shared" ref="J640:J641" si="134">ROUND(I640*0.08,0)</f>
        <v>95525</v>
      </c>
      <c r="K640" s="64">
        <f t="shared" ref="K640:K641" si="135">I640+J640</f>
        <v>1289585</v>
      </c>
      <c r="L640" s="65" t="s">
        <v>1174</v>
      </c>
      <c r="M640" s="65" t="str">
        <f>VLOOKUP(L640,'Đơn đặt'!$C$3:$E$275,2,0)</f>
        <v>03-12-TS</v>
      </c>
      <c r="N640" s="65" t="str">
        <f>VLOOKUP(L640,'Đơn đặt'!$C$3:$E$275,3,0)</f>
        <v>54-2026/TS-AVP/ĐĐH</v>
      </c>
      <c r="O640" s="66">
        <v>46153.0</v>
      </c>
      <c r="P640" s="67" t="s">
        <v>1175</v>
      </c>
      <c r="Q640" s="68">
        <v>60.0</v>
      </c>
      <c r="R640" s="76">
        <v>19156.2</v>
      </c>
      <c r="S640" s="64">
        <f t="shared" ref="S640:S641" si="136">ROUND(Q640*R640,0)</f>
        <v>1149372</v>
      </c>
      <c r="T640" s="64">
        <f t="shared" ref="T640:T641" si="137">ROUND(S640*0.08,0)</f>
        <v>91950</v>
      </c>
      <c r="U640" s="60">
        <f t="shared" si="2"/>
        <v>1241322</v>
      </c>
      <c r="V640" s="70"/>
      <c r="W640" s="23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</row>
    <row r="641" ht="25.5" customHeight="1">
      <c r="A641" s="55">
        <v>46154.0</v>
      </c>
      <c r="B641" s="56" t="s">
        <v>1173</v>
      </c>
      <c r="C641" s="56" t="s">
        <v>244</v>
      </c>
      <c r="D641" s="58" t="s">
        <v>245</v>
      </c>
      <c r="E641" s="58" t="s">
        <v>70</v>
      </c>
      <c r="F641" s="56" t="s">
        <v>71</v>
      </c>
      <c r="G641" s="60">
        <v>1300.0</v>
      </c>
      <c r="H641" s="62">
        <v>19901.0</v>
      </c>
      <c r="I641" s="64">
        <f t="shared" si="133"/>
        <v>25871300</v>
      </c>
      <c r="J641" s="64">
        <f t="shared" si="134"/>
        <v>2069704</v>
      </c>
      <c r="K641" s="64">
        <f t="shared" si="135"/>
        <v>27941004</v>
      </c>
      <c r="L641" s="65" t="s">
        <v>1176</v>
      </c>
      <c r="M641" s="65" t="str">
        <f>VLOOKUP(L641,'Đơn đặt'!$C$3:$E$275,2,0)</f>
        <v>04-08-TS</v>
      </c>
      <c r="N641" s="65" t="str">
        <f>VLOOKUP(L641,'Đơn đặt'!$C$3:$E$275,3,0)</f>
        <v>57-2026/TS-AVP/ĐĐH</v>
      </c>
      <c r="O641" s="66">
        <v>46153.0</v>
      </c>
      <c r="P641" s="67" t="s">
        <v>1175</v>
      </c>
      <c r="Q641" s="68">
        <v>1300.0</v>
      </c>
      <c r="R641" s="76">
        <v>19156.2</v>
      </c>
      <c r="S641" s="64">
        <f t="shared" si="136"/>
        <v>24903060</v>
      </c>
      <c r="T641" s="64">
        <f t="shared" si="137"/>
        <v>1992245</v>
      </c>
      <c r="U641" s="60">
        <f t="shared" si="2"/>
        <v>26895305</v>
      </c>
      <c r="V641" s="70"/>
      <c r="W641" s="23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</row>
    <row r="642" ht="25.5" customHeight="1">
      <c r="A642" s="55">
        <v>46154.0</v>
      </c>
      <c r="B642" s="56" t="s">
        <v>1177</v>
      </c>
      <c r="C642" s="56" t="s">
        <v>50</v>
      </c>
      <c r="D642" s="58" t="s">
        <v>49</v>
      </c>
      <c r="E642" s="58" t="s">
        <v>70</v>
      </c>
      <c r="F642" s="56" t="s">
        <v>71</v>
      </c>
      <c r="G642" s="60">
        <v>2000.0</v>
      </c>
      <c r="H642" s="62">
        <v>19206.0</v>
      </c>
      <c r="I642" s="64">
        <v>3.8412E7</v>
      </c>
      <c r="J642" s="64">
        <v>3072960.0</v>
      </c>
      <c r="K642" s="64">
        <v>4.148496E7</v>
      </c>
      <c r="L642" s="65" t="s">
        <v>950</v>
      </c>
      <c r="M642" s="65" t="str">
        <f>VLOOKUP(L642,'Đơn đặt'!$C$3:$E$275,2,0)</f>
        <v>03-12-TS</v>
      </c>
      <c r="N642" s="65" t="str">
        <f>VLOOKUP(L642,'Đơn đặt'!$C$3:$E$275,3,0)</f>
        <v>58-2026/TS-AVP/ĐĐH</v>
      </c>
      <c r="O642" s="66">
        <v>46153.0</v>
      </c>
      <c r="P642" s="67" t="s">
        <v>1178</v>
      </c>
      <c r="Q642" s="68">
        <v>2000.0</v>
      </c>
      <c r="R642" s="76">
        <v>15209.2</v>
      </c>
      <c r="S642" s="77">
        <v>3.04184E7</v>
      </c>
      <c r="T642" s="77">
        <v>2433472.0</v>
      </c>
      <c r="U642" s="60">
        <f t="shared" si="2"/>
        <v>32851872</v>
      </c>
      <c r="V642" s="70"/>
      <c r="W642" s="23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</row>
    <row r="643" ht="25.5" customHeight="1">
      <c r="A643" s="55">
        <v>46154.0</v>
      </c>
      <c r="B643" s="56" t="s">
        <v>1177</v>
      </c>
      <c r="C643" s="56" t="s">
        <v>436</v>
      </c>
      <c r="D643" s="58" t="s">
        <v>437</v>
      </c>
      <c r="E643" s="58" t="s">
        <v>70</v>
      </c>
      <c r="F643" s="56" t="s">
        <v>71</v>
      </c>
      <c r="G643" s="60">
        <v>200.0</v>
      </c>
      <c r="H643" s="62">
        <v>19967.0</v>
      </c>
      <c r="I643" s="64">
        <v>3993400.0</v>
      </c>
      <c r="J643" s="64">
        <v>319472.0</v>
      </c>
      <c r="K643" s="64">
        <v>4312872.0</v>
      </c>
      <c r="L643" s="65" t="s">
        <v>1179</v>
      </c>
      <c r="M643" s="65" t="str">
        <f>VLOOKUP(L643,'Đơn đặt'!$C$3:$E$275,2,0)</f>
        <v>04-08-TS</v>
      </c>
      <c r="N643" s="65" t="str">
        <f>VLOOKUP(L643,'Đơn đặt'!$C$3:$E$275,3,0)</f>
        <v>59-2026/TS-AVP/ĐĐH</v>
      </c>
      <c r="O643" s="66">
        <v>46153.0</v>
      </c>
      <c r="P643" s="67" t="s">
        <v>1178</v>
      </c>
      <c r="Q643" s="68">
        <v>200.0</v>
      </c>
      <c r="R643" s="76">
        <v>17905.4</v>
      </c>
      <c r="S643" s="77">
        <v>3581080.0</v>
      </c>
      <c r="T643" s="77">
        <v>286486.0</v>
      </c>
      <c r="U643" s="60">
        <f t="shared" si="2"/>
        <v>3867566</v>
      </c>
      <c r="V643" s="70"/>
      <c r="W643" s="23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</row>
    <row r="644" ht="25.5" customHeight="1">
      <c r="A644" s="55">
        <v>46154.0</v>
      </c>
      <c r="B644" s="56" t="s">
        <v>799</v>
      </c>
      <c r="C644" s="56" t="s">
        <v>48</v>
      </c>
      <c r="D644" s="58" t="s">
        <v>47</v>
      </c>
      <c r="E644" s="58" t="s">
        <v>70</v>
      </c>
      <c r="F644" s="56" t="s">
        <v>71</v>
      </c>
      <c r="G644" s="60">
        <v>5000.0</v>
      </c>
      <c r="H644" s="62">
        <v>19206.0</v>
      </c>
      <c r="I644" s="64">
        <v>9.603E7</v>
      </c>
      <c r="J644" s="64">
        <v>7682400.0</v>
      </c>
      <c r="K644" s="64">
        <v>1.037124E8</v>
      </c>
      <c r="L644" s="65" t="s">
        <v>1146</v>
      </c>
      <c r="M644" s="65" t="str">
        <f>VLOOKUP(L644,'Đơn đặt'!$C$3:$E$275,2,0)</f>
        <v>03-12-TS</v>
      </c>
      <c r="N644" s="65" t="str">
        <f>VLOOKUP(L644,'Đơn đặt'!$C$3:$E$275,3,0)</f>
        <v>58-2026/TS-AVP/ĐĐH</v>
      </c>
      <c r="O644" s="66">
        <v>46153.0</v>
      </c>
      <c r="P644" s="93" t="s">
        <v>1180</v>
      </c>
      <c r="Q644" s="68">
        <v>5000.0</v>
      </c>
      <c r="R644" s="68">
        <v>15209.2</v>
      </c>
      <c r="S644" s="60">
        <f t="shared" ref="S644:S646" si="138">ROUND(Q644*R644,0)</f>
        <v>76046000</v>
      </c>
      <c r="T644" s="60">
        <f t="shared" ref="T644:T646" si="139">ROUND(S644*0.08,0)</f>
        <v>6083680</v>
      </c>
      <c r="U644" s="60">
        <f t="shared" si="2"/>
        <v>82129680</v>
      </c>
      <c r="V644" s="70"/>
      <c r="W644" s="23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</row>
    <row r="645" ht="25.5" customHeight="1">
      <c r="A645" s="55">
        <v>46154.0</v>
      </c>
      <c r="B645" s="56" t="s">
        <v>797</v>
      </c>
      <c r="C645" s="56" t="s">
        <v>59</v>
      </c>
      <c r="D645" s="58" t="s">
        <v>105</v>
      </c>
      <c r="E645" s="58" t="s">
        <v>70</v>
      </c>
      <c r="F645" s="56" t="s">
        <v>71</v>
      </c>
      <c r="G645" s="60">
        <v>3600.0</v>
      </c>
      <c r="H645" s="62">
        <v>19206.0</v>
      </c>
      <c r="I645" s="64">
        <v>6.91416E7</v>
      </c>
      <c r="J645" s="64">
        <v>5531328.0</v>
      </c>
      <c r="K645" s="64">
        <v>7.4672928E7</v>
      </c>
      <c r="L645" s="84" t="s">
        <v>1150</v>
      </c>
      <c r="M645" s="65" t="str">
        <f>VLOOKUP(L645,'Đơn đặt'!$C$3:$E$275,2,0)</f>
        <v>03-12-TS</v>
      </c>
      <c r="N645" s="65" t="str">
        <f>VLOOKUP(L645,'Đơn đặt'!$C$3:$E$275,3,0)</f>
        <v>54-2026/TS-AVP/ĐĐH</v>
      </c>
      <c r="O645" s="66">
        <v>46153.0</v>
      </c>
      <c r="P645" s="67" t="s">
        <v>1175</v>
      </c>
      <c r="Q645" s="68">
        <v>3600.0</v>
      </c>
      <c r="R645" s="76">
        <v>17073.2</v>
      </c>
      <c r="S645" s="60">
        <f t="shared" si="138"/>
        <v>61463520</v>
      </c>
      <c r="T645" s="64">
        <f t="shared" si="139"/>
        <v>4917082</v>
      </c>
      <c r="U645" s="60">
        <f t="shared" si="2"/>
        <v>66380602</v>
      </c>
      <c r="V645" s="70"/>
      <c r="W645" s="23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</row>
    <row r="646" ht="25.5" customHeight="1">
      <c r="A646" s="55">
        <v>46154.0</v>
      </c>
      <c r="B646" s="56" t="s">
        <v>802</v>
      </c>
      <c r="C646" s="56" t="s">
        <v>59</v>
      </c>
      <c r="D646" s="58" t="s">
        <v>105</v>
      </c>
      <c r="E646" s="58" t="s">
        <v>70</v>
      </c>
      <c r="F646" s="56" t="s">
        <v>71</v>
      </c>
      <c r="G646" s="60">
        <v>400.0</v>
      </c>
      <c r="H646" s="62">
        <v>19206.0</v>
      </c>
      <c r="I646" s="64">
        <v>7682400.0</v>
      </c>
      <c r="J646" s="64">
        <v>614592.0</v>
      </c>
      <c r="K646" s="64">
        <v>8296992.0</v>
      </c>
      <c r="L646" s="84" t="s">
        <v>1150</v>
      </c>
      <c r="M646" s="65" t="str">
        <f>VLOOKUP(L646,'Đơn đặt'!$C$3:$E$275,2,0)</f>
        <v>03-12-TS</v>
      </c>
      <c r="N646" s="65" t="str">
        <f>VLOOKUP(L646,'Đơn đặt'!$C$3:$E$275,3,0)</f>
        <v>54-2026/TS-AVP/ĐĐH</v>
      </c>
      <c r="O646" s="66">
        <v>46153.0</v>
      </c>
      <c r="P646" s="67" t="s">
        <v>1175</v>
      </c>
      <c r="Q646" s="68">
        <v>400.0</v>
      </c>
      <c r="R646" s="76">
        <v>17073.2</v>
      </c>
      <c r="S646" s="60">
        <f t="shared" si="138"/>
        <v>6829280</v>
      </c>
      <c r="T646" s="64">
        <f t="shared" si="139"/>
        <v>546342</v>
      </c>
      <c r="U646" s="60">
        <f t="shared" si="2"/>
        <v>7375622</v>
      </c>
      <c r="V646" s="70"/>
      <c r="W646" s="23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</row>
    <row r="647" ht="25.5" customHeight="1">
      <c r="A647" s="55">
        <v>46154.0</v>
      </c>
      <c r="B647" s="56" t="s">
        <v>802</v>
      </c>
      <c r="C647" s="56" t="s">
        <v>206</v>
      </c>
      <c r="D647" s="58" t="s">
        <v>207</v>
      </c>
      <c r="E647" s="58" t="s">
        <v>70</v>
      </c>
      <c r="F647" s="56" t="s">
        <v>71</v>
      </c>
      <c r="G647" s="60">
        <v>3000.0</v>
      </c>
      <c r="H647" s="62">
        <v>19041.0</v>
      </c>
      <c r="I647" s="64">
        <v>5.7123E7</v>
      </c>
      <c r="J647" s="64">
        <v>4569840.0</v>
      </c>
      <c r="K647" s="64">
        <v>6.169284E7</v>
      </c>
      <c r="L647" s="65" t="s">
        <v>1135</v>
      </c>
      <c r="M647" s="65" t="str">
        <f>VLOOKUP(L647,'Đơn đặt'!$C$3:$E$275,2,0)</f>
        <v>02-11-TS</v>
      </c>
      <c r="N647" s="65" t="str">
        <f>VLOOKUP(L647,'Đơn đặt'!$C$3:$E$275,3,0)</f>
        <v>52-2026/TS-AVP/ĐĐH</v>
      </c>
      <c r="O647" s="66">
        <v>46153.0</v>
      </c>
      <c r="P647" s="67" t="s">
        <v>1175</v>
      </c>
      <c r="Q647" s="68">
        <v>3000.0</v>
      </c>
      <c r="R647" s="76">
        <v>18064.2</v>
      </c>
      <c r="S647" s="77">
        <v>5.41926E7</v>
      </c>
      <c r="T647" s="77">
        <v>4335408.0</v>
      </c>
      <c r="U647" s="60">
        <f t="shared" si="2"/>
        <v>58528008</v>
      </c>
      <c r="V647" s="70"/>
      <c r="W647" s="23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</row>
    <row r="648" ht="25.5" customHeight="1">
      <c r="A648" s="55">
        <v>46154.0</v>
      </c>
      <c r="B648" s="56" t="s">
        <v>802</v>
      </c>
      <c r="C648" s="56" t="s">
        <v>244</v>
      </c>
      <c r="D648" s="58" t="s">
        <v>245</v>
      </c>
      <c r="E648" s="58" t="s">
        <v>70</v>
      </c>
      <c r="F648" s="56" t="s">
        <v>71</v>
      </c>
      <c r="G648" s="60">
        <v>1200.0</v>
      </c>
      <c r="H648" s="62">
        <v>19901.0</v>
      </c>
      <c r="I648" s="64">
        <v>2.38812E7</v>
      </c>
      <c r="J648" s="64">
        <v>1910496.0</v>
      </c>
      <c r="K648" s="64">
        <v>2.5791696E7</v>
      </c>
      <c r="L648" s="65" t="s">
        <v>1176</v>
      </c>
      <c r="M648" s="65" t="str">
        <f>VLOOKUP(L648,'Đơn đặt'!$C$3:$E$275,2,0)</f>
        <v>04-08-TS</v>
      </c>
      <c r="N648" s="65" t="str">
        <f>VLOOKUP(L648,'Đơn đặt'!$C$3:$E$275,3,0)</f>
        <v>57-2026/TS-AVP/ĐĐH</v>
      </c>
      <c r="O648" s="66">
        <v>46153.0</v>
      </c>
      <c r="P648" s="67" t="s">
        <v>1175</v>
      </c>
      <c r="Q648" s="68">
        <v>1200.0</v>
      </c>
      <c r="R648" s="76">
        <v>19156.2</v>
      </c>
      <c r="S648" s="64">
        <f>ROUND(Q648*R648,0)</f>
        <v>22987440</v>
      </c>
      <c r="T648" s="64">
        <f>ROUND(S648*0.08,0)</f>
        <v>1838995</v>
      </c>
      <c r="U648" s="60">
        <f t="shared" si="2"/>
        <v>24826435</v>
      </c>
      <c r="V648" s="70"/>
      <c r="W648" s="23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</row>
    <row r="649" ht="25.5" customHeight="1">
      <c r="A649" s="55">
        <v>46154.0</v>
      </c>
      <c r="B649" s="56" t="s">
        <v>1181</v>
      </c>
      <c r="C649" s="56" t="s">
        <v>9</v>
      </c>
      <c r="D649" s="58" t="s">
        <v>361</v>
      </c>
      <c r="E649" s="58" t="s">
        <v>70</v>
      </c>
      <c r="F649" s="56" t="s">
        <v>500</v>
      </c>
      <c r="G649" s="60">
        <v>1500000.0</v>
      </c>
      <c r="H649" s="62">
        <v>85.0</v>
      </c>
      <c r="I649" s="64">
        <v>1.275E8</v>
      </c>
      <c r="J649" s="64">
        <v>1.02E7</v>
      </c>
      <c r="K649" s="64">
        <v>1.377E8</v>
      </c>
      <c r="L649" s="65" t="s">
        <v>1182</v>
      </c>
      <c r="M649" s="65" t="str">
        <f>VLOOKUP(L649,'Đơn đặt'!$C$3:$E$275,2,0)</f>
        <v>05-07/TS-LP</v>
      </c>
      <c r="N649" s="65" t="str">
        <f>VLOOKUP(L649,'Đơn đặt'!$C$3:$E$275,3,0)</f>
        <v>46-2026/TS-AVP/ĐĐH</v>
      </c>
      <c r="O649" s="66">
        <v>46153.0</v>
      </c>
      <c r="P649" s="67" t="s">
        <v>1183</v>
      </c>
      <c r="Q649" s="68">
        <v>1500000.0</v>
      </c>
      <c r="R649" s="76">
        <v>78.6</v>
      </c>
      <c r="S649" s="77">
        <v>1.179E8</v>
      </c>
      <c r="T649" s="77">
        <v>9432000.0</v>
      </c>
      <c r="U649" s="60">
        <f t="shared" si="2"/>
        <v>127332000</v>
      </c>
      <c r="V649" s="70"/>
      <c r="W649" s="23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</row>
    <row r="650" ht="25.5" customHeight="1">
      <c r="A650" s="55">
        <v>46154.0</v>
      </c>
      <c r="B650" s="56" t="s">
        <v>1184</v>
      </c>
      <c r="C650" s="56" t="s">
        <v>1</v>
      </c>
      <c r="D650" s="58" t="s">
        <v>136</v>
      </c>
      <c r="E650" s="58" t="s">
        <v>70</v>
      </c>
      <c r="F650" s="56" t="s">
        <v>112</v>
      </c>
      <c r="G650" s="60">
        <v>1000.0</v>
      </c>
      <c r="H650" s="62">
        <v>42560.0</v>
      </c>
      <c r="I650" s="64">
        <v>4.256E7</v>
      </c>
      <c r="J650" s="64">
        <v>3404800.0</v>
      </c>
      <c r="K650" s="64">
        <v>4.59648E7</v>
      </c>
      <c r="L650" s="65" t="s">
        <v>1066</v>
      </c>
      <c r="M650" s="65" t="str">
        <f>VLOOKUP(L650,'Đơn đặt'!$C$3:$E$275,2,0)</f>
        <v>04-34/TS-LP</v>
      </c>
      <c r="N650" s="65" t="str">
        <f>VLOOKUP(L650,'Đơn đặt'!$C$3:$E$275,3,0)</f>
        <v>45-2026/TS-AVP/ĐĐH</v>
      </c>
      <c r="O650" s="66">
        <v>46153.0</v>
      </c>
      <c r="P650" s="67" t="s">
        <v>1185</v>
      </c>
      <c r="Q650" s="68">
        <v>1000.0</v>
      </c>
      <c r="R650" s="76">
        <v>38912.0</v>
      </c>
      <c r="S650" s="77">
        <f t="shared" ref="S650:S653" si="140">ROUND(Q650*R650,0)</f>
        <v>38912000</v>
      </c>
      <c r="T650" s="87">
        <f t="shared" ref="T650:T652" si="141">S650*0.08</f>
        <v>3112960</v>
      </c>
      <c r="U650" s="60">
        <f t="shared" si="2"/>
        <v>42024960</v>
      </c>
      <c r="V650" s="70"/>
      <c r="W650" s="23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</row>
    <row r="651" ht="25.5" customHeight="1">
      <c r="A651" s="55">
        <v>46154.0</v>
      </c>
      <c r="B651" s="56" t="s">
        <v>1184</v>
      </c>
      <c r="C651" s="56" t="s">
        <v>295</v>
      </c>
      <c r="D651" s="58" t="s">
        <v>341</v>
      </c>
      <c r="E651" s="58" t="s">
        <v>70</v>
      </c>
      <c r="F651" s="56" t="s">
        <v>112</v>
      </c>
      <c r="G651" s="60">
        <v>1000.0</v>
      </c>
      <c r="H651" s="62">
        <v>42560.0</v>
      </c>
      <c r="I651" s="64">
        <v>4.256E7</v>
      </c>
      <c r="J651" s="64">
        <v>3404800.0</v>
      </c>
      <c r="K651" s="64">
        <v>4.59648E7</v>
      </c>
      <c r="L651" s="65" t="s">
        <v>1186</v>
      </c>
      <c r="M651" s="65" t="str">
        <f>VLOOKUP(L651,'Đơn đặt'!$C$3:$E$275,2,0)</f>
        <v>05-11/TS-LP</v>
      </c>
      <c r="N651" s="65" t="str">
        <f>VLOOKUP(L651,'Đơn đặt'!$C$3:$E$275,3,0)</f>
        <v>49-2026/TS-AVP/ĐĐH</v>
      </c>
      <c r="O651" s="66">
        <v>46153.0</v>
      </c>
      <c r="P651" s="67" t="s">
        <v>1185</v>
      </c>
      <c r="Q651" s="68">
        <v>1000.0</v>
      </c>
      <c r="R651" s="76">
        <v>38912.0</v>
      </c>
      <c r="S651" s="77">
        <f t="shared" si="140"/>
        <v>38912000</v>
      </c>
      <c r="T651" s="87">
        <f t="shared" si="141"/>
        <v>3112960</v>
      </c>
      <c r="U651" s="60">
        <f t="shared" si="2"/>
        <v>42024960</v>
      </c>
      <c r="V651" s="70"/>
      <c r="W651" s="23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</row>
    <row r="652" ht="25.5" customHeight="1">
      <c r="A652" s="55">
        <v>46154.0</v>
      </c>
      <c r="B652" s="56" t="s">
        <v>1184</v>
      </c>
      <c r="C652" s="56" t="s">
        <v>299</v>
      </c>
      <c r="D652" s="58" t="s">
        <v>346</v>
      </c>
      <c r="E652" s="58" t="s">
        <v>70</v>
      </c>
      <c r="F652" s="56" t="s">
        <v>112</v>
      </c>
      <c r="G652" s="60">
        <v>1000.0</v>
      </c>
      <c r="H652" s="62">
        <v>42560.0</v>
      </c>
      <c r="I652" s="64">
        <v>4.256E7</v>
      </c>
      <c r="J652" s="64">
        <v>3404800.0</v>
      </c>
      <c r="K652" s="64">
        <v>4.59648E7</v>
      </c>
      <c r="L652" s="65" t="s">
        <v>1187</v>
      </c>
      <c r="M652" s="65" t="str">
        <f>VLOOKUP(L652,'Đơn đặt'!$C$3:$E$275,2,0)</f>
        <v>05-11/TS-LP</v>
      </c>
      <c r="N652" s="65" t="str">
        <f>VLOOKUP(L652,'Đơn đặt'!$C$3:$E$275,3,0)</f>
        <v>49-2026/TS-AVP/ĐĐH</v>
      </c>
      <c r="O652" s="66">
        <v>46153.0</v>
      </c>
      <c r="P652" s="67" t="s">
        <v>1185</v>
      </c>
      <c r="Q652" s="68">
        <v>1000.0</v>
      </c>
      <c r="R652" s="76">
        <v>38912.0</v>
      </c>
      <c r="S652" s="77">
        <f t="shared" si="140"/>
        <v>38912000</v>
      </c>
      <c r="T652" s="87">
        <f t="shared" si="141"/>
        <v>3112960</v>
      </c>
      <c r="U652" s="60">
        <f t="shared" si="2"/>
        <v>42024960</v>
      </c>
      <c r="V652" s="70"/>
      <c r="W652" s="23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</row>
    <row r="653" ht="25.5" customHeight="1">
      <c r="A653" s="55">
        <v>46154.0</v>
      </c>
      <c r="B653" s="56" t="s">
        <v>1188</v>
      </c>
      <c r="C653" s="56" t="s">
        <v>244</v>
      </c>
      <c r="D653" s="58" t="s">
        <v>245</v>
      </c>
      <c r="E653" s="58" t="s">
        <v>70</v>
      </c>
      <c r="F653" s="56" t="s">
        <v>71</v>
      </c>
      <c r="G653" s="60">
        <v>1330.0</v>
      </c>
      <c r="H653" s="62">
        <v>19901.0</v>
      </c>
      <c r="I653" s="64">
        <v>2.646833E7</v>
      </c>
      <c r="J653" s="64">
        <v>2117466.0</v>
      </c>
      <c r="K653" s="64">
        <v>2.8585796E7</v>
      </c>
      <c r="L653" s="65" t="s">
        <v>1176</v>
      </c>
      <c r="M653" s="65" t="str">
        <f>VLOOKUP(L653,'Đơn đặt'!$C$3:$E$275,2,0)</f>
        <v>04-08-TS</v>
      </c>
      <c r="N653" s="65" t="str">
        <f>VLOOKUP(L653,'Đơn đặt'!$C$3:$E$275,3,0)</f>
        <v>57-2026/TS-AVP/ĐĐH</v>
      </c>
      <c r="O653" s="66">
        <v>46154.0</v>
      </c>
      <c r="P653" s="67" t="s">
        <v>1189</v>
      </c>
      <c r="Q653" s="68">
        <v>1330.0</v>
      </c>
      <c r="R653" s="76">
        <v>19156.2</v>
      </c>
      <c r="S653" s="64">
        <f t="shared" si="140"/>
        <v>25477746</v>
      </c>
      <c r="T653" s="64">
        <f>ROUND(S653*0.08,0)</f>
        <v>2038220</v>
      </c>
      <c r="U653" s="60">
        <f t="shared" si="2"/>
        <v>27515966</v>
      </c>
      <c r="V653" s="70"/>
      <c r="W653" s="23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</row>
    <row r="654" ht="25.5" customHeight="1">
      <c r="A654" s="55">
        <v>46154.0</v>
      </c>
      <c r="B654" s="56" t="s">
        <v>1190</v>
      </c>
      <c r="C654" s="56" t="s">
        <v>38</v>
      </c>
      <c r="D654" s="58" t="s">
        <v>36</v>
      </c>
      <c r="E654" s="58" t="s">
        <v>70</v>
      </c>
      <c r="F654" s="56" t="s">
        <v>71</v>
      </c>
      <c r="G654" s="60">
        <v>2000.0</v>
      </c>
      <c r="H654" s="62">
        <v>19901.0</v>
      </c>
      <c r="I654" s="64">
        <v>3.9802E7</v>
      </c>
      <c r="J654" s="64">
        <v>3184160.0</v>
      </c>
      <c r="K654" s="64">
        <v>4.298616E7</v>
      </c>
      <c r="L654" s="65" t="s">
        <v>1138</v>
      </c>
      <c r="M654" s="65" t="str">
        <f>VLOOKUP(L654,'Đơn đặt'!$C$3:$E$275,2,0)</f>
        <v>04-08-TS</v>
      </c>
      <c r="N654" s="65" t="str">
        <f>VLOOKUP(L654,'Đơn đặt'!$C$3:$E$275,3,0)</f>
        <v>57-2026/TS-AVP/ĐĐH</v>
      </c>
      <c r="O654" s="66">
        <v>46154.0</v>
      </c>
      <c r="P654" s="67" t="s">
        <v>1189</v>
      </c>
      <c r="Q654" s="68">
        <v>2000.0</v>
      </c>
      <c r="R654" s="76">
        <v>19156.2</v>
      </c>
      <c r="S654" s="77">
        <v>3.83124E7</v>
      </c>
      <c r="T654" s="77">
        <v>3064992.0</v>
      </c>
      <c r="U654" s="60">
        <f t="shared" si="2"/>
        <v>41377392</v>
      </c>
      <c r="V654" s="70"/>
      <c r="W654" s="23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</row>
    <row r="655" ht="25.5" customHeight="1">
      <c r="A655" s="55">
        <v>46154.0</v>
      </c>
      <c r="B655" s="56" t="s">
        <v>1190</v>
      </c>
      <c r="C655" s="56" t="s">
        <v>35</v>
      </c>
      <c r="D655" s="58" t="s">
        <v>34</v>
      </c>
      <c r="E655" s="58" t="s">
        <v>70</v>
      </c>
      <c r="F655" s="56" t="s">
        <v>71</v>
      </c>
      <c r="G655" s="60">
        <v>1500.0</v>
      </c>
      <c r="H655" s="62">
        <v>15645.0</v>
      </c>
      <c r="I655" s="64">
        <v>2.34675E7</v>
      </c>
      <c r="J655" s="64">
        <v>1877400.0</v>
      </c>
      <c r="K655" s="64">
        <v>2.53449E7</v>
      </c>
      <c r="L655" s="91" t="s">
        <v>1155</v>
      </c>
      <c r="M655" s="65" t="str">
        <f>VLOOKUP(L655,'Đơn đặt'!$C$3:$E$275,2,0)</f>
        <v>04-08-TS</v>
      </c>
      <c r="N655" s="65" t="str">
        <f>VLOOKUP(L655,'Đơn đặt'!$C$3:$E$275,3,0)</f>
        <v>57-2026/TS-AVP/ĐĐH</v>
      </c>
      <c r="O655" s="66">
        <v>46154.0</v>
      </c>
      <c r="P655" s="67" t="s">
        <v>1189</v>
      </c>
      <c r="Q655" s="68">
        <v>1500.0</v>
      </c>
      <c r="R655" s="76">
        <v>14849.0</v>
      </c>
      <c r="S655" s="77">
        <v>2.22735E7</v>
      </c>
      <c r="T655" s="77">
        <v>1781880.0</v>
      </c>
      <c r="U655" s="60">
        <f t="shared" si="2"/>
        <v>24055380</v>
      </c>
      <c r="V655" s="70"/>
      <c r="W655" s="23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</row>
    <row r="656" ht="25.5" customHeight="1">
      <c r="A656" s="55">
        <v>46154.0</v>
      </c>
      <c r="B656" s="56" t="s">
        <v>1190</v>
      </c>
      <c r="C656" s="56" t="s">
        <v>244</v>
      </c>
      <c r="D656" s="58" t="s">
        <v>245</v>
      </c>
      <c r="E656" s="58" t="s">
        <v>70</v>
      </c>
      <c r="F656" s="56" t="s">
        <v>71</v>
      </c>
      <c r="G656" s="60">
        <v>560.0</v>
      </c>
      <c r="H656" s="62">
        <v>19901.0</v>
      </c>
      <c r="I656" s="64">
        <v>1.114456E7</v>
      </c>
      <c r="J656" s="64">
        <v>891565.0</v>
      </c>
      <c r="K656" s="64">
        <v>1.2036125E7</v>
      </c>
      <c r="L656" s="65" t="s">
        <v>1176</v>
      </c>
      <c r="M656" s="65" t="str">
        <f>VLOOKUP(L656,'Đơn đặt'!$C$3:$E$275,2,0)</f>
        <v>04-08-TS</v>
      </c>
      <c r="N656" s="65" t="str">
        <f>VLOOKUP(L656,'Đơn đặt'!$C$3:$E$275,3,0)</f>
        <v>57-2026/TS-AVP/ĐĐH</v>
      </c>
      <c r="O656" s="66">
        <v>46154.0</v>
      </c>
      <c r="P656" s="67" t="s">
        <v>1189</v>
      </c>
      <c r="Q656" s="68">
        <v>560.0</v>
      </c>
      <c r="R656" s="76">
        <v>19156.2</v>
      </c>
      <c r="S656" s="64">
        <f>ROUND(Q656*R656,0)</f>
        <v>10727472</v>
      </c>
      <c r="T656" s="64">
        <f>ROUND(S656*0.08,0)</f>
        <v>858198</v>
      </c>
      <c r="U656" s="60">
        <f t="shared" si="2"/>
        <v>11585670</v>
      </c>
      <c r="V656" s="70"/>
      <c r="W656" s="23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</row>
    <row r="657" ht="25.5" customHeight="1">
      <c r="A657" s="55">
        <v>46154.0</v>
      </c>
      <c r="B657" s="56" t="s">
        <v>1191</v>
      </c>
      <c r="C657" s="56" t="s">
        <v>9</v>
      </c>
      <c r="D657" s="58" t="s">
        <v>361</v>
      </c>
      <c r="E657" s="58" t="s">
        <v>70</v>
      </c>
      <c r="F657" s="56" t="s">
        <v>500</v>
      </c>
      <c r="G657" s="60">
        <v>1500000.0</v>
      </c>
      <c r="H657" s="62">
        <v>85.0</v>
      </c>
      <c r="I657" s="64">
        <v>1.275E8</v>
      </c>
      <c r="J657" s="64">
        <v>1.02E7</v>
      </c>
      <c r="K657" s="64">
        <v>1.377E8</v>
      </c>
      <c r="L657" s="65" t="s">
        <v>1182</v>
      </c>
      <c r="M657" s="65" t="str">
        <f>VLOOKUP(L657,'Đơn đặt'!$C$3:$E$275,2,0)</f>
        <v>05-07/TS-LP</v>
      </c>
      <c r="N657" s="65" t="str">
        <f>VLOOKUP(L657,'Đơn đặt'!$C$3:$E$275,3,0)</f>
        <v>46-2026/TS-AVP/ĐĐH</v>
      </c>
      <c r="O657" s="66">
        <v>46154.0</v>
      </c>
      <c r="P657" s="67" t="s">
        <v>1192</v>
      </c>
      <c r="Q657" s="68">
        <v>1500000.0</v>
      </c>
      <c r="R657" s="76">
        <v>78.6</v>
      </c>
      <c r="S657" s="77">
        <v>1.179E8</v>
      </c>
      <c r="T657" s="77">
        <v>9432000.0</v>
      </c>
      <c r="U657" s="60">
        <f t="shared" si="2"/>
        <v>127332000</v>
      </c>
      <c r="V657" s="70"/>
      <c r="W657" s="23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</row>
    <row r="658" ht="25.5" customHeight="1">
      <c r="A658" s="55">
        <v>46154.0</v>
      </c>
      <c r="B658" s="56" t="s">
        <v>1193</v>
      </c>
      <c r="C658" s="56" t="s">
        <v>77</v>
      </c>
      <c r="D658" s="58" t="s">
        <v>78</v>
      </c>
      <c r="E658" s="58" t="s">
        <v>70</v>
      </c>
      <c r="F658" s="56" t="s">
        <v>71</v>
      </c>
      <c r="G658" s="60">
        <v>3000.0</v>
      </c>
      <c r="H658" s="62">
        <v>22866.0</v>
      </c>
      <c r="I658" s="64">
        <v>6.8598E7</v>
      </c>
      <c r="J658" s="64">
        <v>5487840.0</v>
      </c>
      <c r="K658" s="64">
        <v>7.408584E7</v>
      </c>
      <c r="L658" s="65" t="s">
        <v>1194</v>
      </c>
      <c r="M658" s="65" t="str">
        <f>VLOOKUP(L658,'Đơn đặt'!$C$3:$E$275,2,0)</f>
        <v>04-12-TS</v>
      </c>
      <c r="N658" s="65" t="str">
        <f>VLOOKUP(L658,'Đơn đặt'!$C$3:$E$275,3,0)</f>
        <v>60-2026/TS-AVP/ĐĐH</v>
      </c>
      <c r="O658" s="66">
        <v>46154.0</v>
      </c>
      <c r="P658" s="67" t="s">
        <v>1195</v>
      </c>
      <c r="Q658" s="68">
        <v>3000.0</v>
      </c>
      <c r="R658" s="76">
        <v>20709.2</v>
      </c>
      <c r="S658" s="77">
        <v>6.21276E7</v>
      </c>
      <c r="T658" s="77">
        <v>4970208.0</v>
      </c>
      <c r="U658" s="60">
        <f t="shared" si="2"/>
        <v>67097808</v>
      </c>
      <c r="V658" s="70"/>
      <c r="W658" s="23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</row>
    <row r="659" ht="25.5" customHeight="1">
      <c r="A659" s="55">
        <v>46154.0</v>
      </c>
      <c r="B659" s="56" t="s">
        <v>813</v>
      </c>
      <c r="C659" s="56" t="s">
        <v>178</v>
      </c>
      <c r="D659" s="58" t="s">
        <v>179</v>
      </c>
      <c r="E659" s="58" t="s">
        <v>248</v>
      </c>
      <c r="F659" s="56" t="s">
        <v>819</v>
      </c>
      <c r="G659" s="60">
        <v>350.0</v>
      </c>
      <c r="H659" s="62">
        <v>288766.0</v>
      </c>
      <c r="I659" s="64">
        <v>1.010681E8</v>
      </c>
      <c r="J659" s="64">
        <v>8085448.0</v>
      </c>
      <c r="K659" s="64">
        <v>1.09153548E8</v>
      </c>
      <c r="L659" s="91" t="s">
        <v>1196</v>
      </c>
      <c r="M659" s="65">
        <f>VLOOKUP(L659,'Đơn đặt'!$C$3:$E$275,2,0)</f>
        <v>444</v>
      </c>
      <c r="N659" s="65" t="str">
        <f>VLOOKUP(L659,'Đơn đặt'!$C$3:$E$275,3,0)</f>
        <v>26/THP/02</v>
      </c>
      <c r="O659" s="55">
        <v>46154.0</v>
      </c>
      <c r="P659" s="56" t="s">
        <v>1197</v>
      </c>
      <c r="Q659" s="60">
        <v>350.0</v>
      </c>
      <c r="R659" s="62">
        <v>251353.2</v>
      </c>
      <c r="S659" s="64">
        <v>8.797362E7</v>
      </c>
      <c r="T659" s="64">
        <v>7037890.0</v>
      </c>
      <c r="U659" s="60">
        <f t="shared" si="2"/>
        <v>95011510</v>
      </c>
      <c r="V659" s="70"/>
      <c r="W659" s="23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</row>
    <row r="660" ht="25.5" customHeight="1">
      <c r="A660" s="55">
        <v>46155.0</v>
      </c>
      <c r="B660" s="56" t="s">
        <v>806</v>
      </c>
      <c r="C660" s="56" t="s">
        <v>48</v>
      </c>
      <c r="D660" s="58" t="s">
        <v>47</v>
      </c>
      <c r="E660" s="58" t="s">
        <v>70</v>
      </c>
      <c r="F660" s="56" t="s">
        <v>71</v>
      </c>
      <c r="G660" s="60">
        <v>6000.0</v>
      </c>
      <c r="H660" s="62">
        <v>19206.0</v>
      </c>
      <c r="I660" s="64">
        <v>1.15236E8</v>
      </c>
      <c r="J660" s="64">
        <v>9218880.0</v>
      </c>
      <c r="K660" s="64">
        <v>1.2445488E8</v>
      </c>
      <c r="L660" s="65" t="s">
        <v>1146</v>
      </c>
      <c r="M660" s="65" t="str">
        <f>VLOOKUP(L660,'Đơn đặt'!$C$3:$E$275,2,0)</f>
        <v>03-12-TS</v>
      </c>
      <c r="N660" s="65" t="str">
        <f>VLOOKUP(L660,'Đơn đặt'!$C$3:$E$275,3,0)</f>
        <v>58-2026/TS-AVP/ĐĐH</v>
      </c>
      <c r="O660" s="66">
        <v>46155.0</v>
      </c>
      <c r="P660" s="67" t="s">
        <v>1198</v>
      </c>
      <c r="Q660" s="68">
        <v>6000.0</v>
      </c>
      <c r="R660" s="68">
        <v>15209.2</v>
      </c>
      <c r="S660" s="68">
        <v>9.12552E7</v>
      </c>
      <c r="T660" s="68">
        <v>7300416.0</v>
      </c>
      <c r="U660" s="60">
        <f t="shared" si="2"/>
        <v>98555616</v>
      </c>
      <c r="V660" s="70"/>
      <c r="W660" s="23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</row>
    <row r="661" ht="25.5" customHeight="1">
      <c r="A661" s="55">
        <v>46155.0</v>
      </c>
      <c r="B661" s="56" t="s">
        <v>809</v>
      </c>
      <c r="C661" s="56" t="s">
        <v>55</v>
      </c>
      <c r="D661" s="58" t="s">
        <v>53</v>
      </c>
      <c r="E661" s="58" t="s">
        <v>70</v>
      </c>
      <c r="F661" s="56" t="s">
        <v>71</v>
      </c>
      <c r="G661" s="60">
        <v>2500.0</v>
      </c>
      <c r="H661" s="62">
        <v>21025.0</v>
      </c>
      <c r="I661" s="64">
        <v>5.25625E7</v>
      </c>
      <c r="J661" s="64">
        <v>4205000.0</v>
      </c>
      <c r="K661" s="64">
        <v>5.67675E7</v>
      </c>
      <c r="L661" s="65" t="s">
        <v>958</v>
      </c>
      <c r="M661" s="65" t="str">
        <f>VLOOKUP(L661,'Đơn đặt'!$C$3:$E$275,2,0)</f>
        <v>03-12-TS</v>
      </c>
      <c r="N661" s="65" t="str">
        <f>VLOOKUP(L661,'Đơn đặt'!$C$3:$E$275,3,0)</f>
        <v>36-2026/TS-AVP/ĐĐH</v>
      </c>
      <c r="O661" s="66">
        <v>46155.0</v>
      </c>
      <c r="P661" s="67" t="s">
        <v>1199</v>
      </c>
      <c r="Q661" s="68">
        <v>2500.0</v>
      </c>
      <c r="R661" s="76">
        <v>16989.0</v>
      </c>
      <c r="S661" s="77">
        <v>4.24725E7</v>
      </c>
      <c r="T661" s="77">
        <v>3397800.0</v>
      </c>
      <c r="U661" s="60">
        <f t="shared" si="2"/>
        <v>45870300</v>
      </c>
      <c r="V661" s="70"/>
      <c r="W661" s="23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</row>
    <row r="662" ht="25.5" customHeight="1">
      <c r="A662" s="55">
        <v>46155.0</v>
      </c>
      <c r="B662" s="56" t="s">
        <v>807</v>
      </c>
      <c r="C662" s="56" t="s">
        <v>119</v>
      </c>
      <c r="D662" s="58" t="s">
        <v>120</v>
      </c>
      <c r="E662" s="58" t="s">
        <v>70</v>
      </c>
      <c r="F662" s="56" t="s">
        <v>71</v>
      </c>
      <c r="G662" s="60">
        <v>1500.0</v>
      </c>
      <c r="H662" s="62">
        <v>20276.0</v>
      </c>
      <c r="I662" s="64">
        <v>3.0414E7</v>
      </c>
      <c r="J662" s="64">
        <v>2433120.0</v>
      </c>
      <c r="K662" s="64">
        <v>3.284712E7</v>
      </c>
      <c r="L662" s="65" t="s">
        <v>1200</v>
      </c>
      <c r="M662" s="65" t="str">
        <f>VLOOKUP(L662,'Đơn đặt'!$C$3:$E$275,2,0)</f>
        <v>02-11-TS</v>
      </c>
      <c r="N662" s="65" t="str">
        <f>VLOOKUP(L662,'Đơn đặt'!$C$3:$E$275,3,0)</f>
        <v>52-2026/TS-AVP/ĐĐH</v>
      </c>
      <c r="O662" s="66">
        <v>46155.0</v>
      </c>
      <c r="P662" s="67" t="s">
        <v>1201</v>
      </c>
      <c r="Q662" s="68">
        <v>1500.0</v>
      </c>
      <c r="R662" s="76">
        <v>18311.2</v>
      </c>
      <c r="S662" s="77">
        <v>2.74668E7</v>
      </c>
      <c r="T662" s="77">
        <v>2197344.0</v>
      </c>
      <c r="U662" s="60">
        <f t="shared" si="2"/>
        <v>29664144</v>
      </c>
      <c r="V662" s="70"/>
      <c r="W662" s="23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</row>
    <row r="663" ht="25.5" customHeight="1">
      <c r="A663" s="55">
        <v>46155.0</v>
      </c>
      <c r="B663" s="56" t="s">
        <v>807</v>
      </c>
      <c r="C663" s="56" t="s">
        <v>206</v>
      </c>
      <c r="D663" s="58" t="s">
        <v>207</v>
      </c>
      <c r="E663" s="58" t="s">
        <v>70</v>
      </c>
      <c r="F663" s="56" t="s">
        <v>71</v>
      </c>
      <c r="G663" s="60">
        <v>1200.0</v>
      </c>
      <c r="H663" s="62">
        <v>19041.0</v>
      </c>
      <c r="I663" s="64">
        <v>2.28492E7</v>
      </c>
      <c r="J663" s="64">
        <v>1827936.0</v>
      </c>
      <c r="K663" s="64">
        <v>2.4677136E7</v>
      </c>
      <c r="L663" s="65" t="s">
        <v>1135</v>
      </c>
      <c r="M663" s="65" t="str">
        <f>VLOOKUP(L663,'Đơn đặt'!$C$3:$E$275,2,0)</f>
        <v>02-11-TS</v>
      </c>
      <c r="N663" s="65" t="str">
        <f>VLOOKUP(L663,'Đơn đặt'!$C$3:$E$275,3,0)</f>
        <v>52-2026/TS-AVP/ĐĐH</v>
      </c>
      <c r="O663" s="66">
        <v>46155.0</v>
      </c>
      <c r="P663" s="67" t="s">
        <v>1201</v>
      </c>
      <c r="Q663" s="68">
        <v>1200.0</v>
      </c>
      <c r="R663" s="76">
        <v>18064.2</v>
      </c>
      <c r="S663" s="64">
        <f>ROUND(Q663*R663,0)</f>
        <v>21677040</v>
      </c>
      <c r="T663" s="64">
        <f>ROUND(S663*0.08,0)</f>
        <v>1734163</v>
      </c>
      <c r="U663" s="60">
        <f t="shared" si="2"/>
        <v>23411203</v>
      </c>
      <c r="V663" s="70"/>
      <c r="W663" s="23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</row>
    <row r="664" ht="25.5" customHeight="1">
      <c r="A664" s="55">
        <v>46155.0</v>
      </c>
      <c r="B664" s="56" t="s">
        <v>807</v>
      </c>
      <c r="C664" s="56" t="s">
        <v>244</v>
      </c>
      <c r="D664" s="58" t="s">
        <v>245</v>
      </c>
      <c r="E664" s="58" t="s">
        <v>70</v>
      </c>
      <c r="F664" s="56" t="s">
        <v>71</v>
      </c>
      <c r="G664" s="60">
        <v>110.0</v>
      </c>
      <c r="H664" s="62">
        <v>19901.0</v>
      </c>
      <c r="I664" s="64">
        <v>2189110.0</v>
      </c>
      <c r="J664" s="64">
        <v>175129.0</v>
      </c>
      <c r="K664" s="64">
        <v>2364239.0</v>
      </c>
      <c r="L664" s="65" t="s">
        <v>1176</v>
      </c>
      <c r="M664" s="65" t="str">
        <f>VLOOKUP(L664,'Đơn đặt'!$C$3:$E$275,2,0)</f>
        <v>04-08-TS</v>
      </c>
      <c r="N664" s="65" t="str">
        <f>VLOOKUP(L664,'Đơn đặt'!$C$3:$E$275,3,0)</f>
        <v>57-2026/TS-AVP/ĐĐH</v>
      </c>
      <c r="O664" s="66">
        <v>46155.0</v>
      </c>
      <c r="P664" s="67" t="s">
        <v>1201</v>
      </c>
      <c r="Q664" s="68">
        <v>110.0</v>
      </c>
      <c r="R664" s="76">
        <v>19156.2</v>
      </c>
      <c r="S664" s="77">
        <v>2107182.0</v>
      </c>
      <c r="T664" s="77">
        <v>168575.0</v>
      </c>
      <c r="U664" s="60">
        <f t="shared" si="2"/>
        <v>2275757</v>
      </c>
      <c r="V664" s="70"/>
      <c r="W664" s="23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</row>
    <row r="665" ht="25.5" customHeight="1">
      <c r="A665" s="55">
        <v>46155.0</v>
      </c>
      <c r="B665" s="56" t="s">
        <v>1202</v>
      </c>
      <c r="C665" s="56" t="s">
        <v>59</v>
      </c>
      <c r="D665" s="58" t="s">
        <v>105</v>
      </c>
      <c r="E665" s="58" t="s">
        <v>70</v>
      </c>
      <c r="F665" s="56" t="s">
        <v>71</v>
      </c>
      <c r="G665" s="60">
        <v>3000.0</v>
      </c>
      <c r="H665" s="62">
        <v>19206.0</v>
      </c>
      <c r="I665" s="64">
        <v>5.7618E7</v>
      </c>
      <c r="J665" s="64">
        <v>4609440.0</v>
      </c>
      <c r="K665" s="64">
        <v>6.222744E7</v>
      </c>
      <c r="L665" s="84" t="s">
        <v>1150</v>
      </c>
      <c r="M665" s="65" t="str">
        <f>VLOOKUP(L665,'Đơn đặt'!$C$3:$E$275,2,0)</f>
        <v>03-12-TS</v>
      </c>
      <c r="N665" s="65" t="str">
        <f>VLOOKUP(L665,'Đơn đặt'!$C$3:$E$275,3,0)</f>
        <v>54-2026/TS-AVP/ĐĐH</v>
      </c>
      <c r="O665" s="66">
        <v>46155.0</v>
      </c>
      <c r="P665" s="67" t="s">
        <v>1201</v>
      </c>
      <c r="Q665" s="68">
        <v>3000.0</v>
      </c>
      <c r="R665" s="76">
        <v>17073.2</v>
      </c>
      <c r="S665" s="68">
        <v>5.12196E7</v>
      </c>
      <c r="T665" s="77">
        <v>4097568.0</v>
      </c>
      <c r="U665" s="60">
        <f t="shared" si="2"/>
        <v>55317168</v>
      </c>
      <c r="V665" s="70"/>
      <c r="W665" s="23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</row>
    <row r="666" ht="25.5" customHeight="1">
      <c r="A666" s="55">
        <v>46155.0</v>
      </c>
      <c r="B666" s="56" t="s">
        <v>1202</v>
      </c>
      <c r="C666" s="56" t="s">
        <v>206</v>
      </c>
      <c r="D666" s="58" t="s">
        <v>207</v>
      </c>
      <c r="E666" s="58" t="s">
        <v>70</v>
      </c>
      <c r="F666" s="56" t="s">
        <v>71</v>
      </c>
      <c r="G666" s="60">
        <v>800.0</v>
      </c>
      <c r="H666" s="62">
        <v>19041.0</v>
      </c>
      <c r="I666" s="64">
        <v>1.52328E7</v>
      </c>
      <c r="J666" s="64">
        <v>1218624.0</v>
      </c>
      <c r="K666" s="64">
        <v>1.6451424E7</v>
      </c>
      <c r="L666" s="65" t="s">
        <v>1135</v>
      </c>
      <c r="M666" s="65" t="str">
        <f>VLOOKUP(L666,'Đơn đặt'!$C$3:$E$275,2,0)</f>
        <v>02-11-TS</v>
      </c>
      <c r="N666" s="65" t="str">
        <f>VLOOKUP(L666,'Đơn đặt'!$C$3:$E$275,3,0)</f>
        <v>52-2026/TS-AVP/ĐĐH</v>
      </c>
      <c r="O666" s="66">
        <v>46155.0</v>
      </c>
      <c r="P666" s="67" t="s">
        <v>1201</v>
      </c>
      <c r="Q666" s="68">
        <v>800.0</v>
      </c>
      <c r="R666" s="76">
        <v>18064.2</v>
      </c>
      <c r="S666" s="64">
        <f>ROUND(Q666*R666,0)</f>
        <v>14451360</v>
      </c>
      <c r="T666" s="64">
        <f>ROUND(S666*0.08,0)</f>
        <v>1156109</v>
      </c>
      <c r="U666" s="60">
        <f t="shared" si="2"/>
        <v>15607469</v>
      </c>
      <c r="V666" s="70"/>
      <c r="W666" s="23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</row>
    <row r="667" ht="25.5" customHeight="1">
      <c r="A667" s="55">
        <v>46157.0</v>
      </c>
      <c r="B667" s="56" t="s">
        <v>1203</v>
      </c>
      <c r="C667" s="56" t="s">
        <v>402</v>
      </c>
      <c r="D667" s="58" t="s">
        <v>403</v>
      </c>
      <c r="E667" s="58" t="s">
        <v>70</v>
      </c>
      <c r="F667" s="56" t="s">
        <v>71</v>
      </c>
      <c r="G667" s="60">
        <v>1000.0</v>
      </c>
      <c r="H667" s="62">
        <v>19901.0</v>
      </c>
      <c r="I667" s="64">
        <v>1.9901E7</v>
      </c>
      <c r="J667" s="64">
        <v>1592080.0</v>
      </c>
      <c r="K667" s="64">
        <v>2.149308E7</v>
      </c>
      <c r="L667" s="65" t="s">
        <v>1024</v>
      </c>
      <c r="M667" s="65" t="str">
        <f>VLOOKUP(L667,'Đơn đặt'!$C$3:$E$275,2,0)</f>
        <v>04-08-TS</v>
      </c>
      <c r="N667" s="65" t="str">
        <f>VLOOKUP(L667,'Đơn đặt'!$C$3:$E$275,3,0)</f>
        <v>57-2026/TS-AVP/ĐĐH</v>
      </c>
      <c r="O667" s="66">
        <v>46157.0</v>
      </c>
      <c r="P667" s="67" t="s">
        <v>1204</v>
      </c>
      <c r="Q667" s="68">
        <v>1000.0</v>
      </c>
      <c r="R667" s="76">
        <v>19156.2</v>
      </c>
      <c r="S667" s="77">
        <v>1.91562E7</v>
      </c>
      <c r="T667" s="77">
        <v>1532496.0</v>
      </c>
      <c r="U667" s="60">
        <f t="shared" si="2"/>
        <v>20688696</v>
      </c>
      <c r="V667" s="70"/>
      <c r="W667" s="23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</row>
    <row r="668" ht="25.5" customHeight="1">
      <c r="A668" s="55">
        <v>46157.0</v>
      </c>
      <c r="B668" s="56" t="s">
        <v>1203</v>
      </c>
      <c r="C668" s="56" t="s">
        <v>266</v>
      </c>
      <c r="D668" s="58" t="s">
        <v>516</v>
      </c>
      <c r="E668" s="58" t="s">
        <v>70</v>
      </c>
      <c r="F668" s="56" t="s">
        <v>71</v>
      </c>
      <c r="G668" s="60">
        <v>900.0</v>
      </c>
      <c r="H668" s="62">
        <v>18191.0</v>
      </c>
      <c r="I668" s="64">
        <v>1.63719E7</v>
      </c>
      <c r="J668" s="64">
        <v>1309752.0</v>
      </c>
      <c r="K668" s="64">
        <v>1.7681652E7</v>
      </c>
      <c r="L668" s="65" t="s">
        <v>1205</v>
      </c>
      <c r="M668" s="65" t="str">
        <f>VLOOKUP(L668,'Đơn đặt'!$C$3:$E$275,2,0)</f>
        <v>01-04-TS</v>
      </c>
      <c r="N668" s="65" t="str">
        <f>VLOOKUP(L668,'Đơn đặt'!$C$3:$E$275,3,0)</f>
        <v>51-2026/TS-AVP/ĐĐH</v>
      </c>
      <c r="O668" s="66">
        <v>46157.0</v>
      </c>
      <c r="P668" s="67" t="s">
        <v>1204</v>
      </c>
      <c r="Q668" s="68">
        <v>900.0</v>
      </c>
      <c r="R668" s="76">
        <v>17454.2</v>
      </c>
      <c r="S668" s="77">
        <v>1.570878E7</v>
      </c>
      <c r="T668" s="77">
        <v>1256702.0</v>
      </c>
      <c r="U668" s="60">
        <f t="shared" si="2"/>
        <v>16965482</v>
      </c>
      <c r="V668" s="70"/>
      <c r="W668" s="23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</row>
    <row r="669" ht="25.5" customHeight="1">
      <c r="A669" s="55">
        <v>46157.0</v>
      </c>
      <c r="B669" s="56" t="s">
        <v>1206</v>
      </c>
      <c r="C669" s="56" t="s">
        <v>14</v>
      </c>
      <c r="D669" s="58" t="s">
        <v>13</v>
      </c>
      <c r="E669" s="58" t="s">
        <v>70</v>
      </c>
      <c r="F669" s="56" t="s">
        <v>71</v>
      </c>
      <c r="G669" s="60">
        <v>3000.0</v>
      </c>
      <c r="H669" s="62">
        <v>20374.0</v>
      </c>
      <c r="I669" s="64">
        <v>6.1122E7</v>
      </c>
      <c r="J669" s="64">
        <v>4889760.0</v>
      </c>
      <c r="K669" s="64">
        <v>6.601176E7</v>
      </c>
      <c r="L669" s="65" t="s">
        <v>1207</v>
      </c>
      <c r="M669" s="65" t="str">
        <f>VLOOKUP(L669,'Đơn đặt'!$C$3:$E$275,2,0)</f>
        <v>03-12-TS</v>
      </c>
      <c r="N669" s="65" t="str">
        <f>VLOOKUP(L669,'Đơn đặt'!$C$3:$E$275,3,0)</f>
        <v>54-2026/TS-AVP/ĐĐH</v>
      </c>
      <c r="O669" s="66">
        <v>46157.0</v>
      </c>
      <c r="P669" s="67" t="s">
        <v>1204</v>
      </c>
      <c r="Q669" s="68">
        <v>3000.0</v>
      </c>
      <c r="R669" s="76">
        <v>18666.8</v>
      </c>
      <c r="S669" s="77">
        <v>5.60004E7</v>
      </c>
      <c r="T669" s="77">
        <v>4480032.0</v>
      </c>
      <c r="U669" s="60">
        <f t="shared" si="2"/>
        <v>60480432</v>
      </c>
      <c r="V669" s="70"/>
      <c r="W669" s="23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</row>
    <row r="670" ht="25.5" customHeight="1">
      <c r="A670" s="55">
        <v>46157.0</v>
      </c>
      <c r="B670" s="56" t="s">
        <v>1206</v>
      </c>
      <c r="C670" s="56" t="s">
        <v>119</v>
      </c>
      <c r="D670" s="58" t="s">
        <v>120</v>
      </c>
      <c r="E670" s="58" t="s">
        <v>70</v>
      </c>
      <c r="F670" s="56" t="s">
        <v>71</v>
      </c>
      <c r="G670" s="60">
        <v>500.0</v>
      </c>
      <c r="H670" s="62">
        <v>20276.0</v>
      </c>
      <c r="I670" s="64">
        <v>1.0138E7</v>
      </c>
      <c r="J670" s="64">
        <v>811040.0</v>
      </c>
      <c r="K670" s="64">
        <v>1.094904E7</v>
      </c>
      <c r="L670" s="65" t="s">
        <v>1200</v>
      </c>
      <c r="M670" s="65" t="str">
        <f>VLOOKUP(L670,'Đơn đặt'!$C$3:$E$275,2,0)</f>
        <v>02-11-TS</v>
      </c>
      <c r="N670" s="65" t="str">
        <f>VLOOKUP(L670,'Đơn đặt'!$C$3:$E$275,3,0)</f>
        <v>52-2026/TS-AVP/ĐĐH</v>
      </c>
      <c r="O670" s="66">
        <v>46157.0</v>
      </c>
      <c r="P670" s="67" t="s">
        <v>1204</v>
      </c>
      <c r="Q670" s="68">
        <v>500.0</v>
      </c>
      <c r="R670" s="76">
        <v>18311.2</v>
      </c>
      <c r="S670" s="77">
        <v>9155600.0</v>
      </c>
      <c r="T670" s="77">
        <v>732448.0</v>
      </c>
      <c r="U670" s="60">
        <f t="shared" si="2"/>
        <v>9888048</v>
      </c>
      <c r="V670" s="70"/>
      <c r="W670" s="23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</row>
    <row r="671" ht="25.5" customHeight="1">
      <c r="A671" s="55">
        <v>46157.0</v>
      </c>
      <c r="B671" s="56" t="s">
        <v>1208</v>
      </c>
      <c r="C671" s="56" t="s">
        <v>50</v>
      </c>
      <c r="D671" s="58" t="s">
        <v>49</v>
      </c>
      <c r="E671" s="58" t="s">
        <v>70</v>
      </c>
      <c r="F671" s="56" t="s">
        <v>71</v>
      </c>
      <c r="G671" s="60">
        <v>2000.0</v>
      </c>
      <c r="H671" s="62">
        <v>19206.0</v>
      </c>
      <c r="I671" s="64">
        <v>3.8412E7</v>
      </c>
      <c r="J671" s="64">
        <v>3072960.0</v>
      </c>
      <c r="K671" s="64">
        <v>4.148496E7</v>
      </c>
      <c r="L671" s="65" t="s">
        <v>950</v>
      </c>
      <c r="M671" s="65" t="str">
        <f>VLOOKUP(L671,'Đơn đặt'!$C$3:$E$275,2,0)</f>
        <v>03-12-TS</v>
      </c>
      <c r="N671" s="65" t="str">
        <f>VLOOKUP(L671,'Đơn đặt'!$C$3:$E$275,3,0)</f>
        <v>58-2026/TS-AVP/ĐĐH</v>
      </c>
      <c r="O671" s="66">
        <v>46157.0</v>
      </c>
      <c r="P671" s="67" t="s">
        <v>1209</v>
      </c>
      <c r="Q671" s="68">
        <v>2000.0</v>
      </c>
      <c r="R671" s="76">
        <v>15209.2</v>
      </c>
      <c r="S671" s="77">
        <v>3.04184E7</v>
      </c>
      <c r="T671" s="77">
        <v>2433472.0</v>
      </c>
      <c r="U671" s="60">
        <f t="shared" si="2"/>
        <v>32851872</v>
      </c>
      <c r="V671" s="70"/>
      <c r="W671" s="23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</row>
    <row r="672" ht="25.5" customHeight="1">
      <c r="A672" s="78">
        <v>46157.0</v>
      </c>
      <c r="B672" s="79" t="s">
        <v>1210</v>
      </c>
      <c r="C672" s="79" t="s">
        <v>110</v>
      </c>
      <c r="D672" s="80" t="s">
        <v>874</v>
      </c>
      <c r="E672" s="58" t="s">
        <v>70</v>
      </c>
      <c r="F672" s="79" t="s">
        <v>112</v>
      </c>
      <c r="G672" s="81">
        <v>4680.0</v>
      </c>
      <c r="H672" s="82">
        <v>28000.0</v>
      </c>
      <c r="I672" s="83">
        <v>1.3104E8</v>
      </c>
      <c r="J672" s="83">
        <v>1.04832E7</v>
      </c>
      <c r="K672" s="83">
        <v>1.415232E8</v>
      </c>
      <c r="L672" s="84" t="s">
        <v>875</v>
      </c>
      <c r="M672" s="84" t="str">
        <f>VLOOKUP(L672,'Đơn đặt'!$C$3:$E$275,2,0)</f>
        <v>2/10/TSC-LT</v>
      </c>
      <c r="N672" s="84" t="str">
        <f>VLOOKUP(L672,'Đơn đặt'!$C$3:$E$275,3,0)</f>
        <v>Hàng SX</v>
      </c>
      <c r="O672" s="78" t="s">
        <v>98</v>
      </c>
      <c r="P672" s="92"/>
      <c r="Q672" s="81">
        <f>G672</f>
        <v>4680</v>
      </c>
      <c r="R672" s="92"/>
      <c r="S672" s="83">
        <f>ROUND(Q672*R672,0)</f>
        <v>0</v>
      </c>
      <c r="T672" s="83">
        <f>ROUND(S672*0.08,0)</f>
        <v>0</v>
      </c>
      <c r="U672" s="81">
        <f t="shared" si="2"/>
        <v>0</v>
      </c>
      <c r="V672" s="70"/>
      <c r="W672" s="23"/>
      <c r="X672" s="69"/>
      <c r="Y672" s="69"/>
      <c r="Z672" s="69"/>
      <c r="AA672" s="69"/>
      <c r="AB672" s="69"/>
      <c r="AC672" s="69"/>
      <c r="AD672" s="69"/>
      <c r="AE672" s="69"/>
      <c r="AF672" s="69"/>
      <c r="AG672" s="69"/>
      <c r="AH672" s="69"/>
      <c r="AI672" s="69"/>
      <c r="AJ672" s="69"/>
      <c r="AK672" s="69"/>
      <c r="AL672" s="69"/>
      <c r="AM672" s="69"/>
      <c r="AN672" s="69"/>
      <c r="AO672" s="69"/>
    </row>
    <row r="673" ht="25.5" customHeight="1">
      <c r="A673" s="55">
        <v>46157.0</v>
      </c>
      <c r="B673" s="56" t="s">
        <v>1211</v>
      </c>
      <c r="C673" s="56" t="s">
        <v>6</v>
      </c>
      <c r="D673" s="58" t="s">
        <v>499</v>
      </c>
      <c r="E673" s="58" t="s">
        <v>70</v>
      </c>
      <c r="F673" s="56" t="s">
        <v>500</v>
      </c>
      <c r="G673" s="60">
        <v>1600000.0</v>
      </c>
      <c r="H673" s="62">
        <v>82.0</v>
      </c>
      <c r="I673" s="64">
        <v>1.312E8</v>
      </c>
      <c r="J673" s="64">
        <v>1.0496E7</v>
      </c>
      <c r="K673" s="64">
        <v>1.41696E8</v>
      </c>
      <c r="L673" s="65" t="s">
        <v>1212</v>
      </c>
      <c r="M673" s="65" t="str">
        <f>VLOOKUP(L673,'Đơn đặt'!$C$3:$E$275,2,0)</f>
        <v>05-07/TS-LP</v>
      </c>
      <c r="N673" s="65" t="str">
        <f>VLOOKUP(L673,'Đơn đặt'!$C$3:$E$275,3,0)</f>
        <v>46-2026/TS-AVP/ĐĐH</v>
      </c>
      <c r="O673" s="66">
        <v>46157.0</v>
      </c>
      <c r="P673" s="67" t="s">
        <v>1213</v>
      </c>
      <c r="Q673" s="68">
        <v>1600000.0</v>
      </c>
      <c r="R673" s="76">
        <v>78.0</v>
      </c>
      <c r="S673" s="77">
        <v>1.248E8</v>
      </c>
      <c r="T673" s="77">
        <v>9984000.0</v>
      </c>
      <c r="U673" s="60">
        <f t="shared" si="2"/>
        <v>134784000</v>
      </c>
      <c r="V673" s="70"/>
      <c r="W673" s="23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</row>
    <row r="674" ht="25.5" customHeight="1">
      <c r="A674" s="55">
        <v>46157.0</v>
      </c>
      <c r="B674" s="56" t="s">
        <v>1214</v>
      </c>
      <c r="C674" s="56" t="s">
        <v>48</v>
      </c>
      <c r="D674" s="58" t="s">
        <v>47</v>
      </c>
      <c r="E674" s="58" t="s">
        <v>70</v>
      </c>
      <c r="F674" s="56" t="s">
        <v>71</v>
      </c>
      <c r="G674" s="60">
        <v>4700.0</v>
      </c>
      <c r="H674" s="62">
        <v>19206.0</v>
      </c>
      <c r="I674" s="64">
        <v>9.02682E7</v>
      </c>
      <c r="J674" s="64">
        <v>7221456.0</v>
      </c>
      <c r="K674" s="64">
        <v>9.7489656E7</v>
      </c>
      <c r="L674" s="65" t="s">
        <v>1146</v>
      </c>
      <c r="M674" s="65" t="str">
        <f>VLOOKUP(L674,'Đơn đặt'!$C$3:$E$275,2,0)</f>
        <v>03-12-TS</v>
      </c>
      <c r="N674" s="65" t="str">
        <f>VLOOKUP(L674,'Đơn đặt'!$C$3:$E$275,3,0)</f>
        <v>58-2026/TS-AVP/ĐĐH</v>
      </c>
      <c r="O674" s="66">
        <v>46157.0</v>
      </c>
      <c r="P674" s="67" t="s">
        <v>1215</v>
      </c>
      <c r="Q674" s="68">
        <v>4700.0</v>
      </c>
      <c r="R674" s="68">
        <v>15209.2</v>
      </c>
      <c r="S674" s="68">
        <v>7.148324E7</v>
      </c>
      <c r="T674" s="68">
        <v>5718659.0</v>
      </c>
      <c r="U674" s="60">
        <f t="shared" si="2"/>
        <v>77201899</v>
      </c>
      <c r="V674" s="70"/>
      <c r="W674" s="23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</row>
    <row r="675" ht="25.5" customHeight="1">
      <c r="A675" s="55">
        <v>46157.0</v>
      </c>
      <c r="B675" s="56" t="s">
        <v>1216</v>
      </c>
      <c r="C675" s="56" t="s">
        <v>55</v>
      </c>
      <c r="D675" s="58" t="s">
        <v>53</v>
      </c>
      <c r="E675" s="58" t="s">
        <v>70</v>
      </c>
      <c r="F675" s="56" t="s">
        <v>71</v>
      </c>
      <c r="G675" s="60">
        <v>2500.0</v>
      </c>
      <c r="H675" s="62">
        <v>21025.0</v>
      </c>
      <c r="I675" s="64">
        <v>5.25625E7</v>
      </c>
      <c r="J675" s="64">
        <v>4205000.0</v>
      </c>
      <c r="K675" s="64">
        <v>5.67675E7</v>
      </c>
      <c r="L675" s="65" t="s">
        <v>958</v>
      </c>
      <c r="M675" s="65" t="str">
        <f>VLOOKUP(L675,'Đơn đặt'!$C$3:$E$275,2,0)</f>
        <v>03-12-TS</v>
      </c>
      <c r="N675" s="65" t="str">
        <f>VLOOKUP(L675,'Đơn đặt'!$C$3:$E$275,3,0)</f>
        <v>36-2026/TS-AVP/ĐĐH</v>
      </c>
      <c r="O675" s="66">
        <v>46157.0</v>
      </c>
      <c r="P675" s="93" t="s">
        <v>1217</v>
      </c>
      <c r="Q675" s="68">
        <v>2500.0</v>
      </c>
      <c r="R675" s="76">
        <v>16989.0</v>
      </c>
      <c r="S675" s="64">
        <f t="shared" ref="S675:S677" si="142">ROUND(Q675*R675,0)</f>
        <v>42472500</v>
      </c>
      <c r="T675" s="64">
        <f t="shared" ref="T675:T677" si="143">ROUND(S675*0.08,0)</f>
        <v>3397800</v>
      </c>
      <c r="U675" s="60">
        <f t="shared" si="2"/>
        <v>45870300</v>
      </c>
      <c r="V675" s="70"/>
      <c r="W675" s="23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</row>
    <row r="676" ht="25.5" customHeight="1">
      <c r="A676" s="55">
        <v>46157.0</v>
      </c>
      <c r="B676" s="56" t="s">
        <v>1218</v>
      </c>
      <c r="C676" s="56" t="s">
        <v>266</v>
      </c>
      <c r="D676" s="58" t="s">
        <v>516</v>
      </c>
      <c r="E676" s="58" t="s">
        <v>70</v>
      </c>
      <c r="F676" s="56" t="s">
        <v>71</v>
      </c>
      <c r="G676" s="60">
        <v>100.0</v>
      </c>
      <c r="H676" s="62">
        <v>18191.0</v>
      </c>
      <c r="I676" s="64">
        <f t="shared" ref="I676:I677" si="144">ROUND(G676*H676,0)</f>
        <v>1819100</v>
      </c>
      <c r="J676" s="64">
        <f t="shared" ref="J676:J677" si="145">ROUND(I676*0.08,0)</f>
        <v>145528</v>
      </c>
      <c r="K676" s="64">
        <f t="shared" ref="K676:K677" si="146">I676+J676</f>
        <v>1964628</v>
      </c>
      <c r="L676" s="65" t="s">
        <v>1205</v>
      </c>
      <c r="M676" s="65" t="str">
        <f>VLOOKUP(L676,'Đơn đặt'!$C$3:$E$275,2,0)</f>
        <v>01-04-TS</v>
      </c>
      <c r="N676" s="65" t="str">
        <f>VLOOKUP(L676,'Đơn đặt'!$C$3:$E$275,3,0)</f>
        <v>51-2026/TS-AVP/ĐĐH</v>
      </c>
      <c r="O676" s="66">
        <v>46157.0</v>
      </c>
      <c r="P676" s="67" t="s">
        <v>1219</v>
      </c>
      <c r="Q676" s="90">
        <v>100.0</v>
      </c>
      <c r="R676" s="76">
        <v>17454.2</v>
      </c>
      <c r="S676" s="64">
        <f t="shared" si="142"/>
        <v>1745420</v>
      </c>
      <c r="T676" s="64">
        <f t="shared" si="143"/>
        <v>139634</v>
      </c>
      <c r="U676" s="60">
        <f t="shared" si="2"/>
        <v>1885054</v>
      </c>
      <c r="V676" s="70"/>
      <c r="W676" s="23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</row>
    <row r="677" ht="25.5" customHeight="1">
      <c r="A677" s="55">
        <v>46157.0</v>
      </c>
      <c r="B677" s="56" t="s">
        <v>1218</v>
      </c>
      <c r="C677" s="56" t="s">
        <v>266</v>
      </c>
      <c r="D677" s="58" t="s">
        <v>516</v>
      </c>
      <c r="E677" s="58" t="s">
        <v>70</v>
      </c>
      <c r="F677" s="56" t="s">
        <v>71</v>
      </c>
      <c r="G677" s="60">
        <v>500.0</v>
      </c>
      <c r="H677" s="62">
        <v>18191.0</v>
      </c>
      <c r="I677" s="64">
        <f t="shared" si="144"/>
        <v>9095500</v>
      </c>
      <c r="J677" s="64">
        <f t="shared" si="145"/>
        <v>727640</v>
      </c>
      <c r="K677" s="64">
        <f t="shared" si="146"/>
        <v>9823140</v>
      </c>
      <c r="L677" s="65" t="s">
        <v>1220</v>
      </c>
      <c r="M677" s="65" t="str">
        <f>VLOOKUP(L677,'Đơn đặt'!$C$3:$E$275,2,0)</f>
        <v>02-11-TS</v>
      </c>
      <c r="N677" s="65" t="str">
        <f>VLOOKUP(L677,'Đơn đặt'!$C$3:$E$275,3,0)</f>
        <v>52-2026/TS-AVP/ĐĐH</v>
      </c>
      <c r="O677" s="66">
        <v>46157.0</v>
      </c>
      <c r="P677" s="67" t="s">
        <v>1219</v>
      </c>
      <c r="Q677" s="90">
        <v>500.0</v>
      </c>
      <c r="R677" s="76">
        <v>17454.2</v>
      </c>
      <c r="S677" s="64">
        <f t="shared" si="142"/>
        <v>8727100</v>
      </c>
      <c r="T677" s="64">
        <f t="shared" si="143"/>
        <v>698168</v>
      </c>
      <c r="U677" s="60">
        <f t="shared" si="2"/>
        <v>9425268</v>
      </c>
      <c r="V677" s="70"/>
      <c r="W677" s="23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</row>
    <row r="678" ht="25.5" customHeight="1">
      <c r="A678" s="55">
        <v>46157.0</v>
      </c>
      <c r="B678" s="56" t="s">
        <v>1218</v>
      </c>
      <c r="C678" s="56" t="s">
        <v>119</v>
      </c>
      <c r="D678" s="58" t="s">
        <v>120</v>
      </c>
      <c r="E678" s="58" t="s">
        <v>70</v>
      </c>
      <c r="F678" s="56" t="s">
        <v>71</v>
      </c>
      <c r="G678" s="60">
        <v>2000.0</v>
      </c>
      <c r="H678" s="62">
        <v>20276.0</v>
      </c>
      <c r="I678" s="64">
        <v>4.0552E7</v>
      </c>
      <c r="J678" s="64">
        <v>3244160.0</v>
      </c>
      <c r="K678" s="64">
        <v>4.379616E7</v>
      </c>
      <c r="L678" s="65" t="s">
        <v>1200</v>
      </c>
      <c r="M678" s="65" t="str">
        <f>VLOOKUP(L678,'Đơn đặt'!$C$3:$E$275,2,0)</f>
        <v>02-11-TS</v>
      </c>
      <c r="N678" s="65" t="str">
        <f>VLOOKUP(L678,'Đơn đặt'!$C$3:$E$275,3,0)</f>
        <v>52-2026/TS-AVP/ĐĐH</v>
      </c>
      <c r="O678" s="66">
        <v>46157.0</v>
      </c>
      <c r="P678" s="67" t="s">
        <v>1219</v>
      </c>
      <c r="Q678" s="68">
        <v>2000.0</v>
      </c>
      <c r="R678" s="76">
        <v>18311.2</v>
      </c>
      <c r="S678" s="77">
        <v>3.66224E7</v>
      </c>
      <c r="T678" s="77">
        <v>2929792.0</v>
      </c>
      <c r="U678" s="60">
        <f t="shared" si="2"/>
        <v>39552192</v>
      </c>
      <c r="V678" s="70"/>
      <c r="W678" s="23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</row>
    <row r="679" ht="25.5" customHeight="1">
      <c r="A679" s="55">
        <v>46157.0</v>
      </c>
      <c r="B679" s="56" t="s">
        <v>1218</v>
      </c>
      <c r="C679" s="56" t="s">
        <v>21</v>
      </c>
      <c r="D679" s="58" t="s">
        <v>371</v>
      </c>
      <c r="E679" s="58" t="s">
        <v>70</v>
      </c>
      <c r="F679" s="56" t="s">
        <v>71</v>
      </c>
      <c r="G679" s="60">
        <v>1425.0</v>
      </c>
      <c r="H679" s="62">
        <v>18930.0</v>
      </c>
      <c r="I679" s="64">
        <v>2.697525E7</v>
      </c>
      <c r="J679" s="64">
        <v>2158020.0</v>
      </c>
      <c r="K679" s="64">
        <v>2.913327E7</v>
      </c>
      <c r="L679" s="65" t="s">
        <v>1137</v>
      </c>
      <c r="M679" s="65" t="str">
        <f>VLOOKUP(L679,'Đơn đặt'!$C$3:$E$275,2,0)</f>
        <v>04-08-TS</v>
      </c>
      <c r="N679" s="65" t="str">
        <f>VLOOKUP(L679,'Đơn đặt'!$C$3:$E$275,3,0)</f>
        <v>57-2026/TS-AVP/ĐĐH</v>
      </c>
      <c r="O679" s="66">
        <v>46157.0</v>
      </c>
      <c r="P679" s="67" t="s">
        <v>1219</v>
      </c>
      <c r="Q679" s="68">
        <v>1425.0</v>
      </c>
      <c r="R679" s="76">
        <v>18346.0</v>
      </c>
      <c r="S679" s="77">
        <v>2.614305E7</v>
      </c>
      <c r="T679" s="77">
        <v>2091444.0</v>
      </c>
      <c r="U679" s="60">
        <f t="shared" si="2"/>
        <v>28234494</v>
      </c>
      <c r="V679" s="70"/>
      <c r="W679" s="23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</row>
    <row r="680" ht="25.5" customHeight="1">
      <c r="A680" s="55">
        <v>46157.0</v>
      </c>
      <c r="B680" s="56" t="s">
        <v>1221</v>
      </c>
      <c r="C680" s="56" t="s">
        <v>48</v>
      </c>
      <c r="D680" s="58" t="s">
        <v>47</v>
      </c>
      <c r="E680" s="58" t="s">
        <v>70</v>
      </c>
      <c r="F680" s="56" t="s">
        <v>71</v>
      </c>
      <c r="G680" s="60">
        <v>1300.0</v>
      </c>
      <c r="H680" s="62">
        <v>19206.0</v>
      </c>
      <c r="I680" s="64">
        <v>2.49678E7</v>
      </c>
      <c r="J680" s="64">
        <v>1997424.0</v>
      </c>
      <c r="K680" s="64">
        <v>2.6965224E7</v>
      </c>
      <c r="L680" s="65" t="s">
        <v>1146</v>
      </c>
      <c r="M680" s="65" t="str">
        <f>VLOOKUP(L680,'Đơn đặt'!$C$3:$E$275,2,0)</f>
        <v>03-12-TS</v>
      </c>
      <c r="N680" s="65" t="str">
        <f>VLOOKUP(L680,'Đơn đặt'!$C$3:$E$275,3,0)</f>
        <v>58-2026/TS-AVP/ĐĐH</v>
      </c>
      <c r="O680" s="66">
        <v>46157.0</v>
      </c>
      <c r="P680" s="67" t="s">
        <v>1222</v>
      </c>
      <c r="Q680" s="68">
        <v>1300.0</v>
      </c>
      <c r="R680" s="68">
        <v>15209.2</v>
      </c>
      <c r="S680" s="68">
        <v>1.977196E7</v>
      </c>
      <c r="T680" s="68">
        <v>1581757.0</v>
      </c>
      <c r="U680" s="60">
        <f t="shared" si="2"/>
        <v>21353717</v>
      </c>
      <c r="V680" s="70"/>
      <c r="W680" s="23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</row>
    <row r="681" ht="25.5" customHeight="1">
      <c r="A681" s="55">
        <v>46158.0</v>
      </c>
      <c r="B681" s="56" t="s">
        <v>1223</v>
      </c>
      <c r="C681" s="56" t="s">
        <v>14</v>
      </c>
      <c r="D681" s="58" t="s">
        <v>13</v>
      </c>
      <c r="E681" s="58" t="s">
        <v>70</v>
      </c>
      <c r="F681" s="56" t="s">
        <v>71</v>
      </c>
      <c r="G681" s="60">
        <v>500.0</v>
      </c>
      <c r="H681" s="62">
        <v>20374.0</v>
      </c>
      <c r="I681" s="64">
        <v>1.0187E7</v>
      </c>
      <c r="J681" s="64">
        <v>814960.0</v>
      </c>
      <c r="K681" s="64">
        <v>1.100196E7</v>
      </c>
      <c r="L681" s="65" t="s">
        <v>1224</v>
      </c>
      <c r="M681" s="65" t="str">
        <f>VLOOKUP(L681,'Đơn đặt'!$C$3:$E$275,2,0)</f>
        <v>03-12-TS</v>
      </c>
      <c r="N681" s="65" t="str">
        <f>VLOOKUP(L681,'Đơn đặt'!$C$3:$E$275,3,0)</f>
        <v>40-2026/TS-AVP/ĐĐH</v>
      </c>
      <c r="O681" s="66">
        <v>46157.0</v>
      </c>
      <c r="P681" s="67" t="s">
        <v>1225</v>
      </c>
      <c r="Q681" s="68">
        <v>500.0</v>
      </c>
      <c r="R681" s="76">
        <v>17274.8</v>
      </c>
      <c r="S681" s="77">
        <v>8637400.0</v>
      </c>
      <c r="T681" s="77">
        <v>690992.0</v>
      </c>
      <c r="U681" s="60">
        <f t="shared" si="2"/>
        <v>9328392</v>
      </c>
      <c r="V681" s="70"/>
      <c r="W681" s="23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</row>
    <row r="682" ht="25.5" customHeight="1">
      <c r="A682" s="55">
        <v>46158.0</v>
      </c>
      <c r="B682" s="56" t="s">
        <v>1223</v>
      </c>
      <c r="C682" s="56" t="s">
        <v>59</v>
      </c>
      <c r="D682" s="58" t="s">
        <v>105</v>
      </c>
      <c r="E682" s="58" t="s">
        <v>70</v>
      </c>
      <c r="F682" s="56" t="s">
        <v>71</v>
      </c>
      <c r="G682" s="60">
        <v>410.0</v>
      </c>
      <c r="H682" s="62">
        <v>19206.0</v>
      </c>
      <c r="I682" s="64">
        <v>7874460.0</v>
      </c>
      <c r="J682" s="64">
        <v>629957.0</v>
      </c>
      <c r="K682" s="64">
        <v>8504417.0</v>
      </c>
      <c r="L682" s="84" t="s">
        <v>1226</v>
      </c>
      <c r="M682" s="65" t="str">
        <f>VLOOKUP(L682,'Đơn đặt'!$C$3:$E$275,2,0)</f>
        <v>03-12-TS</v>
      </c>
      <c r="N682" s="65" t="str">
        <f>VLOOKUP(L682,'Đơn đặt'!$C$3:$E$275,3,0)</f>
        <v>40-2026/TS-AVP/ĐĐH</v>
      </c>
      <c r="O682" s="66">
        <v>46157.0</v>
      </c>
      <c r="P682" s="67" t="s">
        <v>1225</v>
      </c>
      <c r="Q682" s="68">
        <v>410.0</v>
      </c>
      <c r="R682" s="76">
        <v>14721.2</v>
      </c>
      <c r="S682" s="68">
        <v>6035692.0</v>
      </c>
      <c r="T682" s="77">
        <v>482855.0</v>
      </c>
      <c r="U682" s="60">
        <f t="shared" si="2"/>
        <v>6518547</v>
      </c>
      <c r="V682" s="70"/>
      <c r="W682" s="23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</row>
    <row r="683" ht="25.5" customHeight="1">
      <c r="A683" s="55">
        <v>46158.0</v>
      </c>
      <c r="B683" s="56" t="s">
        <v>1227</v>
      </c>
      <c r="C683" s="56" t="s">
        <v>178</v>
      </c>
      <c r="D683" s="58" t="s">
        <v>179</v>
      </c>
      <c r="E683" s="58" t="s">
        <v>248</v>
      </c>
      <c r="F683" s="56" t="s">
        <v>819</v>
      </c>
      <c r="G683" s="60">
        <v>250.0</v>
      </c>
      <c r="H683" s="62">
        <v>288766.0</v>
      </c>
      <c r="I683" s="64">
        <v>7.21915E7</v>
      </c>
      <c r="J683" s="64">
        <v>5775320.0</v>
      </c>
      <c r="K683" s="64">
        <v>7.796682E7</v>
      </c>
      <c r="L683" s="91" t="s">
        <v>1196</v>
      </c>
      <c r="M683" s="65">
        <f>VLOOKUP(L683,'Đơn đặt'!$C$3:$E$275,2,0)</f>
        <v>444</v>
      </c>
      <c r="N683" s="65" t="str">
        <f>VLOOKUP(L683,'Đơn đặt'!$C$3:$E$275,3,0)</f>
        <v>26/THP/02</v>
      </c>
      <c r="O683" s="55">
        <v>46158.0</v>
      </c>
      <c r="P683" s="56" t="s">
        <v>1228</v>
      </c>
      <c r="Q683" s="60">
        <v>250.0</v>
      </c>
      <c r="R683" s="62">
        <v>251353.2</v>
      </c>
      <c r="S683" s="64">
        <v>6.28383E7</v>
      </c>
      <c r="T683" s="64">
        <v>5027064.0</v>
      </c>
      <c r="U683" s="60">
        <f t="shared" si="2"/>
        <v>67865364</v>
      </c>
      <c r="V683" s="70"/>
      <c r="W683" s="23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</row>
    <row r="684" ht="25.5" customHeight="1">
      <c r="A684" s="55">
        <v>46158.0</v>
      </c>
      <c r="B684" s="56" t="s">
        <v>1229</v>
      </c>
      <c r="C684" s="56" t="s">
        <v>50</v>
      </c>
      <c r="D684" s="58" t="s">
        <v>49</v>
      </c>
      <c r="E684" s="58" t="s">
        <v>70</v>
      </c>
      <c r="F684" s="56" t="s">
        <v>71</v>
      </c>
      <c r="G684" s="60">
        <v>2000.0</v>
      </c>
      <c r="H684" s="62">
        <v>19206.0</v>
      </c>
      <c r="I684" s="64">
        <v>3.8412E7</v>
      </c>
      <c r="J684" s="64">
        <v>3072960.0</v>
      </c>
      <c r="K684" s="64">
        <v>4.148496E7</v>
      </c>
      <c r="L684" s="65" t="s">
        <v>950</v>
      </c>
      <c r="M684" s="65" t="str">
        <f>VLOOKUP(L684,'Đơn đặt'!$C$3:$E$275,2,0)</f>
        <v>03-12-TS</v>
      </c>
      <c r="N684" s="65" t="str">
        <f>VLOOKUP(L684,'Đơn đặt'!$C$3:$E$275,3,0)</f>
        <v>58-2026/TS-AVP/ĐĐH</v>
      </c>
      <c r="O684" s="66">
        <v>46158.0</v>
      </c>
      <c r="P684" s="67" t="s">
        <v>1230</v>
      </c>
      <c r="Q684" s="68">
        <v>2000.0</v>
      </c>
      <c r="R684" s="76">
        <v>15209.2</v>
      </c>
      <c r="S684" s="77">
        <v>3.04184E7</v>
      </c>
      <c r="T684" s="77">
        <v>2433472.0</v>
      </c>
      <c r="U684" s="60">
        <f t="shared" si="2"/>
        <v>32851872</v>
      </c>
      <c r="V684" s="70"/>
      <c r="W684" s="23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</row>
    <row r="685" ht="25.5" customHeight="1">
      <c r="A685" s="55">
        <v>46158.0</v>
      </c>
      <c r="B685" s="56" t="s">
        <v>1231</v>
      </c>
      <c r="C685" s="56" t="s">
        <v>222</v>
      </c>
      <c r="D685" s="58" t="s">
        <v>223</v>
      </c>
      <c r="E685" s="58" t="s">
        <v>70</v>
      </c>
      <c r="F685" s="56" t="s">
        <v>71</v>
      </c>
      <c r="G685" s="60">
        <v>1500.0</v>
      </c>
      <c r="H685" s="62">
        <v>20276.0</v>
      </c>
      <c r="I685" s="64">
        <v>3.0414E7</v>
      </c>
      <c r="J685" s="64">
        <v>2433120.0</v>
      </c>
      <c r="K685" s="64">
        <v>3.284712E7</v>
      </c>
      <c r="L685" s="65" t="s">
        <v>1162</v>
      </c>
      <c r="M685" s="65" t="str">
        <f>VLOOKUP(L685,'Đơn đặt'!$C$3:$E$275,2,0)</f>
        <v>02-11-TS</v>
      </c>
      <c r="N685" s="65" t="str">
        <f>VLOOKUP(L685,'Đơn đặt'!$C$3:$E$275,3,0)</f>
        <v>52-2026/TS-AVP/ĐĐH</v>
      </c>
      <c r="O685" s="66">
        <v>46158.0</v>
      </c>
      <c r="P685" s="67" t="s">
        <v>1232</v>
      </c>
      <c r="Q685" s="68">
        <v>1500.0</v>
      </c>
      <c r="R685" s="76">
        <v>18311.2</v>
      </c>
      <c r="S685" s="77">
        <v>2.74668E7</v>
      </c>
      <c r="T685" s="77">
        <v>2197344.0</v>
      </c>
      <c r="U685" s="60">
        <f t="shared" si="2"/>
        <v>29664144</v>
      </c>
      <c r="V685" s="70"/>
      <c r="W685" s="23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</row>
    <row r="686" ht="25.5" customHeight="1">
      <c r="A686" s="55">
        <v>46158.0</v>
      </c>
      <c r="B686" s="56" t="s">
        <v>1231</v>
      </c>
      <c r="C686" s="56" t="s">
        <v>14</v>
      </c>
      <c r="D686" s="58" t="s">
        <v>13</v>
      </c>
      <c r="E686" s="58" t="s">
        <v>70</v>
      </c>
      <c r="F686" s="56" t="s">
        <v>71</v>
      </c>
      <c r="G686" s="60">
        <v>1500.0</v>
      </c>
      <c r="H686" s="62">
        <v>20374.0</v>
      </c>
      <c r="I686" s="64">
        <v>3.0561E7</v>
      </c>
      <c r="J686" s="64">
        <v>2444880.0</v>
      </c>
      <c r="K686" s="64">
        <v>3.300588E7</v>
      </c>
      <c r="L686" s="65" t="s">
        <v>1207</v>
      </c>
      <c r="M686" s="65" t="str">
        <f>VLOOKUP(L686,'Đơn đặt'!$C$3:$E$275,2,0)</f>
        <v>03-12-TS</v>
      </c>
      <c r="N686" s="65" t="str">
        <f>VLOOKUP(L686,'Đơn đặt'!$C$3:$E$275,3,0)</f>
        <v>54-2026/TS-AVP/ĐĐH</v>
      </c>
      <c r="O686" s="66">
        <v>46158.0</v>
      </c>
      <c r="P686" s="67" t="s">
        <v>1232</v>
      </c>
      <c r="Q686" s="68">
        <v>1500.0</v>
      </c>
      <c r="R686" s="76">
        <v>18666.8</v>
      </c>
      <c r="S686" s="77">
        <v>2.80002E7</v>
      </c>
      <c r="T686" s="77">
        <v>2240016.0</v>
      </c>
      <c r="U686" s="60">
        <f t="shared" si="2"/>
        <v>30240216</v>
      </c>
      <c r="V686" s="70"/>
      <c r="W686" s="23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</row>
    <row r="687" ht="25.5" customHeight="1">
      <c r="A687" s="55">
        <v>46158.0</v>
      </c>
      <c r="B687" s="56" t="s">
        <v>1233</v>
      </c>
      <c r="C687" s="56" t="s">
        <v>77</v>
      </c>
      <c r="D687" s="58" t="s">
        <v>78</v>
      </c>
      <c r="E687" s="58" t="s">
        <v>70</v>
      </c>
      <c r="F687" s="56" t="s">
        <v>71</v>
      </c>
      <c r="G687" s="60">
        <v>3000.0</v>
      </c>
      <c r="H687" s="62">
        <v>22866.0</v>
      </c>
      <c r="I687" s="64">
        <v>6.8598E7</v>
      </c>
      <c r="J687" s="64">
        <v>5487840.0</v>
      </c>
      <c r="K687" s="64">
        <v>7.408584E7</v>
      </c>
      <c r="L687" s="65" t="s">
        <v>1194</v>
      </c>
      <c r="M687" s="65" t="str">
        <f>VLOOKUP(L687,'Đơn đặt'!$C$3:$E$275,2,0)</f>
        <v>04-12-TS</v>
      </c>
      <c r="N687" s="65" t="str">
        <f>VLOOKUP(L687,'Đơn đặt'!$C$3:$E$275,3,0)</f>
        <v>60-2026/TS-AVP/ĐĐH</v>
      </c>
      <c r="O687" s="66">
        <v>46158.0</v>
      </c>
      <c r="P687" s="67" t="s">
        <v>1234</v>
      </c>
      <c r="Q687" s="68">
        <v>3000.0</v>
      </c>
      <c r="R687" s="76">
        <v>20709.2</v>
      </c>
      <c r="S687" s="77">
        <v>6.21276E7</v>
      </c>
      <c r="T687" s="77">
        <v>4970208.0</v>
      </c>
      <c r="U687" s="60">
        <f t="shared" si="2"/>
        <v>67097808</v>
      </c>
      <c r="V687" s="70"/>
      <c r="W687" s="23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</row>
    <row r="688" ht="25.5" customHeight="1">
      <c r="A688" s="55">
        <v>46158.0</v>
      </c>
      <c r="B688" s="56" t="s">
        <v>826</v>
      </c>
      <c r="C688" s="56" t="s">
        <v>59</v>
      </c>
      <c r="D688" s="58" t="s">
        <v>105</v>
      </c>
      <c r="E688" s="58" t="s">
        <v>70</v>
      </c>
      <c r="F688" s="56" t="s">
        <v>71</v>
      </c>
      <c r="G688" s="60">
        <v>3000.0</v>
      </c>
      <c r="H688" s="62">
        <v>19206.0</v>
      </c>
      <c r="I688" s="64">
        <v>5.7618E7</v>
      </c>
      <c r="J688" s="64">
        <v>4609440.0</v>
      </c>
      <c r="K688" s="64">
        <v>6.222744E7</v>
      </c>
      <c r="L688" s="84" t="s">
        <v>1150</v>
      </c>
      <c r="M688" s="65" t="str">
        <f>VLOOKUP(L688,'Đơn đặt'!$C$3:$E$275,2,0)</f>
        <v>03-12-TS</v>
      </c>
      <c r="N688" s="65" t="str">
        <f>VLOOKUP(L688,'Đơn đặt'!$C$3:$E$275,3,0)</f>
        <v>54-2026/TS-AVP/ĐĐH</v>
      </c>
      <c r="O688" s="66">
        <v>46158.0</v>
      </c>
      <c r="P688" s="67" t="s">
        <v>1232</v>
      </c>
      <c r="Q688" s="68">
        <v>3000.0</v>
      </c>
      <c r="R688" s="76">
        <v>17073.2</v>
      </c>
      <c r="S688" s="68">
        <v>5.12196E7</v>
      </c>
      <c r="T688" s="77">
        <v>4097568.0</v>
      </c>
      <c r="U688" s="60">
        <f t="shared" si="2"/>
        <v>55317168</v>
      </c>
      <c r="V688" s="70"/>
      <c r="W688" s="23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</row>
    <row r="689" ht="25.5" customHeight="1">
      <c r="A689" s="55">
        <v>46158.0</v>
      </c>
      <c r="B689" s="56" t="s">
        <v>826</v>
      </c>
      <c r="C689" s="56" t="s">
        <v>206</v>
      </c>
      <c r="D689" s="58" t="s">
        <v>207</v>
      </c>
      <c r="E689" s="58" t="s">
        <v>70</v>
      </c>
      <c r="F689" s="56" t="s">
        <v>71</v>
      </c>
      <c r="G689" s="60">
        <v>2000.0</v>
      </c>
      <c r="H689" s="62">
        <v>19041.0</v>
      </c>
      <c r="I689" s="64">
        <v>3.8082E7</v>
      </c>
      <c r="J689" s="64">
        <v>3046560.0</v>
      </c>
      <c r="K689" s="64">
        <v>4.112856E7</v>
      </c>
      <c r="L689" s="65" t="s">
        <v>1135</v>
      </c>
      <c r="M689" s="65" t="str">
        <f>VLOOKUP(L689,'Đơn đặt'!$C$3:$E$275,2,0)</f>
        <v>02-11-TS</v>
      </c>
      <c r="N689" s="65" t="str">
        <f>VLOOKUP(L689,'Đơn đặt'!$C$3:$E$275,3,0)</f>
        <v>52-2026/TS-AVP/ĐĐH</v>
      </c>
      <c r="O689" s="66">
        <v>46158.0</v>
      </c>
      <c r="P689" s="67" t="s">
        <v>1232</v>
      </c>
      <c r="Q689" s="68">
        <v>2000.0</v>
      </c>
      <c r="R689" s="76">
        <v>18064.2</v>
      </c>
      <c r="S689" s="77">
        <v>3.61284E7</v>
      </c>
      <c r="T689" s="77">
        <v>2890272.0</v>
      </c>
      <c r="U689" s="60">
        <f t="shared" si="2"/>
        <v>39018672</v>
      </c>
      <c r="V689" s="70"/>
      <c r="W689" s="23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</row>
    <row r="690" ht="25.5" customHeight="1">
      <c r="A690" s="55">
        <v>46158.0</v>
      </c>
      <c r="B690" s="56" t="s">
        <v>824</v>
      </c>
      <c r="C690" s="56" t="s">
        <v>88</v>
      </c>
      <c r="D690" s="58" t="s">
        <v>89</v>
      </c>
      <c r="E690" s="58" t="s">
        <v>776</v>
      </c>
      <c r="F690" s="56" t="s">
        <v>500</v>
      </c>
      <c r="G690" s="60">
        <v>541000.0</v>
      </c>
      <c r="H690" s="62">
        <v>235.0</v>
      </c>
      <c r="I690" s="64">
        <v>1.27135E8</v>
      </c>
      <c r="J690" s="64">
        <v>1.01708E7</v>
      </c>
      <c r="K690" s="64">
        <v>1.373058E8</v>
      </c>
      <c r="L690" s="91" t="s">
        <v>1235</v>
      </c>
      <c r="M690" s="65">
        <f>VLOOKUP(L690,'Đơn đặt'!$C$3:$E$275,2,0)</f>
        <v>301</v>
      </c>
      <c r="N690" s="65" t="str">
        <f>VLOOKUP(L690,'Đơn đặt'!$C$3:$E$275,3,0)</f>
        <v>26/TB/03</v>
      </c>
      <c r="O690" s="66">
        <v>46158.0</v>
      </c>
      <c r="P690" s="67" t="s">
        <v>1236</v>
      </c>
      <c r="Q690" s="68">
        <v>541000.0</v>
      </c>
      <c r="R690" s="76">
        <v>212.44</v>
      </c>
      <c r="S690" s="77">
        <v>1.1493004E8</v>
      </c>
      <c r="T690" s="77">
        <v>9194403.0</v>
      </c>
      <c r="U690" s="60">
        <f t="shared" si="2"/>
        <v>124124443</v>
      </c>
      <c r="V690" s="70"/>
      <c r="W690" s="23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</row>
    <row r="691" ht="25.5" customHeight="1">
      <c r="A691" s="55">
        <v>46160.0</v>
      </c>
      <c r="B691" s="56" t="s">
        <v>828</v>
      </c>
      <c r="C691" s="56" t="s">
        <v>72</v>
      </c>
      <c r="D691" s="58" t="s">
        <v>73</v>
      </c>
      <c r="E691" s="58" t="s">
        <v>776</v>
      </c>
      <c r="F691" s="56" t="s">
        <v>71</v>
      </c>
      <c r="G691" s="60">
        <v>1070.0</v>
      </c>
      <c r="H691" s="62">
        <v>15600.0</v>
      </c>
      <c r="I691" s="64">
        <v>1.6692E7</v>
      </c>
      <c r="J691" s="64">
        <v>1335360.0</v>
      </c>
      <c r="K691" s="64">
        <v>1.802736E7</v>
      </c>
      <c r="L691" s="91" t="s">
        <v>1237</v>
      </c>
      <c r="M691" s="65" t="str">
        <f>VLOOKUP(L691,'Đơn đặt'!$C$3:$E$275,2,0)</f>
        <v>301a</v>
      </c>
      <c r="N691" s="65" t="str">
        <f>VLOOKUP(L691,'Đơn đặt'!$C$3:$E$275,3,0)</f>
        <v>26/YFY/03</v>
      </c>
      <c r="O691" s="66">
        <v>46160.0</v>
      </c>
      <c r="P691" s="67" t="s">
        <v>1238</v>
      </c>
      <c r="Q691" s="68">
        <v>1070.0</v>
      </c>
      <c r="R691" s="76">
        <v>11920.0</v>
      </c>
      <c r="S691" s="77">
        <v>1.27544E7</v>
      </c>
      <c r="T691" s="77">
        <v>1020352.0</v>
      </c>
      <c r="U691" s="60">
        <f t="shared" si="2"/>
        <v>13774752</v>
      </c>
      <c r="V691" s="70"/>
      <c r="W691" s="23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</row>
    <row r="692" ht="25.5" customHeight="1">
      <c r="A692" s="55">
        <v>46160.0</v>
      </c>
      <c r="B692" s="56" t="s">
        <v>1239</v>
      </c>
      <c r="C692" s="56" t="s">
        <v>14</v>
      </c>
      <c r="D692" s="58" t="s">
        <v>13</v>
      </c>
      <c r="E692" s="58" t="s">
        <v>70</v>
      </c>
      <c r="F692" s="56" t="s">
        <v>71</v>
      </c>
      <c r="G692" s="60">
        <v>3300.0</v>
      </c>
      <c r="H692" s="62">
        <v>20374.0</v>
      </c>
      <c r="I692" s="64">
        <v>6.72342E7</v>
      </c>
      <c r="J692" s="64">
        <v>5378736.0</v>
      </c>
      <c r="K692" s="64">
        <v>7.2612936E7</v>
      </c>
      <c r="L692" s="65" t="s">
        <v>1207</v>
      </c>
      <c r="M692" s="65" t="str">
        <f>VLOOKUP(L692,'Đơn đặt'!$C$3:$E$275,2,0)</f>
        <v>03-12-TS</v>
      </c>
      <c r="N692" s="65" t="str">
        <f>VLOOKUP(L692,'Đơn đặt'!$C$3:$E$275,3,0)</f>
        <v>54-2026/TS-AVP/ĐĐH</v>
      </c>
      <c r="O692" s="66">
        <v>46160.0</v>
      </c>
      <c r="P692" s="67" t="s">
        <v>1240</v>
      </c>
      <c r="Q692" s="68">
        <v>3300.0</v>
      </c>
      <c r="R692" s="76">
        <v>18666.8</v>
      </c>
      <c r="S692" s="64">
        <f>ROUND(Q692*R692,0)</f>
        <v>61600440</v>
      </c>
      <c r="T692" s="64">
        <f>ROUND(S692*0.08,0)</f>
        <v>4928035</v>
      </c>
      <c r="U692" s="60">
        <f t="shared" si="2"/>
        <v>66528475</v>
      </c>
      <c r="V692" s="70"/>
      <c r="W692" s="23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</row>
    <row r="693" ht="25.5" customHeight="1">
      <c r="A693" s="55">
        <v>46160.0</v>
      </c>
      <c r="B693" s="56" t="s">
        <v>832</v>
      </c>
      <c r="C693" s="56" t="s">
        <v>48</v>
      </c>
      <c r="D693" s="58" t="s">
        <v>47</v>
      </c>
      <c r="E693" s="58" t="s">
        <v>70</v>
      </c>
      <c r="F693" s="56" t="s">
        <v>71</v>
      </c>
      <c r="G693" s="60">
        <v>5000.0</v>
      </c>
      <c r="H693" s="62">
        <v>19206.0</v>
      </c>
      <c r="I693" s="64">
        <v>9.603E7</v>
      </c>
      <c r="J693" s="64">
        <v>7682400.0</v>
      </c>
      <c r="K693" s="64">
        <v>1.037124E8</v>
      </c>
      <c r="L693" s="65" t="s">
        <v>1146</v>
      </c>
      <c r="M693" s="65" t="str">
        <f>VLOOKUP(L693,'Đơn đặt'!$C$3:$E$275,2,0)</f>
        <v>03-12-TS</v>
      </c>
      <c r="N693" s="65" t="str">
        <f>VLOOKUP(L693,'Đơn đặt'!$C$3:$E$275,3,0)</f>
        <v>58-2026/TS-AVP/ĐĐH</v>
      </c>
      <c r="O693" s="66">
        <v>46160.0</v>
      </c>
      <c r="P693" s="67" t="s">
        <v>1241</v>
      </c>
      <c r="Q693" s="68">
        <v>5000.0</v>
      </c>
      <c r="R693" s="68">
        <v>15209.2</v>
      </c>
      <c r="S693" s="68">
        <v>7.6046E7</v>
      </c>
      <c r="T693" s="68">
        <v>6083680.0</v>
      </c>
      <c r="U693" s="60">
        <f t="shared" si="2"/>
        <v>82129680</v>
      </c>
      <c r="V693" s="70"/>
      <c r="W693" s="23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</row>
    <row r="694" ht="25.5" customHeight="1">
      <c r="A694" s="55">
        <v>46160.0</v>
      </c>
      <c r="B694" s="56" t="s">
        <v>830</v>
      </c>
      <c r="C694" s="56" t="s">
        <v>14</v>
      </c>
      <c r="D694" s="58" t="s">
        <v>13</v>
      </c>
      <c r="E694" s="58" t="s">
        <v>70</v>
      </c>
      <c r="F694" s="56" t="s">
        <v>71</v>
      </c>
      <c r="G694" s="60">
        <v>200.0</v>
      </c>
      <c r="H694" s="62">
        <v>20374.0</v>
      </c>
      <c r="I694" s="64">
        <v>4074800.0</v>
      </c>
      <c r="J694" s="64">
        <v>325984.0</v>
      </c>
      <c r="K694" s="64">
        <v>4400784.0</v>
      </c>
      <c r="L694" s="65" t="s">
        <v>1207</v>
      </c>
      <c r="M694" s="65" t="str">
        <f>VLOOKUP(L694,'Đơn đặt'!$C$3:$E$275,2,0)</f>
        <v>03-12-TS</v>
      </c>
      <c r="N694" s="65" t="str">
        <f>VLOOKUP(L694,'Đơn đặt'!$C$3:$E$275,3,0)</f>
        <v>54-2026/TS-AVP/ĐĐH</v>
      </c>
      <c r="O694" s="66">
        <v>46160.0</v>
      </c>
      <c r="P694" s="67" t="s">
        <v>1240</v>
      </c>
      <c r="Q694" s="90">
        <v>200.0</v>
      </c>
      <c r="R694" s="76">
        <v>18666.8</v>
      </c>
      <c r="S694" s="64">
        <f>ROUND(Q694*R694,0)</f>
        <v>3733360</v>
      </c>
      <c r="T694" s="64">
        <f>ROUND(S694*0.08,0)</f>
        <v>298669</v>
      </c>
      <c r="U694" s="60">
        <f t="shared" si="2"/>
        <v>4032029</v>
      </c>
      <c r="V694" s="70"/>
      <c r="W694" s="23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</row>
    <row r="695" ht="25.5" customHeight="1">
      <c r="A695" s="55">
        <v>46160.0</v>
      </c>
      <c r="B695" s="56" t="s">
        <v>830</v>
      </c>
      <c r="C695" s="56" t="s">
        <v>38</v>
      </c>
      <c r="D695" s="58" t="s">
        <v>36</v>
      </c>
      <c r="E695" s="58" t="s">
        <v>70</v>
      </c>
      <c r="F695" s="56" t="s">
        <v>71</v>
      </c>
      <c r="G695" s="60">
        <v>2500.0</v>
      </c>
      <c r="H695" s="62">
        <v>19901.0</v>
      </c>
      <c r="I695" s="64">
        <v>4.97525E7</v>
      </c>
      <c r="J695" s="64">
        <v>3980200.0</v>
      </c>
      <c r="K695" s="64">
        <v>5.37327E7</v>
      </c>
      <c r="L695" s="65" t="s">
        <v>1138</v>
      </c>
      <c r="M695" s="65" t="str">
        <f>VLOOKUP(L695,'Đơn đặt'!$C$3:$E$275,2,0)</f>
        <v>04-08-TS</v>
      </c>
      <c r="N695" s="65" t="str">
        <f>VLOOKUP(L695,'Đơn đặt'!$C$3:$E$275,3,0)</f>
        <v>57-2026/TS-AVP/ĐĐH</v>
      </c>
      <c r="O695" s="66">
        <v>46160.0</v>
      </c>
      <c r="P695" s="67" t="s">
        <v>1240</v>
      </c>
      <c r="Q695" s="68">
        <v>2500.0</v>
      </c>
      <c r="R695" s="76">
        <v>19156.2</v>
      </c>
      <c r="S695" s="77">
        <v>4.78905E7</v>
      </c>
      <c r="T695" s="77">
        <v>3831240.0</v>
      </c>
      <c r="U695" s="60">
        <f t="shared" si="2"/>
        <v>51721740</v>
      </c>
      <c r="V695" s="70"/>
      <c r="W695" s="23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</row>
    <row r="696" ht="25.5" customHeight="1">
      <c r="A696" s="55">
        <v>46160.0</v>
      </c>
      <c r="B696" s="56" t="s">
        <v>830</v>
      </c>
      <c r="C696" s="56" t="s">
        <v>206</v>
      </c>
      <c r="D696" s="58" t="s">
        <v>207</v>
      </c>
      <c r="E696" s="58" t="s">
        <v>70</v>
      </c>
      <c r="F696" s="56" t="s">
        <v>71</v>
      </c>
      <c r="G696" s="60">
        <v>1000.0</v>
      </c>
      <c r="H696" s="62">
        <v>19041.0</v>
      </c>
      <c r="I696" s="64">
        <v>1.9041E7</v>
      </c>
      <c r="J696" s="64">
        <v>1523280.0</v>
      </c>
      <c r="K696" s="64">
        <v>2.056428E7</v>
      </c>
      <c r="L696" s="65" t="s">
        <v>1135</v>
      </c>
      <c r="M696" s="65" t="str">
        <f>VLOOKUP(L696,'Đơn đặt'!$C$3:$E$275,2,0)</f>
        <v>02-11-TS</v>
      </c>
      <c r="N696" s="65" t="str">
        <f>VLOOKUP(L696,'Đơn đặt'!$C$3:$E$275,3,0)</f>
        <v>52-2026/TS-AVP/ĐĐH</v>
      </c>
      <c r="O696" s="66">
        <v>46160.0</v>
      </c>
      <c r="P696" s="67" t="s">
        <v>1240</v>
      </c>
      <c r="Q696" s="68">
        <v>1000.0</v>
      </c>
      <c r="R696" s="76">
        <v>18064.2</v>
      </c>
      <c r="S696" s="77">
        <v>1.80642E7</v>
      </c>
      <c r="T696" s="77">
        <v>1445136.0</v>
      </c>
      <c r="U696" s="60">
        <f t="shared" si="2"/>
        <v>19509336</v>
      </c>
      <c r="V696" s="70"/>
      <c r="W696" s="23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</row>
    <row r="697" ht="25.5" customHeight="1">
      <c r="A697" s="55">
        <v>46160.0</v>
      </c>
      <c r="B697" s="56" t="s">
        <v>1242</v>
      </c>
      <c r="C697" s="56" t="s">
        <v>59</v>
      </c>
      <c r="D697" s="58" t="s">
        <v>105</v>
      </c>
      <c r="E697" s="58" t="s">
        <v>70</v>
      </c>
      <c r="F697" s="56" t="s">
        <v>71</v>
      </c>
      <c r="G697" s="60">
        <v>2000.0</v>
      </c>
      <c r="H697" s="62">
        <v>19206.0</v>
      </c>
      <c r="I697" s="64">
        <v>3.8412E7</v>
      </c>
      <c r="J697" s="64">
        <v>3072960.0</v>
      </c>
      <c r="K697" s="64">
        <v>4.148496E7</v>
      </c>
      <c r="L697" s="84" t="s">
        <v>1150</v>
      </c>
      <c r="M697" s="65" t="str">
        <f>VLOOKUP(L697,'Đơn đặt'!$C$3:$E$275,2,0)</f>
        <v>03-12-TS</v>
      </c>
      <c r="N697" s="65" t="str">
        <f>VLOOKUP(L697,'Đơn đặt'!$C$3:$E$275,3,0)</f>
        <v>54-2026/TS-AVP/ĐĐH</v>
      </c>
      <c r="O697" s="66">
        <v>46160.0</v>
      </c>
      <c r="P697" s="67" t="s">
        <v>1240</v>
      </c>
      <c r="Q697" s="68">
        <v>2000.0</v>
      </c>
      <c r="R697" s="76">
        <v>17073.2</v>
      </c>
      <c r="S697" s="68">
        <v>3.41464E7</v>
      </c>
      <c r="T697" s="77">
        <v>2731712.0</v>
      </c>
      <c r="U697" s="60">
        <f t="shared" si="2"/>
        <v>36878112</v>
      </c>
      <c r="V697" s="70"/>
      <c r="W697" s="23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</row>
    <row r="698" ht="25.5" customHeight="1">
      <c r="A698" s="55">
        <v>46160.0</v>
      </c>
      <c r="B698" s="56" t="s">
        <v>1242</v>
      </c>
      <c r="C698" s="56" t="s">
        <v>119</v>
      </c>
      <c r="D698" s="58" t="s">
        <v>120</v>
      </c>
      <c r="E698" s="58" t="s">
        <v>70</v>
      </c>
      <c r="F698" s="56" t="s">
        <v>71</v>
      </c>
      <c r="G698" s="60">
        <v>2000.0</v>
      </c>
      <c r="H698" s="62">
        <v>20276.0</v>
      </c>
      <c r="I698" s="64">
        <v>4.0552E7</v>
      </c>
      <c r="J698" s="64">
        <v>3244160.0</v>
      </c>
      <c r="K698" s="64">
        <v>4.379616E7</v>
      </c>
      <c r="L698" s="65" t="s">
        <v>1200</v>
      </c>
      <c r="M698" s="65" t="str">
        <f>VLOOKUP(L698,'Đơn đặt'!$C$3:$E$275,2,0)</f>
        <v>02-11-TS</v>
      </c>
      <c r="N698" s="65" t="str">
        <f>VLOOKUP(L698,'Đơn đặt'!$C$3:$E$275,3,0)</f>
        <v>52-2026/TS-AVP/ĐĐH</v>
      </c>
      <c r="O698" s="66">
        <v>46160.0</v>
      </c>
      <c r="P698" s="67" t="s">
        <v>1240</v>
      </c>
      <c r="Q698" s="68">
        <v>2000.0</v>
      </c>
      <c r="R698" s="76">
        <v>18311.2</v>
      </c>
      <c r="S698" s="77">
        <v>3.66224E7</v>
      </c>
      <c r="T698" s="77">
        <v>2929792.0</v>
      </c>
      <c r="U698" s="60">
        <f t="shared" si="2"/>
        <v>39552192</v>
      </c>
      <c r="V698" s="70"/>
      <c r="W698" s="23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</row>
    <row r="699" ht="25.5" customHeight="1">
      <c r="A699" s="55">
        <v>46161.0</v>
      </c>
      <c r="B699" s="56" t="s">
        <v>1243</v>
      </c>
      <c r="C699" s="56" t="s">
        <v>178</v>
      </c>
      <c r="D699" s="58" t="s">
        <v>179</v>
      </c>
      <c r="E699" s="58" t="s">
        <v>248</v>
      </c>
      <c r="F699" s="56" t="s">
        <v>819</v>
      </c>
      <c r="G699" s="60">
        <v>300.0</v>
      </c>
      <c r="H699" s="62">
        <v>288766.0</v>
      </c>
      <c r="I699" s="64">
        <v>8.66298E7</v>
      </c>
      <c r="J699" s="64">
        <v>6930384.0</v>
      </c>
      <c r="K699" s="64">
        <v>9.3560184E7</v>
      </c>
      <c r="L699" s="91" t="s">
        <v>1196</v>
      </c>
      <c r="M699" s="65">
        <f>VLOOKUP(L699,'Đơn đặt'!$C$3:$E$275,2,0)</f>
        <v>444</v>
      </c>
      <c r="N699" s="65" t="str">
        <f>VLOOKUP(L699,'Đơn đặt'!$C$3:$E$275,3,0)</f>
        <v>26/THP/02</v>
      </c>
      <c r="O699" s="55">
        <v>46161.0</v>
      </c>
      <c r="P699" s="56" t="s">
        <v>1244</v>
      </c>
      <c r="Q699" s="60">
        <v>300.0</v>
      </c>
      <c r="R699" s="62">
        <v>251353.2</v>
      </c>
      <c r="S699" s="64">
        <v>7.540596E7</v>
      </c>
      <c r="T699" s="64">
        <v>6032477.0</v>
      </c>
      <c r="U699" s="60">
        <f t="shared" si="2"/>
        <v>81438437</v>
      </c>
      <c r="V699" s="70"/>
      <c r="W699" s="23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</row>
    <row r="700" ht="25.5" customHeight="1">
      <c r="A700" s="55">
        <v>46161.0</v>
      </c>
      <c r="B700" s="56" t="s">
        <v>836</v>
      </c>
      <c r="C700" s="56" t="s">
        <v>55</v>
      </c>
      <c r="D700" s="58" t="s">
        <v>53</v>
      </c>
      <c r="E700" s="58" t="s">
        <v>70</v>
      </c>
      <c r="F700" s="56" t="s">
        <v>71</v>
      </c>
      <c r="G700" s="60">
        <v>1200.0</v>
      </c>
      <c r="H700" s="62">
        <v>21025.0</v>
      </c>
      <c r="I700" s="64">
        <v>2.523E7</v>
      </c>
      <c r="J700" s="64">
        <v>2018400.0</v>
      </c>
      <c r="K700" s="64">
        <v>2.72484E7</v>
      </c>
      <c r="L700" s="65" t="s">
        <v>958</v>
      </c>
      <c r="M700" s="65" t="str">
        <f>VLOOKUP(L700,'Đơn đặt'!$C$3:$E$275,2,0)</f>
        <v>03-12-TS</v>
      </c>
      <c r="N700" s="65" t="str">
        <f>VLOOKUP(L700,'Đơn đặt'!$C$3:$E$275,3,0)</f>
        <v>36-2026/TS-AVP/ĐĐH</v>
      </c>
      <c r="O700" s="66">
        <v>46161.0</v>
      </c>
      <c r="P700" s="67" t="s">
        <v>1245</v>
      </c>
      <c r="Q700" s="68">
        <v>1200.0</v>
      </c>
      <c r="R700" s="76">
        <v>16989.0</v>
      </c>
      <c r="S700" s="77">
        <v>2.03868E7</v>
      </c>
      <c r="T700" s="77">
        <v>1630944.0</v>
      </c>
      <c r="U700" s="60">
        <f t="shared" si="2"/>
        <v>22017744</v>
      </c>
      <c r="V700" s="70"/>
      <c r="W700" s="23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</row>
    <row r="701" ht="25.5" customHeight="1">
      <c r="A701" s="55">
        <v>46162.0</v>
      </c>
      <c r="B701" s="56" t="s">
        <v>843</v>
      </c>
      <c r="C701" s="56" t="s">
        <v>14</v>
      </c>
      <c r="D701" s="58" t="s">
        <v>13</v>
      </c>
      <c r="E701" s="58" t="s">
        <v>70</v>
      </c>
      <c r="F701" s="56" t="s">
        <v>71</v>
      </c>
      <c r="G701" s="60">
        <v>2000.0</v>
      </c>
      <c r="H701" s="62">
        <v>20374.0</v>
      </c>
      <c r="I701" s="64">
        <v>4.0748E7</v>
      </c>
      <c r="J701" s="64">
        <v>3259840.0</v>
      </c>
      <c r="K701" s="64">
        <v>4.400784E7</v>
      </c>
      <c r="L701" s="65" t="s">
        <v>1207</v>
      </c>
      <c r="M701" s="65" t="str">
        <f>VLOOKUP(L701,'Đơn đặt'!$C$3:$E$275,2,0)</f>
        <v>03-12-TS</v>
      </c>
      <c r="N701" s="65" t="str">
        <f>VLOOKUP(L701,'Đơn đặt'!$C$3:$E$275,3,0)</f>
        <v>54-2026/TS-AVP/ĐĐH</v>
      </c>
      <c r="O701" s="66">
        <v>46162.0</v>
      </c>
      <c r="P701" s="67" t="s">
        <v>1246</v>
      </c>
      <c r="Q701" s="68">
        <v>2000.0</v>
      </c>
      <c r="R701" s="76">
        <v>18666.8</v>
      </c>
      <c r="S701" s="77">
        <v>3.73336E7</v>
      </c>
      <c r="T701" s="77">
        <v>2986688.0</v>
      </c>
      <c r="U701" s="60">
        <f t="shared" si="2"/>
        <v>40320288</v>
      </c>
      <c r="V701" s="70"/>
      <c r="W701" s="23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</row>
    <row r="702" ht="25.5" customHeight="1">
      <c r="A702" s="55">
        <v>46162.0</v>
      </c>
      <c r="B702" s="56" t="s">
        <v>843</v>
      </c>
      <c r="C702" s="56" t="s">
        <v>206</v>
      </c>
      <c r="D702" s="58" t="s">
        <v>207</v>
      </c>
      <c r="E702" s="58" t="s">
        <v>70</v>
      </c>
      <c r="F702" s="56" t="s">
        <v>71</v>
      </c>
      <c r="G702" s="60">
        <v>2500.0</v>
      </c>
      <c r="H702" s="62">
        <v>19041.0</v>
      </c>
      <c r="I702" s="64">
        <v>4.76025E7</v>
      </c>
      <c r="J702" s="64">
        <v>3808200.0</v>
      </c>
      <c r="K702" s="64">
        <v>5.14107E7</v>
      </c>
      <c r="L702" s="65" t="s">
        <v>1135</v>
      </c>
      <c r="M702" s="65" t="str">
        <f>VLOOKUP(L702,'Đơn đặt'!$C$3:$E$275,2,0)</f>
        <v>02-11-TS</v>
      </c>
      <c r="N702" s="65" t="str">
        <f>VLOOKUP(L702,'Đơn đặt'!$C$3:$E$275,3,0)</f>
        <v>52-2026/TS-AVP/ĐĐH</v>
      </c>
      <c r="O702" s="66">
        <v>46162.0</v>
      </c>
      <c r="P702" s="67" t="s">
        <v>1246</v>
      </c>
      <c r="Q702" s="68">
        <v>2500.0</v>
      </c>
      <c r="R702" s="76">
        <v>18064.2</v>
      </c>
      <c r="S702" s="77">
        <v>4.51605E7</v>
      </c>
      <c r="T702" s="77">
        <v>3612840.0</v>
      </c>
      <c r="U702" s="60">
        <f t="shared" si="2"/>
        <v>48773340</v>
      </c>
      <c r="V702" s="70"/>
      <c r="W702" s="23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</row>
    <row r="703" ht="25.5" customHeight="1">
      <c r="A703" s="55">
        <v>46162.0</v>
      </c>
      <c r="B703" s="56" t="s">
        <v>1247</v>
      </c>
      <c r="C703" s="56" t="s">
        <v>48</v>
      </c>
      <c r="D703" s="58" t="s">
        <v>47</v>
      </c>
      <c r="E703" s="58" t="s">
        <v>70</v>
      </c>
      <c r="F703" s="56" t="s">
        <v>71</v>
      </c>
      <c r="G703" s="60">
        <v>4000.0</v>
      </c>
      <c r="H703" s="62">
        <v>19206.0</v>
      </c>
      <c r="I703" s="64">
        <v>7.6824E7</v>
      </c>
      <c r="J703" s="64">
        <v>6145920.0</v>
      </c>
      <c r="K703" s="64">
        <v>8.296992E7</v>
      </c>
      <c r="L703" s="65" t="s">
        <v>1146</v>
      </c>
      <c r="M703" s="65" t="str">
        <f>VLOOKUP(L703,'Đơn đặt'!$C$3:$E$275,2,0)</f>
        <v>03-12-TS</v>
      </c>
      <c r="N703" s="65" t="str">
        <f>VLOOKUP(L703,'Đơn đặt'!$C$3:$E$275,3,0)</f>
        <v>58-2026/TS-AVP/ĐĐH</v>
      </c>
      <c r="O703" s="66">
        <v>46162.0</v>
      </c>
      <c r="P703" s="93" t="s">
        <v>1248</v>
      </c>
      <c r="Q703" s="68">
        <v>4000.0</v>
      </c>
      <c r="R703" s="68">
        <v>15209.2</v>
      </c>
      <c r="S703" s="60">
        <f>ROUND(Q703*R703,0)</f>
        <v>60836800</v>
      </c>
      <c r="T703" s="60">
        <f>ROUND(S703*0.08,0)</f>
        <v>4866944</v>
      </c>
      <c r="U703" s="60">
        <f t="shared" si="2"/>
        <v>65703744</v>
      </c>
      <c r="V703" s="70"/>
      <c r="W703" s="23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</row>
    <row r="704" ht="25.5" customHeight="1">
      <c r="A704" s="55">
        <v>46162.0</v>
      </c>
      <c r="B704" s="56" t="s">
        <v>1247</v>
      </c>
      <c r="C704" s="56" t="s">
        <v>50</v>
      </c>
      <c r="D704" s="58" t="s">
        <v>49</v>
      </c>
      <c r="E704" s="58" t="s">
        <v>70</v>
      </c>
      <c r="F704" s="56" t="s">
        <v>71</v>
      </c>
      <c r="G704" s="60">
        <v>2000.0</v>
      </c>
      <c r="H704" s="62">
        <v>19206.0</v>
      </c>
      <c r="I704" s="64">
        <v>3.8412E7</v>
      </c>
      <c r="J704" s="64">
        <v>3072960.0</v>
      </c>
      <c r="K704" s="64">
        <v>4.148496E7</v>
      </c>
      <c r="L704" s="65" t="s">
        <v>950</v>
      </c>
      <c r="M704" s="65" t="str">
        <f>VLOOKUP(L704,'Đơn đặt'!$C$3:$E$275,2,0)</f>
        <v>03-12-TS</v>
      </c>
      <c r="N704" s="65" t="str">
        <f>VLOOKUP(L704,'Đơn đặt'!$C$3:$E$275,3,0)</f>
        <v>58-2026/TS-AVP/ĐĐH</v>
      </c>
      <c r="O704" s="66">
        <v>46162.0</v>
      </c>
      <c r="P704" s="67" t="s">
        <v>1249</v>
      </c>
      <c r="Q704" s="68">
        <v>2000.0</v>
      </c>
      <c r="R704" s="76">
        <v>15209.2</v>
      </c>
      <c r="S704" s="77">
        <v>3.04184E7</v>
      </c>
      <c r="T704" s="77">
        <v>2433472.0</v>
      </c>
      <c r="U704" s="60">
        <f t="shared" si="2"/>
        <v>32851872</v>
      </c>
      <c r="V704" s="70"/>
      <c r="W704" s="23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</row>
    <row r="705" ht="25.5" customHeight="1">
      <c r="A705" s="55">
        <v>46162.0</v>
      </c>
      <c r="B705" s="56" t="s">
        <v>1250</v>
      </c>
      <c r="C705" s="56" t="s">
        <v>77</v>
      </c>
      <c r="D705" s="58" t="s">
        <v>78</v>
      </c>
      <c r="E705" s="58" t="s">
        <v>70</v>
      </c>
      <c r="F705" s="56" t="s">
        <v>71</v>
      </c>
      <c r="G705" s="60">
        <v>2000.0</v>
      </c>
      <c r="H705" s="62">
        <v>22866.0</v>
      </c>
      <c r="I705" s="64">
        <v>4.5732E7</v>
      </c>
      <c r="J705" s="64">
        <v>3658560.0</v>
      </c>
      <c r="K705" s="64">
        <v>4.939056E7</v>
      </c>
      <c r="L705" s="65" t="s">
        <v>1194</v>
      </c>
      <c r="M705" s="65" t="str">
        <f>VLOOKUP(L705,'Đơn đặt'!$C$3:$E$275,2,0)</f>
        <v>04-12-TS</v>
      </c>
      <c r="N705" s="65" t="str">
        <f>VLOOKUP(L705,'Đơn đặt'!$C$3:$E$275,3,0)</f>
        <v>60-2026/TS-AVP/ĐĐH</v>
      </c>
      <c r="O705" s="66">
        <v>46162.0</v>
      </c>
      <c r="P705" s="67" t="s">
        <v>1251</v>
      </c>
      <c r="Q705" s="68">
        <v>2000.0</v>
      </c>
      <c r="R705" s="76">
        <v>20709.2</v>
      </c>
      <c r="S705" s="77">
        <v>4.14184E7</v>
      </c>
      <c r="T705" s="77">
        <v>3313472.0</v>
      </c>
      <c r="U705" s="60">
        <f t="shared" si="2"/>
        <v>44731872</v>
      </c>
      <c r="V705" s="70"/>
      <c r="W705" s="23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</row>
    <row r="706" ht="25.5" customHeight="1">
      <c r="A706" s="55">
        <v>46162.0</v>
      </c>
      <c r="B706" s="56" t="s">
        <v>1252</v>
      </c>
      <c r="C706" s="56" t="s">
        <v>59</v>
      </c>
      <c r="D706" s="58" t="s">
        <v>105</v>
      </c>
      <c r="E706" s="58" t="s">
        <v>70</v>
      </c>
      <c r="F706" s="56" t="s">
        <v>71</v>
      </c>
      <c r="G706" s="60">
        <v>2000.0</v>
      </c>
      <c r="H706" s="62">
        <v>19206.0</v>
      </c>
      <c r="I706" s="64">
        <v>3.8412E7</v>
      </c>
      <c r="J706" s="64">
        <v>3072960.0</v>
      </c>
      <c r="K706" s="64">
        <v>4.148496E7</v>
      </c>
      <c r="L706" s="84" t="s">
        <v>1150</v>
      </c>
      <c r="M706" s="65" t="str">
        <f>VLOOKUP(L706,'Đơn đặt'!$C$3:$E$275,2,0)</f>
        <v>03-12-TS</v>
      </c>
      <c r="N706" s="65" t="str">
        <f>VLOOKUP(L706,'Đơn đặt'!$C$3:$E$275,3,0)</f>
        <v>54-2026/TS-AVP/ĐĐH</v>
      </c>
      <c r="O706" s="66">
        <v>46162.0</v>
      </c>
      <c r="P706" s="67" t="s">
        <v>1246</v>
      </c>
      <c r="Q706" s="68">
        <v>2000.0</v>
      </c>
      <c r="R706" s="76">
        <v>17073.2</v>
      </c>
      <c r="S706" s="68">
        <v>3.41464E7</v>
      </c>
      <c r="T706" s="77">
        <v>2731712.0</v>
      </c>
      <c r="U706" s="60">
        <f t="shared" si="2"/>
        <v>36878112</v>
      </c>
      <c r="V706" s="70"/>
      <c r="W706" s="23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</row>
    <row r="707" ht="25.5" customHeight="1">
      <c r="A707" s="55">
        <v>46162.0</v>
      </c>
      <c r="B707" s="56" t="s">
        <v>1252</v>
      </c>
      <c r="C707" s="56" t="s">
        <v>119</v>
      </c>
      <c r="D707" s="58" t="s">
        <v>120</v>
      </c>
      <c r="E707" s="58" t="s">
        <v>70</v>
      </c>
      <c r="F707" s="56" t="s">
        <v>71</v>
      </c>
      <c r="G707" s="60">
        <v>2000.0</v>
      </c>
      <c r="H707" s="62">
        <v>20276.0</v>
      </c>
      <c r="I707" s="64">
        <v>4.0552E7</v>
      </c>
      <c r="J707" s="64">
        <v>3244160.0</v>
      </c>
      <c r="K707" s="64">
        <v>4.379616E7</v>
      </c>
      <c r="L707" s="65" t="s">
        <v>1200</v>
      </c>
      <c r="M707" s="65" t="str">
        <f>VLOOKUP(L707,'Đơn đặt'!$C$3:$E$275,2,0)</f>
        <v>02-11-TS</v>
      </c>
      <c r="N707" s="65" t="str">
        <f>VLOOKUP(L707,'Đơn đặt'!$C$3:$E$275,3,0)</f>
        <v>52-2026/TS-AVP/ĐĐH</v>
      </c>
      <c r="O707" s="66">
        <v>46162.0</v>
      </c>
      <c r="P707" s="67" t="s">
        <v>1246</v>
      </c>
      <c r="Q707" s="68">
        <v>2000.0</v>
      </c>
      <c r="R707" s="76">
        <v>18311.2</v>
      </c>
      <c r="S707" s="77">
        <v>3.66224E7</v>
      </c>
      <c r="T707" s="77">
        <v>2929792.0</v>
      </c>
      <c r="U707" s="60">
        <f t="shared" si="2"/>
        <v>39552192</v>
      </c>
      <c r="V707" s="70"/>
      <c r="W707" s="23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</row>
    <row r="708" ht="25.5" customHeight="1">
      <c r="A708" s="55">
        <v>46162.0</v>
      </c>
      <c r="B708" s="56" t="s">
        <v>1252</v>
      </c>
      <c r="C708" s="56" t="s">
        <v>492</v>
      </c>
      <c r="D708" s="58" t="s">
        <v>493</v>
      </c>
      <c r="E708" s="58" t="s">
        <v>70</v>
      </c>
      <c r="F708" s="56" t="s">
        <v>819</v>
      </c>
      <c r="G708" s="60">
        <v>63.0</v>
      </c>
      <c r="H708" s="62">
        <v>319505.0</v>
      </c>
      <c r="I708" s="64">
        <v>2.0128815E7</v>
      </c>
      <c r="J708" s="64">
        <v>1610305.0</v>
      </c>
      <c r="K708" s="64">
        <v>2.173912E7</v>
      </c>
      <c r="L708" s="65" t="s">
        <v>1253</v>
      </c>
      <c r="M708" s="65" t="str">
        <f>VLOOKUP(L708,'Đơn đặt'!$C$3:$E$275,2,0)</f>
        <v>05-01-TS</v>
      </c>
      <c r="N708" s="65" t="str">
        <f>VLOOKUP(L708,'Đơn đặt'!$C$3:$E$275,3,0)</f>
        <v>61-2026/TS-AVP/ĐĐH</v>
      </c>
      <c r="O708" s="66">
        <v>46162.0</v>
      </c>
      <c r="P708" s="67" t="s">
        <v>1246</v>
      </c>
      <c r="Q708" s="68">
        <v>63.0</v>
      </c>
      <c r="R708" s="76">
        <v>293221.0</v>
      </c>
      <c r="S708" s="77">
        <v>1.8472923E7</v>
      </c>
      <c r="T708" s="77">
        <v>1477834.0</v>
      </c>
      <c r="U708" s="60">
        <f t="shared" si="2"/>
        <v>19950757</v>
      </c>
      <c r="V708" s="70"/>
      <c r="W708" s="23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</row>
    <row r="709" ht="25.5" customHeight="1">
      <c r="A709" s="55">
        <v>46162.0</v>
      </c>
      <c r="B709" s="56" t="s">
        <v>1254</v>
      </c>
      <c r="C709" s="56" t="s">
        <v>1</v>
      </c>
      <c r="D709" s="58" t="s">
        <v>136</v>
      </c>
      <c r="E709" s="58" t="s">
        <v>70</v>
      </c>
      <c r="F709" s="56" t="s">
        <v>112</v>
      </c>
      <c r="G709" s="60">
        <v>2000.0</v>
      </c>
      <c r="H709" s="62">
        <v>42560.0</v>
      </c>
      <c r="I709" s="64">
        <v>8.512E7</v>
      </c>
      <c r="J709" s="64">
        <v>6809600.0</v>
      </c>
      <c r="K709" s="64">
        <v>9.19296E7</v>
      </c>
      <c r="L709" s="65" t="s">
        <v>1255</v>
      </c>
      <c r="M709" s="65" t="str">
        <f>VLOOKUP(L709,'Đơn đặt'!$C$3:$E$275,2,0)</f>
        <v>05-15/TS-LP</v>
      </c>
      <c r="N709" s="65" t="str">
        <f>VLOOKUP(L709,'Đơn đặt'!$C$3:$E$275,3,0)</f>
        <v>50-2026/TS-AVP/ĐĐH</v>
      </c>
      <c r="O709" s="66">
        <v>46162.0</v>
      </c>
      <c r="P709" s="67" t="s">
        <v>1256</v>
      </c>
      <c r="Q709" s="68">
        <v>2000.0</v>
      </c>
      <c r="R709" s="76">
        <v>38912.0</v>
      </c>
      <c r="S709" s="77">
        <f t="shared" ref="S709:S710" si="147">ROUND(Q709*R709,0)</f>
        <v>77824000</v>
      </c>
      <c r="T709" s="87">
        <f t="shared" ref="T709:T710" si="148">S709*0.08</f>
        <v>6225920</v>
      </c>
      <c r="U709" s="60">
        <f t="shared" si="2"/>
        <v>84049920</v>
      </c>
      <c r="V709" s="70"/>
      <c r="W709" s="23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</row>
    <row r="710" ht="25.5" customHeight="1">
      <c r="A710" s="55">
        <v>46162.0</v>
      </c>
      <c r="B710" s="56" t="s">
        <v>1254</v>
      </c>
      <c r="C710" s="56" t="s">
        <v>3</v>
      </c>
      <c r="D710" s="58" t="s">
        <v>164</v>
      </c>
      <c r="E710" s="58" t="s">
        <v>70</v>
      </c>
      <c r="F710" s="56" t="s">
        <v>112</v>
      </c>
      <c r="G710" s="60">
        <v>5000.0</v>
      </c>
      <c r="H710" s="62">
        <v>42560.0</v>
      </c>
      <c r="I710" s="64">
        <v>2.128E8</v>
      </c>
      <c r="J710" s="64">
        <v>1.7024E7</v>
      </c>
      <c r="K710" s="64">
        <v>2.29824E8</v>
      </c>
      <c r="L710" s="65" t="s">
        <v>1257</v>
      </c>
      <c r="M710" s="65" t="str">
        <f>VLOOKUP(L710,'Đơn đặt'!$C$3:$E$275,2,0)</f>
        <v>05-15/TS-LP</v>
      </c>
      <c r="N710" s="65" t="str">
        <f>VLOOKUP(L710,'Đơn đặt'!$C$3:$E$275,3,0)</f>
        <v>50-2026/TS-AVP/ĐĐH</v>
      </c>
      <c r="O710" s="66">
        <v>46162.0</v>
      </c>
      <c r="P710" s="67" t="s">
        <v>1256</v>
      </c>
      <c r="Q710" s="68">
        <v>5000.0</v>
      </c>
      <c r="R710" s="76">
        <v>38912.0</v>
      </c>
      <c r="S710" s="77">
        <f t="shared" si="147"/>
        <v>194560000</v>
      </c>
      <c r="T710" s="87">
        <f t="shared" si="148"/>
        <v>15564800</v>
      </c>
      <c r="U710" s="60">
        <f t="shared" si="2"/>
        <v>210124800</v>
      </c>
      <c r="V710" s="70"/>
      <c r="W710" s="23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</row>
    <row r="711" ht="25.5" customHeight="1">
      <c r="A711" s="55">
        <v>46163.0</v>
      </c>
      <c r="B711" s="56" t="s">
        <v>1258</v>
      </c>
      <c r="C711" s="56" t="s">
        <v>178</v>
      </c>
      <c r="D711" s="106" t="s">
        <v>179</v>
      </c>
      <c r="E711" s="58" t="s">
        <v>248</v>
      </c>
      <c r="F711" s="56" t="s">
        <v>819</v>
      </c>
      <c r="G711" s="60">
        <v>235.0</v>
      </c>
      <c r="H711" s="62">
        <v>288766.0</v>
      </c>
      <c r="I711" s="64">
        <v>6.786001E7</v>
      </c>
      <c r="J711" s="64">
        <v>5428801.0</v>
      </c>
      <c r="K711" s="64">
        <v>7.3288811E7</v>
      </c>
      <c r="L711" s="91" t="s">
        <v>1196</v>
      </c>
      <c r="M711" s="65">
        <f>VLOOKUP(L711,'Đơn đặt'!$C$3:$E$275,2,0)</f>
        <v>444</v>
      </c>
      <c r="N711" s="65" t="str">
        <f>VLOOKUP(L711,'Đơn đặt'!$C$3:$E$275,3,0)</f>
        <v>26/THP/02</v>
      </c>
      <c r="O711" s="66">
        <v>46163.0</v>
      </c>
      <c r="P711" s="67" t="s">
        <v>1259</v>
      </c>
      <c r="Q711" s="68">
        <v>235.0</v>
      </c>
      <c r="R711" s="76">
        <v>251353.2</v>
      </c>
      <c r="S711" s="77">
        <v>5.9068002E7</v>
      </c>
      <c r="T711" s="77">
        <v>4725440.0</v>
      </c>
      <c r="U711" s="107">
        <f t="shared" si="2"/>
        <v>63793442</v>
      </c>
      <c r="V711" s="70"/>
      <c r="W711" s="23"/>
      <c r="X711" s="73"/>
      <c r="Y711" s="73"/>
      <c r="Z711" s="73"/>
      <c r="AA711" s="73"/>
      <c r="AB711" s="73"/>
      <c r="AC711" s="73"/>
      <c r="AD711" s="73"/>
      <c r="AE711" s="73"/>
      <c r="AF711" s="73"/>
      <c r="AG711" s="73"/>
      <c r="AH711" s="73"/>
      <c r="AI711" s="73"/>
      <c r="AJ711" s="73"/>
      <c r="AK711" s="73"/>
      <c r="AL711" s="73"/>
      <c r="AM711" s="73"/>
      <c r="AN711" s="73"/>
      <c r="AO711" s="73"/>
    </row>
    <row r="712" ht="25.5" customHeight="1">
      <c r="A712" s="55">
        <v>46163.0</v>
      </c>
      <c r="B712" s="56" t="s">
        <v>1260</v>
      </c>
      <c r="C712" s="56" t="s">
        <v>77</v>
      </c>
      <c r="D712" s="106" t="s">
        <v>78</v>
      </c>
      <c r="E712" s="58" t="s">
        <v>70</v>
      </c>
      <c r="F712" s="56" t="s">
        <v>71</v>
      </c>
      <c r="G712" s="60">
        <v>1680.0</v>
      </c>
      <c r="H712" s="62">
        <v>22866.0</v>
      </c>
      <c r="I712" s="64">
        <v>3.841488E7</v>
      </c>
      <c r="J712" s="64">
        <v>3073190.0</v>
      </c>
      <c r="K712" s="64">
        <v>4.148807E7</v>
      </c>
      <c r="L712" s="65" t="s">
        <v>1194</v>
      </c>
      <c r="M712" s="65" t="str">
        <f>VLOOKUP(L712,'Đơn đặt'!$C$3:$E$275,2,0)</f>
        <v>04-12-TS</v>
      </c>
      <c r="N712" s="65" t="str">
        <f>VLOOKUP(L712,'Đơn đặt'!$C$3:$E$275,3,0)</f>
        <v>60-2026/TS-AVP/ĐĐH</v>
      </c>
      <c r="O712" s="66">
        <v>46163.0</v>
      </c>
      <c r="P712" s="67" t="s">
        <v>1261</v>
      </c>
      <c r="Q712" s="68">
        <v>1680.0</v>
      </c>
      <c r="R712" s="76">
        <v>20709.2</v>
      </c>
      <c r="S712" s="77">
        <v>3.4791456E7</v>
      </c>
      <c r="T712" s="77">
        <v>2783316.0</v>
      </c>
      <c r="U712" s="107">
        <f t="shared" si="2"/>
        <v>37574772</v>
      </c>
      <c r="V712" s="70"/>
      <c r="W712" s="23"/>
      <c r="X712" s="73"/>
      <c r="Y712" s="73"/>
      <c r="Z712" s="73"/>
      <c r="AA712" s="73"/>
      <c r="AB712" s="73"/>
      <c r="AC712" s="73"/>
      <c r="AD712" s="73"/>
      <c r="AE712" s="73"/>
      <c r="AF712" s="73"/>
      <c r="AG712" s="73"/>
      <c r="AH712" s="73"/>
      <c r="AI712" s="73"/>
      <c r="AJ712" s="73"/>
      <c r="AK712" s="73"/>
      <c r="AL712" s="73"/>
      <c r="AM712" s="73"/>
      <c r="AN712" s="73"/>
      <c r="AO712" s="73"/>
    </row>
    <row r="713" ht="25.5" customHeight="1">
      <c r="A713" s="55">
        <v>46163.0</v>
      </c>
      <c r="B713" s="56" t="s">
        <v>1262</v>
      </c>
      <c r="C713" s="56" t="s">
        <v>55</v>
      </c>
      <c r="D713" s="106" t="s">
        <v>53</v>
      </c>
      <c r="E713" s="58" t="s">
        <v>70</v>
      </c>
      <c r="F713" s="56" t="s">
        <v>71</v>
      </c>
      <c r="G713" s="60">
        <v>1000.0</v>
      </c>
      <c r="H713" s="62">
        <v>21025.0</v>
      </c>
      <c r="I713" s="64">
        <v>2.1025E7</v>
      </c>
      <c r="J713" s="64">
        <v>1682000.0</v>
      </c>
      <c r="K713" s="64">
        <v>2.2707E7</v>
      </c>
      <c r="L713" s="65" t="s">
        <v>958</v>
      </c>
      <c r="M713" s="65" t="str">
        <f>VLOOKUP(L713,'Đơn đặt'!$C$3:$E$275,2,0)</f>
        <v>03-12-TS</v>
      </c>
      <c r="N713" s="65" t="str">
        <f>VLOOKUP(L713,'Đơn đặt'!$C$3:$E$275,3,0)</f>
        <v>36-2026/TS-AVP/ĐĐH</v>
      </c>
      <c r="O713" s="66">
        <v>46163.0</v>
      </c>
      <c r="P713" s="67" t="s">
        <v>1263</v>
      </c>
      <c r="Q713" s="68">
        <v>1000.0</v>
      </c>
      <c r="R713" s="76">
        <v>16989.0</v>
      </c>
      <c r="S713" s="77">
        <v>1.6989E7</v>
      </c>
      <c r="T713" s="77">
        <v>1359120.0</v>
      </c>
      <c r="U713" s="107">
        <f t="shared" si="2"/>
        <v>18348120</v>
      </c>
      <c r="V713" s="70"/>
      <c r="W713" s="23"/>
      <c r="X713" s="73"/>
      <c r="Y713" s="73"/>
      <c r="Z713" s="73"/>
      <c r="AA713" s="73"/>
      <c r="AB713" s="73"/>
      <c r="AC713" s="73"/>
      <c r="AD713" s="73"/>
      <c r="AE713" s="73"/>
      <c r="AF713" s="73"/>
      <c r="AG713" s="73"/>
      <c r="AH713" s="73"/>
      <c r="AI713" s="73"/>
      <c r="AJ713" s="73"/>
      <c r="AK713" s="73"/>
      <c r="AL713" s="73"/>
      <c r="AM713" s="73"/>
      <c r="AN713" s="73"/>
      <c r="AO713" s="73"/>
    </row>
    <row r="714" ht="25.5" customHeight="1">
      <c r="A714" s="55">
        <v>46163.0</v>
      </c>
      <c r="B714" s="56" t="s">
        <v>1264</v>
      </c>
      <c r="C714" s="56" t="s">
        <v>492</v>
      </c>
      <c r="D714" s="106" t="s">
        <v>493</v>
      </c>
      <c r="E714" s="58" t="s">
        <v>70</v>
      </c>
      <c r="F714" s="56" t="s">
        <v>819</v>
      </c>
      <c r="G714" s="60">
        <v>407.0</v>
      </c>
      <c r="H714" s="62">
        <v>319505.0</v>
      </c>
      <c r="I714" s="64">
        <v>1.30038535E8</v>
      </c>
      <c r="J714" s="64">
        <v>1.0403083E7</v>
      </c>
      <c r="K714" s="64">
        <v>1.40441618E8</v>
      </c>
      <c r="L714" s="65" t="s">
        <v>1253</v>
      </c>
      <c r="M714" s="65" t="str">
        <f>VLOOKUP(L714,'Đơn đặt'!$C$3:$E$275,2,0)</f>
        <v>05-01-TS</v>
      </c>
      <c r="N714" s="65" t="str">
        <f>VLOOKUP(L714,'Đơn đặt'!$C$3:$E$275,3,0)</f>
        <v>61-2026/TS-AVP/ĐĐH</v>
      </c>
      <c r="O714" s="66">
        <v>46163.0</v>
      </c>
      <c r="P714" s="67" t="s">
        <v>1265</v>
      </c>
      <c r="Q714" s="68">
        <v>407.0</v>
      </c>
      <c r="R714" s="76">
        <v>293221.0</v>
      </c>
      <c r="S714" s="77">
        <v>1.19340947E8</v>
      </c>
      <c r="T714" s="77">
        <v>9547276.0</v>
      </c>
      <c r="U714" s="90">
        <f t="shared" si="2"/>
        <v>128888223</v>
      </c>
      <c r="V714" s="70"/>
      <c r="W714" s="23"/>
      <c r="X714" s="73"/>
      <c r="Y714" s="73"/>
      <c r="Z714" s="73"/>
      <c r="AA714" s="73"/>
      <c r="AB714" s="73"/>
      <c r="AC714" s="73"/>
      <c r="AD714" s="73"/>
      <c r="AE714" s="73"/>
      <c r="AF714" s="73"/>
      <c r="AG714" s="73"/>
      <c r="AH714" s="73"/>
      <c r="AI714" s="73"/>
      <c r="AJ714" s="73"/>
      <c r="AK714" s="73"/>
      <c r="AL714" s="73"/>
      <c r="AM714" s="73"/>
      <c r="AN714" s="73"/>
      <c r="AO714" s="73"/>
    </row>
    <row r="715" ht="25.5" customHeight="1">
      <c r="A715" s="55">
        <v>46164.0</v>
      </c>
      <c r="B715" s="56" t="s">
        <v>1266</v>
      </c>
      <c r="C715" s="56" t="s">
        <v>14</v>
      </c>
      <c r="D715" s="106" t="s">
        <v>13</v>
      </c>
      <c r="E715" s="58" t="s">
        <v>70</v>
      </c>
      <c r="F715" s="56" t="s">
        <v>71</v>
      </c>
      <c r="G715" s="60">
        <v>3200.0</v>
      </c>
      <c r="H715" s="62">
        <v>20374.0</v>
      </c>
      <c r="I715" s="64">
        <v>6.51968E7</v>
      </c>
      <c r="J715" s="64">
        <v>5215744.0</v>
      </c>
      <c r="K715" s="64">
        <v>7.0412544E7</v>
      </c>
      <c r="L715" s="65" t="s">
        <v>1207</v>
      </c>
      <c r="M715" s="65" t="str">
        <f>VLOOKUP(L715,'Đơn đặt'!$C$3:$E$275,2,0)</f>
        <v>03-12-TS</v>
      </c>
      <c r="N715" s="65" t="str">
        <f>VLOOKUP(L715,'Đơn đặt'!$C$3:$E$275,3,0)</f>
        <v>54-2026/TS-AVP/ĐĐH</v>
      </c>
      <c r="O715" s="66">
        <v>46164.0</v>
      </c>
      <c r="P715" s="67" t="s">
        <v>1267</v>
      </c>
      <c r="Q715" s="68">
        <f>G715</f>
        <v>3200</v>
      </c>
      <c r="R715" s="76">
        <v>18666.8</v>
      </c>
      <c r="S715" s="108">
        <f>ROUND(Q715*R715,0)</f>
        <v>59733760</v>
      </c>
      <c r="T715" s="108">
        <f>ROUND(S715*0.08,0)</f>
        <v>4778701</v>
      </c>
      <c r="U715" s="90">
        <f t="shared" si="2"/>
        <v>64512461</v>
      </c>
      <c r="V715" s="70"/>
      <c r="W715" s="23"/>
      <c r="X715" s="73"/>
      <c r="Y715" s="73"/>
      <c r="Z715" s="73"/>
      <c r="AA715" s="73"/>
      <c r="AB715" s="73"/>
      <c r="AC715" s="73"/>
      <c r="AD715" s="73"/>
      <c r="AE715" s="73"/>
      <c r="AF715" s="73"/>
      <c r="AG715" s="73"/>
      <c r="AH715" s="73"/>
      <c r="AI715" s="73"/>
      <c r="AJ715" s="73"/>
      <c r="AK715" s="73"/>
      <c r="AL715" s="73"/>
      <c r="AM715" s="73"/>
      <c r="AN715" s="73"/>
      <c r="AO715" s="73"/>
    </row>
    <row r="716" ht="25.5" customHeight="1">
      <c r="A716" s="55">
        <v>46164.0</v>
      </c>
      <c r="B716" s="56" t="s">
        <v>1268</v>
      </c>
      <c r="C716" s="56" t="s">
        <v>48</v>
      </c>
      <c r="D716" s="106" t="s">
        <v>47</v>
      </c>
      <c r="E716" s="58" t="s">
        <v>70</v>
      </c>
      <c r="F716" s="56" t="s">
        <v>71</v>
      </c>
      <c r="G716" s="60">
        <v>1000.0</v>
      </c>
      <c r="H716" s="62">
        <v>19206.0</v>
      </c>
      <c r="I716" s="64">
        <v>1.9206E7</v>
      </c>
      <c r="J716" s="64">
        <v>1536480.0</v>
      </c>
      <c r="K716" s="64">
        <v>2.074248E7</v>
      </c>
      <c r="L716" s="65" t="s">
        <v>1146</v>
      </c>
      <c r="M716" s="65" t="str">
        <f>VLOOKUP(L716,'Đơn đặt'!$C$3:$E$275,2,0)</f>
        <v>03-12-TS</v>
      </c>
      <c r="N716" s="65" t="str">
        <f>VLOOKUP(L716,'Đơn đặt'!$C$3:$E$275,3,0)</f>
        <v>58-2026/TS-AVP/ĐĐH</v>
      </c>
      <c r="O716" s="66">
        <v>46164.0</v>
      </c>
      <c r="P716" s="67" t="s">
        <v>1269</v>
      </c>
      <c r="Q716" s="68">
        <v>1000.0</v>
      </c>
      <c r="R716" s="68">
        <v>15209.2</v>
      </c>
      <c r="S716" s="68">
        <v>1.52092E7</v>
      </c>
      <c r="T716" s="68">
        <v>1216736.0</v>
      </c>
      <c r="U716" s="107">
        <f t="shared" si="2"/>
        <v>16425936</v>
      </c>
      <c r="V716" s="70"/>
      <c r="W716" s="23"/>
      <c r="X716" s="73"/>
      <c r="Y716" s="73"/>
      <c r="Z716" s="73"/>
      <c r="AA716" s="73"/>
      <c r="AB716" s="73"/>
      <c r="AC716" s="73"/>
      <c r="AD716" s="73"/>
      <c r="AE716" s="73"/>
      <c r="AF716" s="73"/>
      <c r="AG716" s="73"/>
      <c r="AH716" s="73"/>
      <c r="AI716" s="73"/>
      <c r="AJ716" s="73"/>
      <c r="AK716" s="73"/>
      <c r="AL716" s="73"/>
      <c r="AM716" s="73"/>
      <c r="AN716" s="73"/>
      <c r="AO716" s="73"/>
    </row>
    <row r="717" ht="25.5" customHeight="1">
      <c r="A717" s="55">
        <v>46164.0</v>
      </c>
      <c r="B717" s="56" t="s">
        <v>1268</v>
      </c>
      <c r="C717" s="56" t="s">
        <v>50</v>
      </c>
      <c r="D717" s="106" t="s">
        <v>49</v>
      </c>
      <c r="E717" s="58" t="s">
        <v>70</v>
      </c>
      <c r="F717" s="56" t="s">
        <v>71</v>
      </c>
      <c r="G717" s="60">
        <v>2000.0</v>
      </c>
      <c r="H717" s="62">
        <v>19206.0</v>
      </c>
      <c r="I717" s="64">
        <v>3.8412E7</v>
      </c>
      <c r="J717" s="64">
        <v>3072960.0</v>
      </c>
      <c r="K717" s="64">
        <v>4.148496E7</v>
      </c>
      <c r="L717" s="65" t="s">
        <v>950</v>
      </c>
      <c r="M717" s="65" t="str">
        <f>VLOOKUP(L717,'Đơn đặt'!$C$3:$E$275,2,0)</f>
        <v>03-12-TS</v>
      </c>
      <c r="N717" s="65" t="str">
        <f>VLOOKUP(L717,'Đơn đặt'!$C$3:$E$275,3,0)</f>
        <v>58-2026/TS-AVP/ĐĐH</v>
      </c>
      <c r="O717" s="66">
        <v>46164.0</v>
      </c>
      <c r="P717" s="67" t="s">
        <v>1269</v>
      </c>
      <c r="Q717" s="68">
        <v>2000.0</v>
      </c>
      <c r="R717" s="76">
        <v>15209.2</v>
      </c>
      <c r="S717" s="77">
        <v>3.04184E7</v>
      </c>
      <c r="T717" s="77">
        <v>2433472.0</v>
      </c>
      <c r="U717" s="107">
        <f t="shared" si="2"/>
        <v>32851872</v>
      </c>
      <c r="V717" s="70"/>
      <c r="W717" s="23"/>
      <c r="X717" s="73"/>
      <c r="Y717" s="73"/>
      <c r="Z717" s="73"/>
      <c r="AA717" s="73"/>
      <c r="AB717" s="73"/>
      <c r="AC717" s="73"/>
      <c r="AD717" s="73"/>
      <c r="AE717" s="73"/>
      <c r="AF717" s="73"/>
      <c r="AG717" s="73"/>
      <c r="AH717" s="73"/>
      <c r="AI717" s="73"/>
      <c r="AJ717" s="73"/>
      <c r="AK717" s="73"/>
      <c r="AL717" s="73"/>
      <c r="AM717" s="73"/>
      <c r="AN717" s="73"/>
      <c r="AO717" s="73"/>
    </row>
    <row r="718" ht="25.5" customHeight="1">
      <c r="A718" s="55">
        <v>46164.0</v>
      </c>
      <c r="B718" s="56" t="s">
        <v>1270</v>
      </c>
      <c r="C718" s="56" t="s">
        <v>48</v>
      </c>
      <c r="D718" s="106" t="s">
        <v>47</v>
      </c>
      <c r="E718" s="58" t="s">
        <v>70</v>
      </c>
      <c r="F718" s="56" t="s">
        <v>71</v>
      </c>
      <c r="G718" s="60">
        <v>3000.0</v>
      </c>
      <c r="H718" s="62">
        <v>19206.0</v>
      </c>
      <c r="I718" s="64">
        <v>5.7618E7</v>
      </c>
      <c r="J718" s="64">
        <v>4609440.0</v>
      </c>
      <c r="K718" s="64">
        <v>6.222744E7</v>
      </c>
      <c r="L718" s="65" t="s">
        <v>1146</v>
      </c>
      <c r="M718" s="65" t="str">
        <f>VLOOKUP(L718,'Đơn đặt'!$C$3:$E$275,2,0)</f>
        <v>03-12-TS</v>
      </c>
      <c r="N718" s="65" t="str">
        <f>VLOOKUP(L718,'Đơn đặt'!$C$3:$E$275,3,0)</f>
        <v>58-2026/TS-AVP/ĐĐH</v>
      </c>
      <c r="O718" s="66">
        <v>46164.0</v>
      </c>
      <c r="P718" s="67" t="s">
        <v>1271</v>
      </c>
      <c r="Q718" s="68">
        <v>3000.0</v>
      </c>
      <c r="R718" s="68">
        <v>15209.2</v>
      </c>
      <c r="S718" s="68">
        <v>4.56276E7</v>
      </c>
      <c r="T718" s="68">
        <v>3650208.0</v>
      </c>
      <c r="U718" s="107">
        <f t="shared" si="2"/>
        <v>49277808</v>
      </c>
      <c r="V718" s="70"/>
      <c r="W718" s="23"/>
      <c r="X718" s="73"/>
      <c r="Y718" s="73"/>
      <c r="Z718" s="73"/>
      <c r="AA718" s="73"/>
      <c r="AB718" s="73"/>
      <c r="AC718" s="73"/>
      <c r="AD718" s="73"/>
      <c r="AE718" s="73"/>
      <c r="AF718" s="73"/>
      <c r="AG718" s="73"/>
      <c r="AH718" s="73"/>
      <c r="AI718" s="73"/>
      <c r="AJ718" s="73"/>
      <c r="AK718" s="73"/>
      <c r="AL718" s="73"/>
      <c r="AM718" s="73"/>
      <c r="AN718" s="73"/>
      <c r="AO718" s="73"/>
    </row>
    <row r="719" ht="25.5" customHeight="1">
      <c r="A719" s="55">
        <v>46164.0</v>
      </c>
      <c r="B719" s="56" t="s">
        <v>1272</v>
      </c>
      <c r="C719" s="56" t="s">
        <v>59</v>
      </c>
      <c r="D719" s="106" t="s">
        <v>105</v>
      </c>
      <c r="E719" s="58" t="s">
        <v>70</v>
      </c>
      <c r="F719" s="56" t="s">
        <v>71</v>
      </c>
      <c r="G719" s="60">
        <v>400.0</v>
      </c>
      <c r="H719" s="62">
        <v>19206.0</v>
      </c>
      <c r="I719" s="64">
        <v>7682400.0</v>
      </c>
      <c r="J719" s="64">
        <v>614592.0</v>
      </c>
      <c r="K719" s="64">
        <v>8296992.0</v>
      </c>
      <c r="L719" s="84" t="s">
        <v>1150</v>
      </c>
      <c r="M719" s="65" t="str">
        <f>VLOOKUP(L719,'Đơn đặt'!$C$3:$E$275,2,0)</f>
        <v>03-12-TS</v>
      </c>
      <c r="N719" s="65" t="str">
        <f>VLOOKUP(L719,'Đơn đặt'!$C$3:$E$275,3,0)</f>
        <v>54-2026/TS-AVP/ĐĐH</v>
      </c>
      <c r="O719" s="55">
        <v>46164.0</v>
      </c>
      <c r="P719" s="56" t="s">
        <v>1267</v>
      </c>
      <c r="Q719" s="60">
        <f t="shared" ref="Q719:Q720" si="149">G719</f>
        <v>400</v>
      </c>
      <c r="R719" s="62">
        <v>17073.2</v>
      </c>
      <c r="S719" s="90">
        <f>ROUND(Q719*R719,2)</f>
        <v>6829280</v>
      </c>
      <c r="T719" s="108">
        <f t="shared" ref="T719:T720" si="150">ROUND(S719*0.08,0)</f>
        <v>546342</v>
      </c>
      <c r="U719" s="90">
        <f t="shared" si="2"/>
        <v>7375622</v>
      </c>
      <c r="V719" s="70"/>
      <c r="W719" s="23"/>
      <c r="X719" s="73"/>
      <c r="Y719" s="73"/>
      <c r="Z719" s="73"/>
      <c r="AA719" s="73"/>
      <c r="AB719" s="73"/>
      <c r="AC719" s="73"/>
      <c r="AD719" s="73"/>
      <c r="AE719" s="73"/>
      <c r="AF719" s="73"/>
      <c r="AG719" s="73"/>
      <c r="AH719" s="73"/>
      <c r="AI719" s="73"/>
      <c r="AJ719" s="73"/>
      <c r="AK719" s="73"/>
      <c r="AL719" s="73"/>
      <c r="AM719" s="73"/>
      <c r="AN719" s="73"/>
      <c r="AO719" s="73"/>
    </row>
    <row r="720" ht="25.5" customHeight="1">
      <c r="A720" s="55">
        <v>46164.0</v>
      </c>
      <c r="B720" s="56" t="s">
        <v>1272</v>
      </c>
      <c r="C720" s="56" t="s">
        <v>14</v>
      </c>
      <c r="D720" s="106" t="s">
        <v>13</v>
      </c>
      <c r="E720" s="58" t="s">
        <v>70</v>
      </c>
      <c r="F720" s="56" t="s">
        <v>71</v>
      </c>
      <c r="G720" s="60">
        <v>300.0</v>
      </c>
      <c r="H720" s="62">
        <v>20374.0</v>
      </c>
      <c r="I720" s="64">
        <v>6112200.0</v>
      </c>
      <c r="J720" s="64">
        <v>488976.0</v>
      </c>
      <c r="K720" s="64">
        <v>6601176.0</v>
      </c>
      <c r="L720" s="65" t="s">
        <v>1207</v>
      </c>
      <c r="M720" s="65" t="str">
        <f>VLOOKUP(L720,'Đơn đặt'!$C$3:$E$275,2,0)</f>
        <v>03-12-TS</v>
      </c>
      <c r="N720" s="65" t="str">
        <f>VLOOKUP(L720,'Đơn đặt'!$C$3:$E$275,3,0)</f>
        <v>54-2026/TS-AVP/ĐĐH</v>
      </c>
      <c r="O720" s="66">
        <v>46164.0</v>
      </c>
      <c r="P720" s="67" t="s">
        <v>1267</v>
      </c>
      <c r="Q720" s="68">
        <f t="shared" si="149"/>
        <v>300</v>
      </c>
      <c r="R720" s="76">
        <v>18666.8</v>
      </c>
      <c r="S720" s="108">
        <f>ROUND(Q720*R720,0)</f>
        <v>5600040</v>
      </c>
      <c r="T720" s="108">
        <f t="shared" si="150"/>
        <v>448003</v>
      </c>
      <c r="U720" s="90">
        <f t="shared" si="2"/>
        <v>6048043</v>
      </c>
      <c r="V720" s="70"/>
      <c r="W720" s="23"/>
      <c r="X720" s="73"/>
      <c r="Y720" s="73"/>
      <c r="Z720" s="73"/>
      <c r="AA720" s="73"/>
      <c r="AB720" s="73"/>
      <c r="AC720" s="73"/>
      <c r="AD720" s="73"/>
      <c r="AE720" s="73"/>
      <c r="AF720" s="73"/>
      <c r="AG720" s="73"/>
      <c r="AH720" s="73"/>
      <c r="AI720" s="73"/>
      <c r="AJ720" s="73"/>
      <c r="AK720" s="73"/>
      <c r="AL720" s="73"/>
      <c r="AM720" s="73"/>
      <c r="AN720" s="73"/>
      <c r="AO720" s="73"/>
    </row>
    <row r="721" ht="25.5" customHeight="1">
      <c r="A721" s="55">
        <v>46164.0</v>
      </c>
      <c r="B721" s="56" t="s">
        <v>1272</v>
      </c>
      <c r="C721" s="56" t="s">
        <v>35</v>
      </c>
      <c r="D721" s="106" t="s">
        <v>34</v>
      </c>
      <c r="E721" s="58" t="s">
        <v>70</v>
      </c>
      <c r="F721" s="56" t="s">
        <v>71</v>
      </c>
      <c r="G721" s="60">
        <v>1497.0</v>
      </c>
      <c r="H721" s="62">
        <v>15645.0</v>
      </c>
      <c r="I721" s="64">
        <v>2.3420565E7</v>
      </c>
      <c r="J721" s="64">
        <v>1873645.0</v>
      </c>
      <c r="K721" s="64">
        <v>2.529421E7</v>
      </c>
      <c r="L721" s="91" t="s">
        <v>1155</v>
      </c>
      <c r="M721" s="65" t="str">
        <f>VLOOKUP(L721,'Đơn đặt'!$C$3:$E$275,2,0)</f>
        <v>04-08-TS</v>
      </c>
      <c r="N721" s="65" t="str">
        <f>VLOOKUP(L721,'Đơn đặt'!$C$3:$E$275,3,0)</f>
        <v>57-2026/TS-AVP/ĐĐH</v>
      </c>
      <c r="O721" s="66">
        <v>46164.0</v>
      </c>
      <c r="P721" s="67" t="s">
        <v>1267</v>
      </c>
      <c r="Q721" s="68">
        <v>1497.0</v>
      </c>
      <c r="R721" s="76">
        <v>14849.0</v>
      </c>
      <c r="S721" s="77">
        <v>2.2228953E7</v>
      </c>
      <c r="T721" s="77">
        <v>1778316.0</v>
      </c>
      <c r="U721" s="107">
        <f t="shared" si="2"/>
        <v>24007269</v>
      </c>
      <c r="V721" s="70"/>
      <c r="W721" s="23"/>
      <c r="X721" s="73"/>
      <c r="Y721" s="73"/>
      <c r="Z721" s="73"/>
      <c r="AA721" s="73"/>
      <c r="AB721" s="73"/>
      <c r="AC721" s="73"/>
      <c r="AD721" s="73"/>
      <c r="AE721" s="73"/>
      <c r="AF721" s="73"/>
      <c r="AG721" s="73"/>
      <c r="AH721" s="73"/>
      <c r="AI721" s="73"/>
      <c r="AJ721" s="73"/>
      <c r="AK721" s="73"/>
      <c r="AL721" s="73"/>
      <c r="AM721" s="73"/>
      <c r="AN721" s="73"/>
      <c r="AO721" s="73"/>
    </row>
    <row r="722" ht="25.5" customHeight="1">
      <c r="A722" s="55">
        <v>46164.0</v>
      </c>
      <c r="B722" s="56" t="s">
        <v>1273</v>
      </c>
      <c r="C722" s="56" t="s">
        <v>59</v>
      </c>
      <c r="D722" s="106" t="s">
        <v>105</v>
      </c>
      <c r="E722" s="58" t="s">
        <v>70</v>
      </c>
      <c r="F722" s="56" t="s">
        <v>71</v>
      </c>
      <c r="G722" s="60">
        <v>1600.0</v>
      </c>
      <c r="H722" s="62">
        <v>19206.0</v>
      </c>
      <c r="I722" s="64">
        <v>3.07296E7</v>
      </c>
      <c r="J722" s="64">
        <v>2458368.0</v>
      </c>
      <c r="K722" s="64">
        <v>3.3187968E7</v>
      </c>
      <c r="L722" s="84" t="s">
        <v>1150</v>
      </c>
      <c r="M722" s="65" t="str">
        <f>VLOOKUP(L722,'Đơn đặt'!$C$3:$E$275,2,0)</f>
        <v>03-12-TS</v>
      </c>
      <c r="N722" s="65" t="str">
        <f>VLOOKUP(L722,'Đơn đặt'!$C$3:$E$275,3,0)</f>
        <v>54-2026/TS-AVP/ĐĐH</v>
      </c>
      <c r="O722" s="55">
        <v>46164.0</v>
      </c>
      <c r="P722" s="56" t="s">
        <v>1267</v>
      </c>
      <c r="Q722" s="60">
        <f>G722</f>
        <v>1600</v>
      </c>
      <c r="R722" s="62">
        <v>17073.2</v>
      </c>
      <c r="S722" s="90">
        <f>ROUND(Q722*R722,2)</f>
        <v>27317120</v>
      </c>
      <c r="T722" s="108">
        <f>ROUND(S722*0.08,0)</f>
        <v>2185370</v>
      </c>
      <c r="U722" s="90">
        <f t="shared" si="2"/>
        <v>29502490</v>
      </c>
      <c r="V722" s="70"/>
      <c r="W722" s="23"/>
      <c r="X722" s="73"/>
      <c r="Y722" s="73"/>
      <c r="Z722" s="73"/>
      <c r="AA722" s="73"/>
      <c r="AB722" s="73"/>
      <c r="AC722" s="73"/>
      <c r="AD722" s="73"/>
      <c r="AE722" s="73"/>
      <c r="AF722" s="73"/>
      <c r="AG722" s="73"/>
      <c r="AH722" s="73"/>
      <c r="AI722" s="73"/>
      <c r="AJ722" s="73"/>
      <c r="AK722" s="73"/>
      <c r="AL722" s="73"/>
      <c r="AM722" s="73"/>
      <c r="AN722" s="73"/>
      <c r="AO722" s="73"/>
    </row>
    <row r="723" ht="25.5" customHeight="1">
      <c r="A723" s="55">
        <v>46164.0</v>
      </c>
      <c r="B723" s="56" t="s">
        <v>1273</v>
      </c>
      <c r="C723" s="56" t="s">
        <v>38</v>
      </c>
      <c r="D723" s="106" t="s">
        <v>36</v>
      </c>
      <c r="E723" s="58" t="s">
        <v>70</v>
      </c>
      <c r="F723" s="56" t="s">
        <v>71</v>
      </c>
      <c r="G723" s="60">
        <v>2000.0</v>
      </c>
      <c r="H723" s="62">
        <v>19901.0</v>
      </c>
      <c r="I723" s="64">
        <v>3.9802E7</v>
      </c>
      <c r="J723" s="64">
        <v>3184160.0</v>
      </c>
      <c r="K723" s="64">
        <v>4.298616E7</v>
      </c>
      <c r="L723" s="65" t="s">
        <v>1138</v>
      </c>
      <c r="M723" s="65" t="str">
        <f>VLOOKUP(L723,'Đơn đặt'!$C$3:$E$275,2,0)</f>
        <v>04-08-TS</v>
      </c>
      <c r="N723" s="65" t="str">
        <f>VLOOKUP(L723,'Đơn đặt'!$C$3:$E$275,3,0)</f>
        <v>57-2026/TS-AVP/ĐĐH</v>
      </c>
      <c r="O723" s="66">
        <v>46164.0</v>
      </c>
      <c r="P723" s="67" t="s">
        <v>1267</v>
      </c>
      <c r="Q723" s="68">
        <v>2000.0</v>
      </c>
      <c r="R723" s="76">
        <v>19156.2</v>
      </c>
      <c r="S723" s="77">
        <v>3.83124E7</v>
      </c>
      <c r="T723" s="77">
        <v>3064992.0</v>
      </c>
      <c r="U723" s="107">
        <f t="shared" si="2"/>
        <v>41377392</v>
      </c>
      <c r="V723" s="70"/>
      <c r="W723" s="23"/>
      <c r="X723" s="73"/>
      <c r="Y723" s="73"/>
      <c r="Z723" s="73"/>
      <c r="AA723" s="73"/>
      <c r="AB723" s="73"/>
      <c r="AC723" s="73"/>
      <c r="AD723" s="73"/>
      <c r="AE723" s="73"/>
      <c r="AF723" s="73"/>
      <c r="AG723" s="73"/>
      <c r="AH723" s="73"/>
      <c r="AI723" s="73"/>
      <c r="AJ723" s="73"/>
      <c r="AK723" s="73"/>
      <c r="AL723" s="73"/>
      <c r="AM723" s="73"/>
      <c r="AN723" s="73"/>
      <c r="AO723" s="73"/>
    </row>
    <row r="724" ht="25.5" customHeight="1">
      <c r="A724" s="55">
        <v>46167.0</v>
      </c>
      <c r="B724" s="56" t="s">
        <v>1274</v>
      </c>
      <c r="C724" s="56" t="s">
        <v>55</v>
      </c>
      <c r="D724" s="106" t="s">
        <v>53</v>
      </c>
      <c r="E724" s="58" t="s">
        <v>70</v>
      </c>
      <c r="F724" s="56" t="s">
        <v>71</v>
      </c>
      <c r="G724" s="60">
        <v>1000.0</v>
      </c>
      <c r="H724" s="62">
        <v>21025.0</v>
      </c>
      <c r="I724" s="64">
        <v>2.1025E7</v>
      </c>
      <c r="J724" s="64">
        <v>1682000.0</v>
      </c>
      <c r="K724" s="64">
        <v>2.2707E7</v>
      </c>
      <c r="L724" s="65" t="s">
        <v>958</v>
      </c>
      <c r="M724" s="65" t="str">
        <f>VLOOKUP(L724,'Đơn đặt'!$C$3:$E$275,2,0)</f>
        <v>03-12-TS</v>
      </c>
      <c r="N724" s="65" t="str">
        <f>VLOOKUP(L724,'Đơn đặt'!$C$3:$E$275,3,0)</f>
        <v>36-2026/TS-AVP/ĐĐH</v>
      </c>
      <c r="O724" s="66">
        <v>46167.0</v>
      </c>
      <c r="P724" s="67" t="s">
        <v>1275</v>
      </c>
      <c r="Q724" s="68">
        <v>1000.0</v>
      </c>
      <c r="R724" s="76">
        <v>16989.0</v>
      </c>
      <c r="S724" s="77">
        <v>1.6989E7</v>
      </c>
      <c r="T724" s="77">
        <v>1359120.0</v>
      </c>
      <c r="U724" s="107">
        <f t="shared" si="2"/>
        <v>18348120</v>
      </c>
      <c r="V724" s="70"/>
      <c r="W724" s="23"/>
      <c r="X724" s="73"/>
      <c r="Y724" s="73"/>
      <c r="Z724" s="73"/>
      <c r="AA724" s="73"/>
      <c r="AB724" s="73"/>
      <c r="AC724" s="73"/>
      <c r="AD724" s="73"/>
      <c r="AE724" s="73"/>
      <c r="AF724" s="73"/>
      <c r="AG724" s="73"/>
      <c r="AH724" s="73"/>
      <c r="AI724" s="73"/>
      <c r="AJ724" s="73"/>
      <c r="AK724" s="73"/>
      <c r="AL724" s="73"/>
      <c r="AM724" s="73"/>
      <c r="AN724" s="73"/>
      <c r="AO724" s="73"/>
    </row>
    <row r="725" ht="25.5" customHeight="1">
      <c r="A725" s="55">
        <v>46167.0</v>
      </c>
      <c r="B725" s="56" t="s">
        <v>847</v>
      </c>
      <c r="C725" s="56" t="s">
        <v>119</v>
      </c>
      <c r="D725" s="106" t="s">
        <v>120</v>
      </c>
      <c r="E725" s="58" t="s">
        <v>70</v>
      </c>
      <c r="F725" s="56" t="s">
        <v>71</v>
      </c>
      <c r="G725" s="60">
        <v>2000.0</v>
      </c>
      <c r="H725" s="62">
        <v>20276.0</v>
      </c>
      <c r="I725" s="64">
        <v>4.0552E7</v>
      </c>
      <c r="J725" s="64">
        <v>3244160.0</v>
      </c>
      <c r="K725" s="64">
        <v>4.379616E7</v>
      </c>
      <c r="L725" s="65" t="s">
        <v>1200</v>
      </c>
      <c r="M725" s="65" t="str">
        <f>VLOOKUP(L725,'Đơn đặt'!$C$3:$E$275,2,0)</f>
        <v>02-11-TS</v>
      </c>
      <c r="N725" s="65" t="str">
        <f>VLOOKUP(L725,'Đơn đặt'!$C$3:$E$275,3,0)</f>
        <v>52-2026/TS-AVP/ĐĐH</v>
      </c>
      <c r="O725" s="66">
        <v>46167.0</v>
      </c>
      <c r="P725" s="67" t="s">
        <v>1276</v>
      </c>
      <c r="Q725" s="68">
        <v>2000.0</v>
      </c>
      <c r="R725" s="76">
        <v>18311.2</v>
      </c>
      <c r="S725" s="77">
        <v>3.66224E7</v>
      </c>
      <c r="T725" s="77">
        <v>2929792.0</v>
      </c>
      <c r="U725" s="107">
        <f t="shared" si="2"/>
        <v>39552192</v>
      </c>
      <c r="V725" s="70"/>
      <c r="W725" s="23"/>
      <c r="X725" s="73"/>
      <c r="Y725" s="73"/>
      <c r="Z725" s="73"/>
      <c r="AA725" s="73"/>
      <c r="AB725" s="73"/>
      <c r="AC725" s="73"/>
      <c r="AD725" s="73"/>
      <c r="AE725" s="73"/>
      <c r="AF725" s="73"/>
      <c r="AG725" s="73"/>
      <c r="AH725" s="73"/>
      <c r="AI725" s="73"/>
      <c r="AJ725" s="73"/>
      <c r="AK725" s="73"/>
      <c r="AL725" s="73"/>
      <c r="AM725" s="73"/>
      <c r="AN725" s="73"/>
      <c r="AO725" s="73"/>
    </row>
    <row r="726" ht="25.5" customHeight="1">
      <c r="A726" s="55">
        <v>46167.0</v>
      </c>
      <c r="B726" s="56" t="s">
        <v>847</v>
      </c>
      <c r="C726" s="56" t="s">
        <v>206</v>
      </c>
      <c r="D726" s="106" t="s">
        <v>207</v>
      </c>
      <c r="E726" s="58" t="s">
        <v>70</v>
      </c>
      <c r="F726" s="56" t="s">
        <v>71</v>
      </c>
      <c r="G726" s="60">
        <v>3500.0</v>
      </c>
      <c r="H726" s="62">
        <v>19041.0</v>
      </c>
      <c r="I726" s="64">
        <v>6.66435E7</v>
      </c>
      <c r="J726" s="64">
        <v>5331480.0</v>
      </c>
      <c r="K726" s="64">
        <v>7.197498E7</v>
      </c>
      <c r="L726" s="65" t="s">
        <v>1135</v>
      </c>
      <c r="M726" s="65" t="str">
        <f>VLOOKUP(L726,'Đơn đặt'!$C$3:$E$275,2,0)</f>
        <v>02-11-TS</v>
      </c>
      <c r="N726" s="65" t="str">
        <f>VLOOKUP(L726,'Đơn đặt'!$C$3:$E$275,3,0)</f>
        <v>52-2026/TS-AVP/ĐĐH</v>
      </c>
      <c r="O726" s="66">
        <v>46167.0</v>
      </c>
      <c r="P726" s="67" t="s">
        <v>1276</v>
      </c>
      <c r="Q726" s="68">
        <v>3500.0</v>
      </c>
      <c r="R726" s="76">
        <v>18064.2</v>
      </c>
      <c r="S726" s="77">
        <v>6.32247E7</v>
      </c>
      <c r="T726" s="77">
        <v>5057976.0</v>
      </c>
      <c r="U726" s="107">
        <f t="shared" si="2"/>
        <v>68282676</v>
      </c>
      <c r="V726" s="70"/>
      <c r="W726" s="23"/>
      <c r="X726" s="73"/>
      <c r="Y726" s="73"/>
      <c r="Z726" s="73"/>
      <c r="AA726" s="73"/>
      <c r="AB726" s="73"/>
      <c r="AC726" s="73"/>
      <c r="AD726" s="73"/>
      <c r="AE726" s="73"/>
      <c r="AF726" s="73"/>
      <c r="AG726" s="73"/>
      <c r="AH726" s="73"/>
      <c r="AI726" s="73"/>
      <c r="AJ726" s="73"/>
      <c r="AK726" s="73"/>
      <c r="AL726" s="73"/>
      <c r="AM726" s="73"/>
      <c r="AN726" s="73"/>
      <c r="AO726" s="73"/>
    </row>
    <row r="727" ht="25.5" customHeight="1">
      <c r="A727" s="55">
        <v>46167.0</v>
      </c>
      <c r="B727" s="56" t="s">
        <v>1277</v>
      </c>
      <c r="C727" s="56" t="s">
        <v>55</v>
      </c>
      <c r="D727" s="106" t="s">
        <v>53</v>
      </c>
      <c r="E727" s="58" t="s">
        <v>70</v>
      </c>
      <c r="F727" s="56" t="s">
        <v>71</v>
      </c>
      <c r="G727" s="60">
        <v>1000.0</v>
      </c>
      <c r="H727" s="62">
        <v>21025.0</v>
      </c>
      <c r="I727" s="64">
        <v>2.1025E7</v>
      </c>
      <c r="J727" s="64">
        <v>1682000.0</v>
      </c>
      <c r="K727" s="64">
        <v>2.2707E7</v>
      </c>
      <c r="L727" s="65" t="s">
        <v>958</v>
      </c>
      <c r="M727" s="65" t="str">
        <f>VLOOKUP(L727,'Đơn đặt'!$C$3:$E$275,2,0)</f>
        <v>03-12-TS</v>
      </c>
      <c r="N727" s="65" t="str">
        <f>VLOOKUP(L727,'Đơn đặt'!$C$3:$E$275,3,0)</f>
        <v>36-2026/TS-AVP/ĐĐH</v>
      </c>
      <c r="O727" s="66">
        <v>46167.0</v>
      </c>
      <c r="P727" s="67" t="s">
        <v>1278</v>
      </c>
      <c r="Q727" s="68">
        <v>1000.0</v>
      </c>
      <c r="R727" s="76">
        <v>16989.0</v>
      </c>
      <c r="S727" s="77">
        <v>1.6989E7</v>
      </c>
      <c r="T727" s="77">
        <v>1359120.0</v>
      </c>
      <c r="U727" s="107">
        <f t="shared" si="2"/>
        <v>18348120</v>
      </c>
      <c r="V727" s="70"/>
      <c r="W727" s="23"/>
      <c r="X727" s="73"/>
      <c r="Y727" s="73"/>
      <c r="Z727" s="73"/>
      <c r="AA727" s="73"/>
      <c r="AB727" s="73"/>
      <c r="AC727" s="73"/>
      <c r="AD727" s="73"/>
      <c r="AE727" s="73"/>
      <c r="AF727" s="73"/>
      <c r="AG727" s="73"/>
      <c r="AH727" s="73"/>
      <c r="AI727" s="73"/>
      <c r="AJ727" s="73"/>
      <c r="AK727" s="73"/>
      <c r="AL727" s="73"/>
      <c r="AM727" s="73"/>
      <c r="AN727" s="73"/>
      <c r="AO727" s="73"/>
    </row>
    <row r="728" ht="25.5" customHeight="1">
      <c r="A728" s="55">
        <v>46167.0</v>
      </c>
      <c r="B728" s="56" t="s">
        <v>1279</v>
      </c>
      <c r="C728" s="56" t="s">
        <v>48</v>
      </c>
      <c r="D728" s="106" t="s">
        <v>47</v>
      </c>
      <c r="E728" s="58" t="s">
        <v>70</v>
      </c>
      <c r="F728" s="56" t="s">
        <v>71</v>
      </c>
      <c r="G728" s="60">
        <v>5000.0</v>
      </c>
      <c r="H728" s="62">
        <v>19206.0</v>
      </c>
      <c r="I728" s="64">
        <v>9.603E7</v>
      </c>
      <c r="J728" s="64">
        <v>7682400.0</v>
      </c>
      <c r="K728" s="64">
        <v>1.037124E8</v>
      </c>
      <c r="L728" s="65" t="s">
        <v>1146</v>
      </c>
      <c r="M728" s="65" t="str">
        <f>VLOOKUP(L728,'Đơn đặt'!$C$3:$E$275,2,0)</f>
        <v>03-12-TS</v>
      </c>
      <c r="N728" s="65" t="str">
        <f>VLOOKUP(L728,'Đơn đặt'!$C$3:$E$275,3,0)</f>
        <v>58-2026/TS-AVP/ĐĐH</v>
      </c>
      <c r="O728" s="66">
        <v>46167.0</v>
      </c>
      <c r="P728" s="67" t="s">
        <v>1280</v>
      </c>
      <c r="Q728" s="68">
        <v>5000.0</v>
      </c>
      <c r="R728" s="68">
        <v>15209.2</v>
      </c>
      <c r="S728" s="68">
        <v>7.6046E7</v>
      </c>
      <c r="T728" s="68">
        <v>6083680.0</v>
      </c>
      <c r="U728" s="107">
        <f t="shared" si="2"/>
        <v>82129680</v>
      </c>
      <c r="V728" s="70"/>
      <c r="W728" s="23"/>
      <c r="X728" s="73"/>
      <c r="Y728" s="73"/>
      <c r="Z728" s="73"/>
      <c r="AA728" s="73"/>
      <c r="AB728" s="73"/>
      <c r="AC728" s="73"/>
      <c r="AD728" s="73"/>
      <c r="AE728" s="73"/>
      <c r="AF728" s="73"/>
      <c r="AG728" s="73"/>
      <c r="AH728" s="73"/>
      <c r="AI728" s="73"/>
      <c r="AJ728" s="73"/>
      <c r="AK728" s="73"/>
      <c r="AL728" s="73"/>
      <c r="AM728" s="73"/>
      <c r="AN728" s="73"/>
      <c r="AO728" s="73"/>
    </row>
    <row r="729" ht="25.5" customHeight="1">
      <c r="A729" s="55">
        <v>46167.0</v>
      </c>
      <c r="B729" s="56" t="s">
        <v>1279</v>
      </c>
      <c r="C729" s="56" t="s">
        <v>50</v>
      </c>
      <c r="D729" s="106" t="s">
        <v>49</v>
      </c>
      <c r="E729" s="58" t="s">
        <v>70</v>
      </c>
      <c r="F729" s="56" t="s">
        <v>71</v>
      </c>
      <c r="G729" s="60">
        <v>1000.0</v>
      </c>
      <c r="H729" s="62">
        <v>19206.0</v>
      </c>
      <c r="I729" s="64">
        <v>1.9206E7</v>
      </c>
      <c r="J729" s="64">
        <v>1536480.0</v>
      </c>
      <c r="K729" s="64">
        <v>2.074248E7</v>
      </c>
      <c r="L729" s="65" t="s">
        <v>950</v>
      </c>
      <c r="M729" s="65" t="str">
        <f>VLOOKUP(L729,'Đơn đặt'!$C$3:$E$275,2,0)</f>
        <v>03-12-TS</v>
      </c>
      <c r="N729" s="65" t="str">
        <f>VLOOKUP(L729,'Đơn đặt'!$C$3:$E$275,3,0)</f>
        <v>58-2026/TS-AVP/ĐĐH</v>
      </c>
      <c r="O729" s="66">
        <v>46167.0</v>
      </c>
      <c r="P729" s="67" t="s">
        <v>1280</v>
      </c>
      <c r="Q729" s="68">
        <v>1000.0</v>
      </c>
      <c r="R729" s="76">
        <v>15209.2</v>
      </c>
      <c r="S729" s="77">
        <v>1.52092E7</v>
      </c>
      <c r="T729" s="77">
        <v>1216736.0</v>
      </c>
      <c r="U729" s="107">
        <f t="shared" si="2"/>
        <v>16425936</v>
      </c>
      <c r="V729" s="70"/>
      <c r="W729" s="23"/>
      <c r="X729" s="73"/>
      <c r="Y729" s="73"/>
      <c r="Z729" s="73"/>
      <c r="AA729" s="73"/>
      <c r="AB729" s="73"/>
      <c r="AC729" s="73"/>
      <c r="AD729" s="73"/>
      <c r="AE729" s="73"/>
      <c r="AF729" s="73"/>
      <c r="AG729" s="73"/>
      <c r="AH729" s="73"/>
      <c r="AI729" s="73"/>
      <c r="AJ729" s="73"/>
      <c r="AK729" s="73"/>
      <c r="AL729" s="73"/>
      <c r="AM729" s="73"/>
      <c r="AN729" s="73"/>
      <c r="AO729" s="73"/>
    </row>
    <row r="730" ht="25.5" customHeight="1">
      <c r="A730" s="55">
        <v>46167.0</v>
      </c>
      <c r="B730" s="56" t="s">
        <v>1279</v>
      </c>
      <c r="C730" s="56" t="s">
        <v>77</v>
      </c>
      <c r="D730" s="106" t="s">
        <v>78</v>
      </c>
      <c r="E730" s="58" t="s">
        <v>70</v>
      </c>
      <c r="F730" s="56" t="s">
        <v>71</v>
      </c>
      <c r="G730" s="60">
        <v>2320.0</v>
      </c>
      <c r="H730" s="62">
        <v>22866.0</v>
      </c>
      <c r="I730" s="64">
        <v>5.304912E7</v>
      </c>
      <c r="J730" s="64">
        <v>4243930.0</v>
      </c>
      <c r="K730" s="64">
        <v>5.729305E7</v>
      </c>
      <c r="L730" s="65" t="s">
        <v>1281</v>
      </c>
      <c r="M730" s="65" t="str">
        <f>VLOOKUP(L730,'Đơn đặt'!$C$3:$E$275,2,0)</f>
        <v>05-06-TS</v>
      </c>
      <c r="N730" s="65" t="str">
        <f>VLOOKUP(L730,'Đơn đặt'!$C$3:$E$275,3,0)</f>
        <v>64-2026/TS-AVP/ĐĐH</v>
      </c>
      <c r="O730" s="66">
        <v>46167.0</v>
      </c>
      <c r="P730" s="67" t="s">
        <v>1280</v>
      </c>
      <c r="Q730" s="68">
        <v>2320.0</v>
      </c>
      <c r="R730" s="76">
        <v>20709.2</v>
      </c>
      <c r="S730" s="77">
        <v>4.8045344E7</v>
      </c>
      <c r="T730" s="77">
        <v>3843628.0</v>
      </c>
      <c r="U730" s="107">
        <f t="shared" si="2"/>
        <v>51888972</v>
      </c>
      <c r="V730" s="70"/>
      <c r="W730" s="23"/>
      <c r="X730" s="73"/>
      <c r="Y730" s="73"/>
      <c r="Z730" s="73"/>
      <c r="AA730" s="73"/>
      <c r="AB730" s="73"/>
      <c r="AC730" s="73"/>
      <c r="AD730" s="73"/>
      <c r="AE730" s="73"/>
      <c r="AF730" s="73"/>
      <c r="AG730" s="73"/>
      <c r="AH730" s="73"/>
      <c r="AI730" s="73"/>
      <c r="AJ730" s="73"/>
      <c r="AK730" s="73"/>
      <c r="AL730" s="73"/>
      <c r="AM730" s="73"/>
      <c r="AN730" s="73"/>
      <c r="AO730" s="73"/>
    </row>
    <row r="731" ht="25.5" customHeight="1">
      <c r="A731" s="55">
        <v>46167.0</v>
      </c>
      <c r="B731" s="56" t="s">
        <v>1282</v>
      </c>
      <c r="C731" s="56" t="s">
        <v>59</v>
      </c>
      <c r="D731" s="106" t="s">
        <v>105</v>
      </c>
      <c r="E731" s="58" t="s">
        <v>70</v>
      </c>
      <c r="F731" s="56" t="s">
        <v>71</v>
      </c>
      <c r="G731" s="60">
        <v>3000.0</v>
      </c>
      <c r="H731" s="62">
        <v>19206.0</v>
      </c>
      <c r="I731" s="64">
        <v>5.7618E7</v>
      </c>
      <c r="J731" s="64">
        <v>4609440.0</v>
      </c>
      <c r="K731" s="64">
        <v>6.222744E7</v>
      </c>
      <c r="L731" s="84" t="s">
        <v>1150</v>
      </c>
      <c r="M731" s="65" t="str">
        <f>VLOOKUP(L731,'Đơn đặt'!$C$3:$E$275,2,0)</f>
        <v>03-12-TS</v>
      </c>
      <c r="N731" s="65" t="str">
        <f>VLOOKUP(L731,'Đơn đặt'!$C$3:$E$275,3,0)</f>
        <v>54-2026/TS-AVP/ĐĐH</v>
      </c>
      <c r="O731" s="55">
        <v>46167.0</v>
      </c>
      <c r="P731" s="56" t="s">
        <v>1283</v>
      </c>
      <c r="Q731" s="60">
        <v>3000.0</v>
      </c>
      <c r="R731" s="62">
        <v>17073.2</v>
      </c>
      <c r="S731" s="60">
        <v>5.12196E7</v>
      </c>
      <c r="T731" s="64">
        <v>4097568.0</v>
      </c>
      <c r="U731" s="90">
        <f t="shared" si="2"/>
        <v>55317168</v>
      </c>
      <c r="V731" s="70"/>
      <c r="W731" s="23"/>
      <c r="X731" s="73"/>
      <c r="Y731" s="73"/>
      <c r="Z731" s="73"/>
      <c r="AA731" s="73"/>
      <c r="AB731" s="73"/>
      <c r="AC731" s="73"/>
      <c r="AD731" s="73"/>
      <c r="AE731" s="73"/>
      <c r="AF731" s="73"/>
      <c r="AG731" s="73"/>
      <c r="AH731" s="73"/>
      <c r="AI731" s="73"/>
      <c r="AJ731" s="73"/>
      <c r="AK731" s="73"/>
      <c r="AL731" s="73"/>
      <c r="AM731" s="73"/>
      <c r="AN731" s="73"/>
      <c r="AO731" s="73"/>
    </row>
    <row r="732" ht="25.5" customHeight="1">
      <c r="A732" s="55">
        <v>46167.0</v>
      </c>
      <c r="B732" s="56" t="s">
        <v>1282</v>
      </c>
      <c r="C732" s="56" t="s">
        <v>206</v>
      </c>
      <c r="D732" s="106" t="s">
        <v>207</v>
      </c>
      <c r="E732" s="58" t="s">
        <v>70</v>
      </c>
      <c r="F732" s="56" t="s">
        <v>71</v>
      </c>
      <c r="G732" s="60">
        <v>1000.0</v>
      </c>
      <c r="H732" s="62">
        <v>19041.0</v>
      </c>
      <c r="I732" s="64">
        <v>1.9041E7</v>
      </c>
      <c r="J732" s="64">
        <v>1523280.0</v>
      </c>
      <c r="K732" s="64">
        <v>2.056428E7</v>
      </c>
      <c r="L732" s="65" t="s">
        <v>1135</v>
      </c>
      <c r="M732" s="65" t="str">
        <f>VLOOKUP(L732,'Đơn đặt'!$C$3:$E$275,2,0)</f>
        <v>02-11-TS</v>
      </c>
      <c r="N732" s="65" t="str">
        <f>VLOOKUP(L732,'Đơn đặt'!$C$3:$E$275,3,0)</f>
        <v>52-2026/TS-AVP/ĐĐH</v>
      </c>
      <c r="O732" s="66">
        <v>46167.0</v>
      </c>
      <c r="P732" s="67" t="s">
        <v>1283</v>
      </c>
      <c r="Q732" s="68">
        <v>1000.0</v>
      </c>
      <c r="R732" s="76">
        <v>18064.2</v>
      </c>
      <c r="S732" s="77">
        <v>1.80642E7</v>
      </c>
      <c r="T732" s="77">
        <v>1445136.0</v>
      </c>
      <c r="U732" s="107">
        <f t="shared" si="2"/>
        <v>19509336</v>
      </c>
      <c r="V732" s="70"/>
      <c r="W732" s="23"/>
      <c r="X732" s="73"/>
      <c r="Y732" s="73"/>
      <c r="Z732" s="73"/>
      <c r="AA732" s="73"/>
      <c r="AB732" s="73"/>
      <c r="AC732" s="73"/>
      <c r="AD732" s="73"/>
      <c r="AE732" s="73"/>
      <c r="AF732" s="73"/>
      <c r="AG732" s="73"/>
      <c r="AH732" s="73"/>
      <c r="AI732" s="73"/>
      <c r="AJ732" s="73"/>
      <c r="AK732" s="73"/>
      <c r="AL732" s="73"/>
      <c r="AM732" s="73"/>
      <c r="AN732" s="73"/>
      <c r="AO732" s="73"/>
    </row>
    <row r="733" ht="25.5" customHeight="1">
      <c r="A733" s="55">
        <v>46167.0</v>
      </c>
      <c r="B733" s="56" t="s">
        <v>1284</v>
      </c>
      <c r="C733" s="56" t="s">
        <v>14</v>
      </c>
      <c r="D733" s="106" t="s">
        <v>13</v>
      </c>
      <c r="E733" s="58" t="s">
        <v>70</v>
      </c>
      <c r="F733" s="56" t="s">
        <v>71</v>
      </c>
      <c r="G733" s="60">
        <v>3000.0</v>
      </c>
      <c r="H733" s="62">
        <v>20374.0</v>
      </c>
      <c r="I733" s="64">
        <v>6.1122E7</v>
      </c>
      <c r="J733" s="64">
        <v>4889760.0</v>
      </c>
      <c r="K733" s="64">
        <v>6.601176E7</v>
      </c>
      <c r="L733" s="65" t="s">
        <v>1207</v>
      </c>
      <c r="M733" s="65" t="str">
        <f>VLOOKUP(L733,'Đơn đặt'!$C$3:$E$275,2,0)</f>
        <v>03-12-TS</v>
      </c>
      <c r="N733" s="65" t="str">
        <f>VLOOKUP(L733,'Đơn đặt'!$C$3:$E$275,3,0)</f>
        <v>54-2026/TS-AVP/ĐĐH</v>
      </c>
      <c r="O733" s="66">
        <v>46167.0</v>
      </c>
      <c r="P733" s="67" t="s">
        <v>1283</v>
      </c>
      <c r="Q733" s="68">
        <v>3000.0</v>
      </c>
      <c r="R733" s="76">
        <v>18666.8</v>
      </c>
      <c r="S733" s="77">
        <v>5.60004E7</v>
      </c>
      <c r="T733" s="77">
        <v>4480032.0</v>
      </c>
      <c r="U733" s="90">
        <f t="shared" si="2"/>
        <v>60480432</v>
      </c>
      <c r="V733" s="70"/>
      <c r="W733" s="23"/>
      <c r="X733" s="73"/>
      <c r="Y733" s="73"/>
      <c r="Z733" s="73"/>
      <c r="AA733" s="73"/>
      <c r="AB733" s="73"/>
      <c r="AC733" s="73"/>
      <c r="AD733" s="73"/>
      <c r="AE733" s="73"/>
      <c r="AF733" s="73"/>
      <c r="AG733" s="73"/>
      <c r="AH733" s="73"/>
      <c r="AI733" s="73"/>
      <c r="AJ733" s="73"/>
      <c r="AK733" s="73"/>
      <c r="AL733" s="73"/>
      <c r="AM733" s="73"/>
      <c r="AN733" s="73"/>
      <c r="AO733" s="73"/>
    </row>
    <row r="734" ht="25.5" customHeight="1">
      <c r="A734" s="55">
        <v>46168.0</v>
      </c>
      <c r="B734" s="56" t="s">
        <v>1285</v>
      </c>
      <c r="C734" s="56" t="s">
        <v>59</v>
      </c>
      <c r="D734" s="106" t="s">
        <v>105</v>
      </c>
      <c r="E734" s="58" t="s">
        <v>70</v>
      </c>
      <c r="F734" s="56" t="s">
        <v>71</v>
      </c>
      <c r="G734" s="60">
        <v>2000.0</v>
      </c>
      <c r="H734" s="62">
        <v>19206.0</v>
      </c>
      <c r="I734" s="64">
        <v>3.8412E7</v>
      </c>
      <c r="J734" s="64">
        <v>3072960.0</v>
      </c>
      <c r="K734" s="64">
        <v>4.148496E7</v>
      </c>
      <c r="L734" s="84" t="s">
        <v>1150</v>
      </c>
      <c r="M734" s="65" t="str">
        <f>VLOOKUP(L734,'Đơn đặt'!$C$3:$E$275,2,0)</f>
        <v>03-12-TS</v>
      </c>
      <c r="N734" s="65" t="str">
        <f>VLOOKUP(L734,'Đơn đặt'!$C$3:$E$275,3,0)</f>
        <v>54-2026/TS-AVP/ĐĐH</v>
      </c>
      <c r="O734" s="55">
        <v>46168.0</v>
      </c>
      <c r="P734" s="56" t="s">
        <v>1286</v>
      </c>
      <c r="Q734" s="60">
        <v>2000.0</v>
      </c>
      <c r="R734" s="62">
        <v>17073.2</v>
      </c>
      <c r="S734" s="60">
        <v>3.41464E7</v>
      </c>
      <c r="T734" s="64">
        <v>2731712.0</v>
      </c>
      <c r="U734" s="90">
        <f t="shared" si="2"/>
        <v>36878112</v>
      </c>
      <c r="V734" s="70"/>
      <c r="W734" s="23"/>
      <c r="X734" s="73"/>
      <c r="Y734" s="73"/>
      <c r="Z734" s="73"/>
      <c r="AA734" s="73"/>
      <c r="AB734" s="73"/>
      <c r="AC734" s="73"/>
      <c r="AD734" s="73"/>
      <c r="AE734" s="73"/>
      <c r="AF734" s="73"/>
      <c r="AG734" s="73"/>
      <c r="AH734" s="73"/>
      <c r="AI734" s="73"/>
      <c r="AJ734" s="73"/>
      <c r="AK734" s="73"/>
      <c r="AL734" s="73"/>
      <c r="AM734" s="73"/>
      <c r="AN734" s="73"/>
      <c r="AO734" s="73"/>
    </row>
    <row r="735" ht="25.5" customHeight="1">
      <c r="A735" s="55">
        <v>46168.0</v>
      </c>
      <c r="B735" s="56" t="s">
        <v>1285</v>
      </c>
      <c r="C735" s="56" t="s">
        <v>119</v>
      </c>
      <c r="D735" s="106" t="s">
        <v>120</v>
      </c>
      <c r="E735" s="58" t="s">
        <v>70</v>
      </c>
      <c r="F735" s="56" t="s">
        <v>71</v>
      </c>
      <c r="G735" s="60">
        <v>2000.0</v>
      </c>
      <c r="H735" s="62">
        <v>20276.0</v>
      </c>
      <c r="I735" s="64">
        <v>4.0552E7</v>
      </c>
      <c r="J735" s="64">
        <v>3244160.0</v>
      </c>
      <c r="K735" s="64">
        <v>4.379616E7</v>
      </c>
      <c r="L735" s="65" t="s">
        <v>1200</v>
      </c>
      <c r="M735" s="65" t="str">
        <f>VLOOKUP(L735,'Đơn đặt'!$C$3:$E$275,2,0)</f>
        <v>02-11-TS</v>
      </c>
      <c r="N735" s="65" t="str">
        <f>VLOOKUP(L735,'Đơn đặt'!$C$3:$E$275,3,0)</f>
        <v>52-2026/TS-AVP/ĐĐH</v>
      </c>
      <c r="O735" s="66">
        <v>46168.0</v>
      </c>
      <c r="P735" s="67" t="s">
        <v>1286</v>
      </c>
      <c r="Q735" s="68">
        <v>2000.0</v>
      </c>
      <c r="R735" s="76">
        <v>18311.2</v>
      </c>
      <c r="S735" s="77">
        <v>3.66224E7</v>
      </c>
      <c r="T735" s="77">
        <v>2929792.0</v>
      </c>
      <c r="U735" s="107">
        <f t="shared" si="2"/>
        <v>39552192</v>
      </c>
      <c r="V735" s="70"/>
      <c r="W735" s="23"/>
      <c r="X735" s="73"/>
      <c r="Y735" s="73"/>
      <c r="Z735" s="73"/>
      <c r="AA735" s="73"/>
      <c r="AB735" s="73"/>
      <c r="AC735" s="73"/>
      <c r="AD735" s="73"/>
      <c r="AE735" s="73"/>
      <c r="AF735" s="73"/>
      <c r="AG735" s="73"/>
      <c r="AH735" s="73"/>
      <c r="AI735" s="73"/>
      <c r="AJ735" s="73"/>
      <c r="AK735" s="73"/>
      <c r="AL735" s="73"/>
      <c r="AM735" s="73"/>
      <c r="AN735" s="73"/>
      <c r="AO735" s="73"/>
    </row>
    <row r="736" ht="25.5" customHeight="1">
      <c r="A736" s="55">
        <v>46168.0</v>
      </c>
      <c r="B736" s="56" t="s">
        <v>1287</v>
      </c>
      <c r="C736" s="56" t="s">
        <v>140</v>
      </c>
      <c r="D736" s="106" t="s">
        <v>141</v>
      </c>
      <c r="E736" s="58" t="s">
        <v>70</v>
      </c>
      <c r="F736" s="56" t="s">
        <v>112</v>
      </c>
      <c r="G736" s="60">
        <v>2000.0</v>
      </c>
      <c r="H736" s="62">
        <v>42560.0</v>
      </c>
      <c r="I736" s="64">
        <v>8.512E7</v>
      </c>
      <c r="J736" s="64">
        <v>6809600.0</v>
      </c>
      <c r="K736" s="64">
        <v>9.19296E7</v>
      </c>
      <c r="L736" s="65" t="s">
        <v>1288</v>
      </c>
      <c r="M736" s="65" t="str">
        <f>VLOOKUP(L736,'Đơn đặt'!$C$3:$E$275,2,0)</f>
        <v>05-15/TS-LP</v>
      </c>
      <c r="N736" s="65" t="str">
        <f>VLOOKUP(L736,'Đơn đặt'!$C$3:$E$275,3,0)</f>
        <v>50-2026/TS-AVP/ĐĐH</v>
      </c>
      <c r="O736" s="66">
        <v>46168.0</v>
      </c>
      <c r="P736" s="67" t="s">
        <v>1289</v>
      </c>
      <c r="Q736" s="68">
        <f t="shared" ref="Q736:Q737" si="151">G736</f>
        <v>2000</v>
      </c>
      <c r="R736" s="76">
        <v>38912.0</v>
      </c>
      <c r="S736" s="77">
        <f t="shared" ref="S736:S737" si="152">ROUND(Q736*R736,0)</f>
        <v>77824000</v>
      </c>
      <c r="T736" s="90">
        <f t="shared" ref="T736:T737" si="153">ROUND(S736*0.08,0)</f>
        <v>6225920</v>
      </c>
      <c r="U736" s="90">
        <f t="shared" si="2"/>
        <v>84049920</v>
      </c>
      <c r="V736" s="70"/>
      <c r="W736" s="23"/>
      <c r="X736" s="73"/>
      <c r="Y736" s="73"/>
      <c r="Z736" s="73"/>
      <c r="AA736" s="73"/>
      <c r="AB736" s="73"/>
      <c r="AC736" s="73"/>
      <c r="AD736" s="73"/>
      <c r="AE736" s="73"/>
      <c r="AF736" s="73"/>
      <c r="AG736" s="73"/>
      <c r="AH736" s="73"/>
      <c r="AI736" s="73"/>
      <c r="AJ736" s="73"/>
      <c r="AK736" s="73"/>
      <c r="AL736" s="73"/>
      <c r="AM736" s="73"/>
      <c r="AN736" s="73"/>
      <c r="AO736" s="73"/>
    </row>
    <row r="737" ht="25.5" customHeight="1">
      <c r="A737" s="55">
        <v>46168.0</v>
      </c>
      <c r="B737" s="56" t="s">
        <v>1287</v>
      </c>
      <c r="C737" s="56" t="s">
        <v>3</v>
      </c>
      <c r="D737" s="106" t="s">
        <v>164</v>
      </c>
      <c r="E737" s="58" t="s">
        <v>70</v>
      </c>
      <c r="F737" s="56" t="s">
        <v>112</v>
      </c>
      <c r="G737" s="60">
        <v>5000.0</v>
      </c>
      <c r="H737" s="62">
        <v>42560.0</v>
      </c>
      <c r="I737" s="64">
        <v>2.128E8</v>
      </c>
      <c r="J737" s="64">
        <v>1.7024E7</v>
      </c>
      <c r="K737" s="64">
        <v>2.29824E8</v>
      </c>
      <c r="L737" s="65" t="s">
        <v>1257</v>
      </c>
      <c r="M737" s="65" t="str">
        <f>VLOOKUP(L737,'Đơn đặt'!$C$3:$E$275,2,0)</f>
        <v>05-15/TS-LP</v>
      </c>
      <c r="N737" s="65" t="str">
        <f>VLOOKUP(L737,'Đơn đặt'!$C$3:$E$275,3,0)</f>
        <v>50-2026/TS-AVP/ĐĐH</v>
      </c>
      <c r="O737" s="66">
        <v>46168.0</v>
      </c>
      <c r="P737" s="67" t="s">
        <v>1289</v>
      </c>
      <c r="Q737" s="68">
        <f t="shared" si="151"/>
        <v>5000</v>
      </c>
      <c r="R737" s="76">
        <v>38912.0</v>
      </c>
      <c r="S737" s="77">
        <f t="shared" si="152"/>
        <v>194560000</v>
      </c>
      <c r="T737" s="90">
        <f t="shared" si="153"/>
        <v>15564800</v>
      </c>
      <c r="U737" s="90">
        <f t="shared" si="2"/>
        <v>210124800</v>
      </c>
      <c r="V737" s="70"/>
      <c r="W737" s="23"/>
      <c r="X737" s="73"/>
      <c r="Y737" s="73"/>
      <c r="Z737" s="73"/>
      <c r="AA737" s="73"/>
      <c r="AB737" s="73"/>
      <c r="AC737" s="73"/>
      <c r="AD737" s="73"/>
      <c r="AE737" s="73"/>
      <c r="AF737" s="73"/>
      <c r="AG737" s="73"/>
      <c r="AH737" s="73"/>
      <c r="AI737" s="73"/>
      <c r="AJ737" s="73"/>
      <c r="AK737" s="73"/>
      <c r="AL737" s="73"/>
      <c r="AM737" s="73"/>
      <c r="AN737" s="73"/>
      <c r="AO737" s="73"/>
    </row>
    <row r="738" ht="25.5" customHeight="1">
      <c r="A738" s="55">
        <v>46168.0</v>
      </c>
      <c r="B738" s="56" t="s">
        <v>1290</v>
      </c>
      <c r="C738" s="56" t="s">
        <v>48</v>
      </c>
      <c r="D738" s="106" t="s">
        <v>47</v>
      </c>
      <c r="E738" s="58" t="s">
        <v>70</v>
      </c>
      <c r="F738" s="56" t="s">
        <v>71</v>
      </c>
      <c r="G738" s="60">
        <v>6000.0</v>
      </c>
      <c r="H738" s="62">
        <v>19206.0</v>
      </c>
      <c r="I738" s="64">
        <v>1.15236E8</v>
      </c>
      <c r="J738" s="64">
        <v>9218880.0</v>
      </c>
      <c r="K738" s="64">
        <v>1.2445488E8</v>
      </c>
      <c r="L738" s="65" t="s">
        <v>1146</v>
      </c>
      <c r="M738" s="65" t="str">
        <f>VLOOKUP(L738,'Đơn đặt'!$C$3:$E$275,2,0)</f>
        <v>03-12-TS</v>
      </c>
      <c r="N738" s="65" t="str">
        <f>VLOOKUP(L738,'Đơn đặt'!$C$3:$E$275,3,0)</f>
        <v>58-2026/TS-AVP/ĐĐH</v>
      </c>
      <c r="O738" s="66">
        <v>46168.0</v>
      </c>
      <c r="P738" s="67" t="s">
        <v>1291</v>
      </c>
      <c r="Q738" s="68">
        <v>6000.0</v>
      </c>
      <c r="R738" s="68">
        <v>15209.2</v>
      </c>
      <c r="S738" s="68">
        <v>9.12552E7</v>
      </c>
      <c r="T738" s="68">
        <v>7300416.0</v>
      </c>
      <c r="U738" s="107">
        <f t="shared" si="2"/>
        <v>98555616</v>
      </c>
      <c r="V738" s="70"/>
      <c r="W738" s="23"/>
      <c r="X738" s="73"/>
      <c r="Y738" s="73"/>
      <c r="Z738" s="73"/>
      <c r="AA738" s="73"/>
      <c r="AB738" s="73"/>
      <c r="AC738" s="73"/>
      <c r="AD738" s="73"/>
      <c r="AE738" s="73"/>
      <c r="AF738" s="73"/>
      <c r="AG738" s="73"/>
      <c r="AH738" s="73"/>
      <c r="AI738" s="73"/>
      <c r="AJ738" s="73"/>
      <c r="AK738" s="73"/>
      <c r="AL738" s="73"/>
      <c r="AM738" s="73"/>
      <c r="AN738" s="73"/>
      <c r="AO738" s="73"/>
    </row>
    <row r="739" ht="25.5" customHeight="1">
      <c r="A739" s="55">
        <v>46169.0</v>
      </c>
      <c r="B739" s="56" t="s">
        <v>1292</v>
      </c>
      <c r="C739" s="56" t="s">
        <v>48</v>
      </c>
      <c r="D739" s="106" t="s">
        <v>47</v>
      </c>
      <c r="E739" s="58" t="s">
        <v>70</v>
      </c>
      <c r="F739" s="56" t="s">
        <v>71</v>
      </c>
      <c r="G739" s="60">
        <v>7000.0</v>
      </c>
      <c r="H739" s="62">
        <v>19206.0</v>
      </c>
      <c r="I739" s="64">
        <v>1.34442E8</v>
      </c>
      <c r="J739" s="64">
        <v>1.075536E7</v>
      </c>
      <c r="K739" s="64">
        <v>1.4519736E8</v>
      </c>
      <c r="L739" s="65" t="s">
        <v>1146</v>
      </c>
      <c r="M739" s="65" t="str">
        <f>VLOOKUP(L739,'Đơn đặt'!$C$3:$E$275,2,0)</f>
        <v>03-12-TS</v>
      </c>
      <c r="N739" s="65" t="str">
        <f>VLOOKUP(L739,'Đơn đặt'!$C$3:$E$275,3,0)</f>
        <v>58-2026/TS-AVP/ĐĐH</v>
      </c>
      <c r="O739" s="66">
        <v>46169.0</v>
      </c>
      <c r="P739" s="67" t="s">
        <v>1293</v>
      </c>
      <c r="Q739" s="68">
        <v>7000.0</v>
      </c>
      <c r="R739" s="68">
        <v>15209.2</v>
      </c>
      <c r="S739" s="68">
        <v>1.064644E8</v>
      </c>
      <c r="T739" s="68">
        <v>8517152.0</v>
      </c>
      <c r="U739" s="107">
        <f t="shared" si="2"/>
        <v>114981552</v>
      </c>
      <c r="V739" s="70"/>
      <c r="W739" s="23"/>
      <c r="X739" s="73"/>
      <c r="Y739" s="73"/>
      <c r="Z739" s="73"/>
      <c r="AA739" s="73"/>
      <c r="AB739" s="73"/>
      <c r="AC739" s="73"/>
      <c r="AD739" s="73"/>
      <c r="AE739" s="73"/>
      <c r="AF739" s="73"/>
      <c r="AG739" s="73"/>
      <c r="AH739" s="73"/>
      <c r="AI739" s="73"/>
      <c r="AJ739" s="73"/>
      <c r="AK739" s="73"/>
      <c r="AL739" s="73"/>
      <c r="AM739" s="73"/>
      <c r="AN739" s="73"/>
      <c r="AO739" s="73"/>
    </row>
    <row r="740" ht="25.5" customHeight="1">
      <c r="A740" s="55">
        <v>46169.0</v>
      </c>
      <c r="B740" s="56" t="s">
        <v>1292</v>
      </c>
      <c r="C740" s="56" t="s">
        <v>50</v>
      </c>
      <c r="D740" s="106" t="s">
        <v>49</v>
      </c>
      <c r="E740" s="58" t="s">
        <v>70</v>
      </c>
      <c r="F740" s="56" t="s">
        <v>71</v>
      </c>
      <c r="G740" s="60">
        <v>1000.0</v>
      </c>
      <c r="H740" s="62">
        <v>19206.0</v>
      </c>
      <c r="I740" s="64">
        <v>1.9206E7</v>
      </c>
      <c r="J740" s="64">
        <v>1536480.0</v>
      </c>
      <c r="K740" s="64">
        <v>2.074248E7</v>
      </c>
      <c r="L740" s="65" t="s">
        <v>950</v>
      </c>
      <c r="M740" s="65" t="str">
        <f>VLOOKUP(L740,'Đơn đặt'!$C$3:$E$275,2,0)</f>
        <v>03-12-TS</v>
      </c>
      <c r="N740" s="65" t="str">
        <f>VLOOKUP(L740,'Đơn đặt'!$C$3:$E$275,3,0)</f>
        <v>58-2026/TS-AVP/ĐĐH</v>
      </c>
      <c r="O740" s="66">
        <v>46169.0</v>
      </c>
      <c r="P740" s="67" t="s">
        <v>1293</v>
      </c>
      <c r="Q740" s="68">
        <v>1000.0</v>
      </c>
      <c r="R740" s="76">
        <v>15209.2</v>
      </c>
      <c r="S740" s="77">
        <v>1.52092E7</v>
      </c>
      <c r="T740" s="77">
        <v>1216736.0</v>
      </c>
      <c r="U740" s="107">
        <f t="shared" si="2"/>
        <v>16425936</v>
      </c>
      <c r="V740" s="70"/>
      <c r="W740" s="23"/>
      <c r="X740" s="73"/>
      <c r="Y740" s="73"/>
      <c r="Z740" s="73"/>
      <c r="AA740" s="73"/>
      <c r="AB740" s="73"/>
      <c r="AC740" s="73"/>
      <c r="AD740" s="73"/>
      <c r="AE740" s="73"/>
      <c r="AF740" s="73"/>
      <c r="AG740" s="73"/>
      <c r="AH740" s="73"/>
      <c r="AI740" s="73"/>
      <c r="AJ740" s="73"/>
      <c r="AK740" s="73"/>
      <c r="AL740" s="73"/>
      <c r="AM740" s="73"/>
      <c r="AN740" s="73"/>
      <c r="AO740" s="73"/>
    </row>
    <row r="741" ht="25.5" customHeight="1">
      <c r="A741" s="55">
        <v>46169.0</v>
      </c>
      <c r="B741" s="56" t="s">
        <v>859</v>
      </c>
      <c r="C741" s="56" t="s">
        <v>59</v>
      </c>
      <c r="D741" s="106" t="s">
        <v>105</v>
      </c>
      <c r="E741" s="58" t="s">
        <v>70</v>
      </c>
      <c r="F741" s="56" t="s">
        <v>71</v>
      </c>
      <c r="G741" s="60">
        <v>4200.0</v>
      </c>
      <c r="H741" s="62">
        <v>19206.0</v>
      </c>
      <c r="I741" s="64">
        <v>8.06652E7</v>
      </c>
      <c r="J741" s="64">
        <v>6453216.0</v>
      </c>
      <c r="K741" s="64">
        <v>8.7118416E7</v>
      </c>
      <c r="L741" s="84" t="s">
        <v>1150</v>
      </c>
      <c r="M741" s="65" t="str">
        <f>VLOOKUP(L741,'Đơn đặt'!$C$3:$E$275,2,0)</f>
        <v>03-12-TS</v>
      </c>
      <c r="N741" s="65" t="str">
        <f>VLOOKUP(L741,'Đơn đặt'!$C$3:$E$275,3,0)</f>
        <v>54-2026/TS-AVP/ĐĐH</v>
      </c>
      <c r="O741" s="55">
        <v>46169.0</v>
      </c>
      <c r="P741" s="56" t="s">
        <v>1294</v>
      </c>
      <c r="Q741" s="60">
        <v>4200.0</v>
      </c>
      <c r="R741" s="62">
        <v>17073.2</v>
      </c>
      <c r="S741" s="60">
        <v>7.170744E7</v>
      </c>
      <c r="T741" s="64">
        <v>5736595.0</v>
      </c>
      <c r="U741" s="90">
        <f t="shared" si="2"/>
        <v>77444035</v>
      </c>
      <c r="V741" s="70"/>
      <c r="W741" s="23"/>
      <c r="X741" s="73"/>
      <c r="Y741" s="73"/>
      <c r="Z741" s="73"/>
      <c r="AA741" s="73"/>
      <c r="AB741" s="73"/>
      <c r="AC741" s="73"/>
      <c r="AD741" s="73"/>
      <c r="AE741" s="73"/>
      <c r="AF741" s="73"/>
      <c r="AG741" s="73"/>
      <c r="AH741" s="73"/>
      <c r="AI741" s="73"/>
      <c r="AJ741" s="73"/>
      <c r="AK741" s="73"/>
      <c r="AL741" s="73"/>
      <c r="AM741" s="73"/>
      <c r="AN741" s="73"/>
      <c r="AO741" s="73"/>
    </row>
    <row r="742" ht="25.5" customHeight="1">
      <c r="A742" s="55">
        <v>46169.0</v>
      </c>
      <c r="B742" s="56" t="s">
        <v>861</v>
      </c>
      <c r="C742" s="56" t="s">
        <v>14</v>
      </c>
      <c r="D742" s="106" t="s">
        <v>13</v>
      </c>
      <c r="E742" s="58" t="s">
        <v>70</v>
      </c>
      <c r="F742" s="56" t="s">
        <v>71</v>
      </c>
      <c r="G742" s="60">
        <v>2750.0</v>
      </c>
      <c r="H742" s="62">
        <v>20374.0</v>
      </c>
      <c r="I742" s="64">
        <v>5.60285E7</v>
      </c>
      <c r="J742" s="64">
        <v>4482280.0</v>
      </c>
      <c r="K742" s="64">
        <v>6.051078E7</v>
      </c>
      <c r="L742" s="65" t="s">
        <v>1207</v>
      </c>
      <c r="M742" s="65" t="str">
        <f>VLOOKUP(L742,'Đơn đặt'!$C$3:$E$275,2,0)</f>
        <v>03-12-TS</v>
      </c>
      <c r="N742" s="65" t="str">
        <f>VLOOKUP(L742,'Đơn đặt'!$C$3:$E$275,3,0)</f>
        <v>54-2026/TS-AVP/ĐĐH</v>
      </c>
      <c r="O742" s="66">
        <v>46169.0</v>
      </c>
      <c r="P742" s="67" t="s">
        <v>1294</v>
      </c>
      <c r="Q742" s="68">
        <v>2750.0</v>
      </c>
      <c r="R742" s="76">
        <v>18666.8</v>
      </c>
      <c r="S742" s="77">
        <v>5.13337E7</v>
      </c>
      <c r="T742" s="77">
        <v>4106696.0</v>
      </c>
      <c r="U742" s="90">
        <f t="shared" si="2"/>
        <v>55440396</v>
      </c>
      <c r="V742" s="70"/>
      <c r="W742" s="23"/>
      <c r="X742" s="73"/>
      <c r="Y742" s="73"/>
      <c r="Z742" s="73"/>
      <c r="AA742" s="73"/>
      <c r="AB742" s="73"/>
      <c r="AC742" s="73"/>
      <c r="AD742" s="73"/>
      <c r="AE742" s="73"/>
      <c r="AF742" s="73"/>
      <c r="AG742" s="73"/>
      <c r="AH742" s="73"/>
      <c r="AI742" s="73"/>
      <c r="AJ742" s="73"/>
      <c r="AK742" s="73"/>
      <c r="AL742" s="73"/>
      <c r="AM742" s="73"/>
      <c r="AN742" s="73"/>
      <c r="AO742" s="73"/>
    </row>
    <row r="743" ht="25.5" customHeight="1">
      <c r="A743" s="78">
        <v>46170.0</v>
      </c>
      <c r="B743" s="79" t="s">
        <v>1295</v>
      </c>
      <c r="C743" s="79" t="s">
        <v>110</v>
      </c>
      <c r="D743" s="109" t="s">
        <v>874</v>
      </c>
      <c r="E743" s="58" t="s">
        <v>70</v>
      </c>
      <c r="F743" s="79" t="s">
        <v>112</v>
      </c>
      <c r="G743" s="81">
        <v>4680.0</v>
      </c>
      <c r="H743" s="82">
        <v>28000.0</v>
      </c>
      <c r="I743" s="83">
        <v>1.3104E8</v>
      </c>
      <c r="J743" s="83">
        <v>1.04832E7</v>
      </c>
      <c r="K743" s="83">
        <v>1.415232E8</v>
      </c>
      <c r="L743" s="84" t="s">
        <v>875</v>
      </c>
      <c r="M743" s="84" t="str">
        <f>VLOOKUP(L743,'Đơn đặt'!$C$3:$E$275,2,0)</f>
        <v>2/10/TSC-LT</v>
      </c>
      <c r="N743" s="84" t="str">
        <f>VLOOKUP(L743,'Đơn đặt'!$C$3:$E$275,3,0)</f>
        <v>Hàng SX</v>
      </c>
      <c r="O743" s="110" t="s">
        <v>98</v>
      </c>
      <c r="P743" s="92"/>
      <c r="Q743" s="111">
        <f>G743</f>
        <v>4680</v>
      </c>
      <c r="R743" s="92"/>
      <c r="S743" s="92"/>
      <c r="T743" s="92">
        <f>ROUND(S743*1.08,0)</f>
        <v>0</v>
      </c>
      <c r="U743" s="111">
        <f t="shared" si="2"/>
        <v>0</v>
      </c>
      <c r="V743" s="70"/>
      <c r="W743" s="23"/>
      <c r="X743" s="112"/>
      <c r="Y743" s="112"/>
      <c r="Z743" s="112"/>
      <c r="AA743" s="112"/>
      <c r="AB743" s="112"/>
      <c r="AC743" s="112"/>
      <c r="AD743" s="112"/>
      <c r="AE743" s="112"/>
      <c r="AF743" s="112"/>
      <c r="AG743" s="112"/>
      <c r="AH743" s="112"/>
      <c r="AI743" s="112"/>
      <c r="AJ743" s="112"/>
      <c r="AK743" s="112"/>
      <c r="AL743" s="112"/>
      <c r="AM743" s="112"/>
      <c r="AN743" s="112"/>
      <c r="AO743" s="112"/>
    </row>
    <row r="744" ht="25.5" customHeight="1">
      <c r="A744" s="55">
        <v>46170.0</v>
      </c>
      <c r="B744" s="56" t="s">
        <v>1296</v>
      </c>
      <c r="C744" s="56" t="s">
        <v>206</v>
      </c>
      <c r="D744" s="106" t="s">
        <v>207</v>
      </c>
      <c r="E744" s="58" t="s">
        <v>70</v>
      </c>
      <c r="F744" s="56" t="s">
        <v>71</v>
      </c>
      <c r="G744" s="60">
        <v>2000.0</v>
      </c>
      <c r="H744" s="62">
        <v>19041.0</v>
      </c>
      <c r="I744" s="64">
        <v>3.8082E7</v>
      </c>
      <c r="J744" s="64">
        <v>3046560.0</v>
      </c>
      <c r="K744" s="64">
        <v>4.112856E7</v>
      </c>
      <c r="L744" s="65" t="s">
        <v>1135</v>
      </c>
      <c r="M744" s="65" t="str">
        <f>VLOOKUP(L744,'Đơn đặt'!$C$3:$E$275,2,0)</f>
        <v>02-11-TS</v>
      </c>
      <c r="N744" s="65" t="str">
        <f>VLOOKUP(L744,'Đơn đặt'!$C$3:$E$275,3,0)</f>
        <v>52-2026/TS-AVP/ĐĐH</v>
      </c>
      <c r="O744" s="66">
        <v>46170.0</v>
      </c>
      <c r="P744" s="67" t="s">
        <v>1297</v>
      </c>
      <c r="Q744" s="68">
        <v>2000.0</v>
      </c>
      <c r="R744" s="76">
        <v>18064.2</v>
      </c>
      <c r="S744" s="77">
        <v>3.61284E7</v>
      </c>
      <c r="T744" s="77">
        <v>2890272.0</v>
      </c>
      <c r="U744" s="107">
        <f t="shared" si="2"/>
        <v>39018672</v>
      </c>
      <c r="V744" s="70"/>
      <c r="W744" s="23"/>
      <c r="X744" s="73"/>
      <c r="Y744" s="73"/>
      <c r="Z744" s="73"/>
      <c r="AA744" s="73"/>
      <c r="AB744" s="73"/>
      <c r="AC744" s="73"/>
      <c r="AD744" s="73"/>
      <c r="AE744" s="73"/>
      <c r="AF744" s="73"/>
      <c r="AG744" s="73"/>
      <c r="AH744" s="73"/>
      <c r="AI744" s="73"/>
      <c r="AJ744" s="73"/>
      <c r="AK744" s="73"/>
      <c r="AL744" s="73"/>
      <c r="AM744" s="73"/>
      <c r="AN744" s="73"/>
      <c r="AO744" s="73"/>
    </row>
    <row r="745" ht="25.5" customHeight="1">
      <c r="A745" s="55">
        <v>46170.0</v>
      </c>
      <c r="B745" s="56" t="s">
        <v>1296</v>
      </c>
      <c r="C745" s="56" t="s">
        <v>222</v>
      </c>
      <c r="D745" s="106" t="s">
        <v>223</v>
      </c>
      <c r="E745" s="58" t="s">
        <v>70</v>
      </c>
      <c r="F745" s="56" t="s">
        <v>71</v>
      </c>
      <c r="G745" s="60">
        <v>140.0</v>
      </c>
      <c r="H745" s="62">
        <v>20276.0</v>
      </c>
      <c r="I745" s="64">
        <v>2838640.0</v>
      </c>
      <c r="J745" s="64">
        <v>227091.0</v>
      </c>
      <c r="K745" s="64">
        <v>3065731.0</v>
      </c>
      <c r="L745" s="65" t="s">
        <v>1162</v>
      </c>
      <c r="M745" s="65" t="str">
        <f>VLOOKUP(L745,'Đơn đặt'!$C$3:$E$275,2,0)</f>
        <v>02-11-TS</v>
      </c>
      <c r="N745" s="65" t="str">
        <f>VLOOKUP(L745,'Đơn đặt'!$C$3:$E$275,3,0)</f>
        <v>52-2026/TS-AVP/ĐĐH</v>
      </c>
      <c r="O745" s="66">
        <v>46170.0</v>
      </c>
      <c r="P745" s="67" t="s">
        <v>1297</v>
      </c>
      <c r="Q745" s="68">
        <v>140.0</v>
      </c>
      <c r="R745" s="76">
        <v>18311.2</v>
      </c>
      <c r="S745" s="77">
        <v>2563568.0</v>
      </c>
      <c r="T745" s="77">
        <v>205085.0</v>
      </c>
      <c r="U745" s="107">
        <f t="shared" si="2"/>
        <v>2768653</v>
      </c>
      <c r="V745" s="70"/>
      <c r="W745" s="23"/>
      <c r="X745" s="73"/>
      <c r="Y745" s="73"/>
      <c r="Z745" s="73"/>
      <c r="AA745" s="73"/>
      <c r="AB745" s="73"/>
      <c r="AC745" s="73"/>
      <c r="AD745" s="73"/>
      <c r="AE745" s="73"/>
      <c r="AF745" s="73"/>
      <c r="AG745" s="73"/>
      <c r="AH745" s="73"/>
      <c r="AI745" s="73"/>
      <c r="AJ745" s="73"/>
      <c r="AK745" s="73"/>
      <c r="AL745" s="73"/>
      <c r="AM745" s="73"/>
      <c r="AN745" s="73"/>
      <c r="AO745" s="73"/>
    </row>
    <row r="746" ht="25.5" customHeight="1">
      <c r="A746" s="55">
        <v>46170.0</v>
      </c>
      <c r="B746" s="56" t="s">
        <v>1296</v>
      </c>
      <c r="C746" s="56" t="s">
        <v>35</v>
      </c>
      <c r="D746" s="106" t="s">
        <v>34</v>
      </c>
      <c r="E746" s="58" t="s">
        <v>70</v>
      </c>
      <c r="F746" s="56" t="s">
        <v>71</v>
      </c>
      <c r="G746" s="60">
        <v>430.0</v>
      </c>
      <c r="H746" s="62">
        <v>15645.0</v>
      </c>
      <c r="I746" s="64">
        <v>6727350.0</v>
      </c>
      <c r="J746" s="64">
        <v>538188.0</v>
      </c>
      <c r="K746" s="64">
        <v>7265538.0</v>
      </c>
      <c r="L746" s="91" t="s">
        <v>1155</v>
      </c>
      <c r="M746" s="65" t="str">
        <f>VLOOKUP(L746,'Đơn đặt'!$C$3:$E$275,2,0)</f>
        <v>04-08-TS</v>
      </c>
      <c r="N746" s="65" t="str">
        <f>VLOOKUP(L746,'Đơn đặt'!$C$3:$E$275,3,0)</f>
        <v>57-2026/TS-AVP/ĐĐH</v>
      </c>
      <c r="O746" s="66">
        <v>46170.0</v>
      </c>
      <c r="P746" s="67" t="s">
        <v>1297</v>
      </c>
      <c r="Q746" s="68">
        <v>430.0</v>
      </c>
      <c r="R746" s="76">
        <v>14849.0</v>
      </c>
      <c r="S746" s="77">
        <v>6385070.0</v>
      </c>
      <c r="T746" s="77">
        <v>510806.0</v>
      </c>
      <c r="U746" s="107">
        <f t="shared" si="2"/>
        <v>6895876</v>
      </c>
      <c r="V746" s="70"/>
      <c r="W746" s="23"/>
      <c r="X746" s="73"/>
      <c r="Y746" s="73"/>
      <c r="Z746" s="73"/>
      <c r="AA746" s="73"/>
      <c r="AB746" s="73"/>
      <c r="AC746" s="73"/>
      <c r="AD746" s="73"/>
      <c r="AE746" s="73"/>
      <c r="AF746" s="73"/>
      <c r="AG746" s="73"/>
      <c r="AH746" s="73"/>
      <c r="AI746" s="73"/>
      <c r="AJ746" s="73"/>
      <c r="AK746" s="73"/>
      <c r="AL746" s="73"/>
      <c r="AM746" s="73"/>
      <c r="AN746" s="73"/>
      <c r="AO746" s="73"/>
    </row>
    <row r="747" ht="25.5" customHeight="1">
      <c r="A747" s="55">
        <v>46171.0</v>
      </c>
      <c r="B747" s="56" t="s">
        <v>1298</v>
      </c>
      <c r="C747" s="56" t="s">
        <v>178</v>
      </c>
      <c r="D747" s="106" t="s">
        <v>179</v>
      </c>
      <c r="E747" s="58" t="s">
        <v>248</v>
      </c>
      <c r="F747" s="56" t="s">
        <v>819</v>
      </c>
      <c r="G747" s="60">
        <v>300.0</v>
      </c>
      <c r="H747" s="62">
        <v>288766.0</v>
      </c>
      <c r="I747" s="64">
        <v>8.66298E7</v>
      </c>
      <c r="J747" s="64">
        <v>6930384.0</v>
      </c>
      <c r="K747" s="64">
        <v>9.3560184E7</v>
      </c>
      <c r="L747" s="91" t="s">
        <v>1196</v>
      </c>
      <c r="M747" s="65">
        <f>VLOOKUP(L747,'Đơn đặt'!$C$3:$E$275,2,0)</f>
        <v>444</v>
      </c>
      <c r="N747" s="65" t="str">
        <f>VLOOKUP(L747,'Đơn đặt'!$C$3:$E$275,3,0)</f>
        <v>26/THP/02</v>
      </c>
      <c r="O747" s="66">
        <v>46171.0</v>
      </c>
      <c r="P747" s="67" t="s">
        <v>1299</v>
      </c>
      <c r="Q747" s="68">
        <v>300.0</v>
      </c>
      <c r="R747" s="76">
        <v>251353.2</v>
      </c>
      <c r="S747" s="77">
        <v>7.540596E7</v>
      </c>
      <c r="T747" s="77">
        <v>6032477.0</v>
      </c>
      <c r="U747" s="107">
        <f t="shared" si="2"/>
        <v>81438437</v>
      </c>
      <c r="V747" s="70"/>
      <c r="W747" s="23"/>
      <c r="X747" s="73"/>
      <c r="Y747" s="73"/>
      <c r="Z747" s="73"/>
      <c r="AA747" s="73"/>
      <c r="AB747" s="73"/>
      <c r="AC747" s="73"/>
      <c r="AD747" s="73"/>
      <c r="AE747" s="73"/>
      <c r="AF747" s="73"/>
      <c r="AG747" s="73"/>
      <c r="AH747" s="73"/>
      <c r="AI747" s="73"/>
      <c r="AJ747" s="73"/>
      <c r="AK747" s="73"/>
      <c r="AL747" s="73"/>
      <c r="AM747" s="73"/>
      <c r="AN747" s="73"/>
      <c r="AO747" s="73"/>
    </row>
    <row r="748" ht="25.5" customHeight="1">
      <c r="A748" s="55">
        <v>46171.0</v>
      </c>
      <c r="B748" s="56" t="s">
        <v>1300</v>
      </c>
      <c r="C748" s="56" t="s">
        <v>35</v>
      </c>
      <c r="D748" s="106" t="s">
        <v>34</v>
      </c>
      <c r="E748" s="58" t="s">
        <v>70</v>
      </c>
      <c r="F748" s="56" t="s">
        <v>71</v>
      </c>
      <c r="G748" s="60">
        <v>1570.0</v>
      </c>
      <c r="H748" s="62">
        <v>15645.0</v>
      </c>
      <c r="I748" s="64">
        <v>2.456265E7</v>
      </c>
      <c r="J748" s="64">
        <v>1965012.0</v>
      </c>
      <c r="K748" s="64">
        <v>2.6527662E7</v>
      </c>
      <c r="L748" s="91" t="s">
        <v>1155</v>
      </c>
      <c r="M748" s="65" t="str">
        <f>VLOOKUP(L748,'Đơn đặt'!$C$3:$E$275,2,0)</f>
        <v>04-08-TS</v>
      </c>
      <c r="N748" s="65" t="str">
        <f>VLOOKUP(L748,'Đơn đặt'!$C$3:$E$275,3,0)</f>
        <v>57-2026/TS-AVP/ĐĐH</v>
      </c>
      <c r="O748" s="66">
        <v>46171.0</v>
      </c>
      <c r="P748" s="67" t="s">
        <v>1301</v>
      </c>
      <c r="Q748" s="68">
        <v>1570.0</v>
      </c>
      <c r="R748" s="76">
        <v>14849.0</v>
      </c>
      <c r="S748" s="77">
        <v>2.331293E7</v>
      </c>
      <c r="T748" s="77">
        <v>1865034.0</v>
      </c>
      <c r="U748" s="107">
        <f t="shared" si="2"/>
        <v>25177964</v>
      </c>
      <c r="V748" s="70"/>
      <c r="W748" s="23"/>
      <c r="X748" s="73"/>
      <c r="Y748" s="73"/>
      <c r="Z748" s="73"/>
      <c r="AA748" s="73"/>
      <c r="AB748" s="73"/>
      <c r="AC748" s="73"/>
      <c r="AD748" s="73"/>
      <c r="AE748" s="73"/>
      <c r="AF748" s="73"/>
      <c r="AG748" s="73"/>
      <c r="AH748" s="73"/>
      <c r="AI748" s="73"/>
      <c r="AJ748" s="73"/>
      <c r="AK748" s="73"/>
      <c r="AL748" s="73"/>
      <c r="AM748" s="73"/>
      <c r="AN748" s="73"/>
      <c r="AO748" s="73"/>
    </row>
    <row r="749" ht="25.5" customHeight="1">
      <c r="A749" s="55">
        <v>46171.0</v>
      </c>
      <c r="B749" s="56" t="s">
        <v>1300</v>
      </c>
      <c r="C749" s="56" t="s">
        <v>222</v>
      </c>
      <c r="D749" s="106" t="s">
        <v>223</v>
      </c>
      <c r="E749" s="58" t="s">
        <v>70</v>
      </c>
      <c r="F749" s="56" t="s">
        <v>71</v>
      </c>
      <c r="G749" s="60">
        <v>360.0</v>
      </c>
      <c r="H749" s="62">
        <v>20276.0</v>
      </c>
      <c r="I749" s="64">
        <v>7299360.0</v>
      </c>
      <c r="J749" s="64">
        <v>583949.0</v>
      </c>
      <c r="K749" s="64">
        <v>7883309.0</v>
      </c>
      <c r="L749" s="65" t="s">
        <v>1162</v>
      </c>
      <c r="M749" s="65" t="str">
        <f>VLOOKUP(L749,'Đơn đặt'!$C$3:$E$275,2,0)</f>
        <v>02-11-TS</v>
      </c>
      <c r="N749" s="65" t="str">
        <f>VLOOKUP(L749,'Đơn đặt'!$C$3:$E$275,3,0)</f>
        <v>52-2026/TS-AVP/ĐĐH</v>
      </c>
      <c r="O749" s="66">
        <v>46171.0</v>
      </c>
      <c r="P749" s="67" t="s">
        <v>1301</v>
      </c>
      <c r="Q749" s="68">
        <v>360.0</v>
      </c>
      <c r="R749" s="76">
        <v>18311.2</v>
      </c>
      <c r="S749" s="77">
        <v>6592032.0</v>
      </c>
      <c r="T749" s="77">
        <v>527363.0</v>
      </c>
      <c r="U749" s="107">
        <f t="shared" si="2"/>
        <v>7119395</v>
      </c>
      <c r="V749" s="70"/>
      <c r="W749" s="23"/>
      <c r="X749" s="73"/>
      <c r="Y749" s="73"/>
      <c r="Z749" s="73"/>
      <c r="AA749" s="73"/>
      <c r="AB749" s="73"/>
      <c r="AC749" s="73"/>
      <c r="AD749" s="73"/>
      <c r="AE749" s="73"/>
      <c r="AF749" s="73"/>
      <c r="AG749" s="73"/>
      <c r="AH749" s="73"/>
      <c r="AI749" s="73"/>
      <c r="AJ749" s="73"/>
      <c r="AK749" s="73"/>
      <c r="AL749" s="73"/>
      <c r="AM749" s="73"/>
      <c r="AN749" s="73"/>
      <c r="AO749" s="73"/>
    </row>
    <row r="750" ht="25.5" customHeight="1">
      <c r="A750" s="55">
        <v>46171.0</v>
      </c>
      <c r="B750" s="56" t="s">
        <v>1300</v>
      </c>
      <c r="C750" s="56" t="s">
        <v>316</v>
      </c>
      <c r="D750" s="106" t="s">
        <v>375</v>
      </c>
      <c r="E750" s="58" t="s">
        <v>70</v>
      </c>
      <c r="F750" s="56" t="s">
        <v>71</v>
      </c>
      <c r="G750" s="60">
        <v>230.0</v>
      </c>
      <c r="H750" s="62">
        <v>18975.0</v>
      </c>
      <c r="I750" s="64">
        <v>4364250.0</v>
      </c>
      <c r="J750" s="64">
        <v>349140.0</v>
      </c>
      <c r="K750" s="64">
        <v>4713390.0</v>
      </c>
      <c r="L750" s="65" t="s">
        <v>1302</v>
      </c>
      <c r="M750" s="65" t="str">
        <f>VLOOKUP(L750,'Đơn đặt'!$C$3:$E$275,2,0)</f>
        <v>05-09-TS</v>
      </c>
      <c r="N750" s="65" t="str">
        <f>VLOOKUP(L750,'Đơn đặt'!$C$3:$E$275,3,0)</f>
        <v>68-2026/TS-AVP/ĐĐH</v>
      </c>
      <c r="O750" s="66">
        <v>46171.0</v>
      </c>
      <c r="P750" s="67" t="s">
        <v>1301</v>
      </c>
      <c r="Q750" s="68">
        <v>230.0</v>
      </c>
      <c r="R750" s="76">
        <v>17267.0</v>
      </c>
      <c r="S750" s="77">
        <v>3971410.0</v>
      </c>
      <c r="T750" s="77">
        <v>317713.0</v>
      </c>
      <c r="U750" s="107">
        <f t="shared" si="2"/>
        <v>4289123</v>
      </c>
      <c r="V750" s="70"/>
      <c r="W750" s="23"/>
      <c r="X750" s="73"/>
      <c r="Y750" s="73"/>
      <c r="Z750" s="73"/>
      <c r="AA750" s="73"/>
      <c r="AB750" s="73"/>
      <c r="AC750" s="73"/>
      <c r="AD750" s="73"/>
      <c r="AE750" s="73"/>
      <c r="AF750" s="73"/>
      <c r="AG750" s="73"/>
      <c r="AH750" s="73"/>
      <c r="AI750" s="73"/>
      <c r="AJ750" s="73"/>
      <c r="AK750" s="73"/>
      <c r="AL750" s="73"/>
      <c r="AM750" s="73"/>
      <c r="AN750" s="73"/>
      <c r="AO750" s="73"/>
    </row>
    <row r="751" ht="25.5" customHeight="1">
      <c r="A751" s="113">
        <v>46171.0</v>
      </c>
      <c r="B751" s="114" t="s">
        <v>1303</v>
      </c>
      <c r="C751" s="114" t="s">
        <v>48</v>
      </c>
      <c r="D751" s="115" t="s">
        <v>47</v>
      </c>
      <c r="E751" s="58" t="s">
        <v>70</v>
      </c>
      <c r="F751" s="114" t="s">
        <v>71</v>
      </c>
      <c r="G751" s="116">
        <v>4000.0</v>
      </c>
      <c r="H751" s="117">
        <v>19206.0</v>
      </c>
      <c r="I751" s="118">
        <f t="shared" ref="I751:I752" si="154">ROUND(G751*H751,0)</f>
        <v>76824000</v>
      </c>
      <c r="J751" s="118">
        <f t="shared" ref="J751:J752" si="155">ROUND(I751*0.08,0)</f>
        <v>6145920</v>
      </c>
      <c r="K751" s="118">
        <f t="shared" ref="K751:K752" si="156">I751+J751</f>
        <v>82969920</v>
      </c>
      <c r="L751" s="119" t="s">
        <v>1146</v>
      </c>
      <c r="M751" s="119" t="str">
        <f>VLOOKUP(L751,'Đơn đặt'!$C$3:$E$275,2,0)</f>
        <v>03-12-TS</v>
      </c>
      <c r="N751" s="119" t="str">
        <f>VLOOKUP(L751,'Đơn đặt'!$C$3:$E$275,3,0)</f>
        <v>58-2026/TS-AVP/ĐĐH</v>
      </c>
      <c r="O751" s="120">
        <v>46172.0</v>
      </c>
      <c r="P751" s="121" t="s">
        <v>1304</v>
      </c>
      <c r="Q751" s="122">
        <v>4000.0</v>
      </c>
      <c r="R751" s="122">
        <v>15209.2</v>
      </c>
      <c r="S751" s="116">
        <f t="shared" ref="S751:S752" si="157">ROUND(Q751*R751,0)</f>
        <v>60836800</v>
      </c>
      <c r="T751" s="116">
        <f t="shared" ref="T751:T752" si="158">ROUND(S751*0.08,0)</f>
        <v>4866944</v>
      </c>
      <c r="U751" s="116">
        <f t="shared" si="2"/>
        <v>65703744</v>
      </c>
      <c r="V751" s="70"/>
      <c r="W751" s="23"/>
      <c r="X751" s="123"/>
      <c r="Y751" s="123"/>
      <c r="Z751" s="123"/>
      <c r="AA751" s="123"/>
      <c r="AB751" s="123"/>
      <c r="AC751" s="123"/>
      <c r="AD751" s="123"/>
      <c r="AE751" s="123"/>
      <c r="AF751" s="123"/>
      <c r="AG751" s="123"/>
      <c r="AH751" s="123"/>
      <c r="AI751" s="123"/>
      <c r="AJ751" s="123"/>
      <c r="AK751" s="123"/>
      <c r="AL751" s="123"/>
      <c r="AM751" s="123"/>
      <c r="AN751" s="123"/>
      <c r="AO751" s="123"/>
    </row>
    <row r="752" ht="25.5" customHeight="1">
      <c r="A752" s="113">
        <v>46171.0</v>
      </c>
      <c r="B752" s="114" t="s">
        <v>1303</v>
      </c>
      <c r="C752" s="114" t="s">
        <v>48</v>
      </c>
      <c r="D752" s="115" t="s">
        <v>47</v>
      </c>
      <c r="E752" s="58" t="s">
        <v>70</v>
      </c>
      <c r="F752" s="114" t="s">
        <v>71</v>
      </c>
      <c r="G752" s="116">
        <v>400.0</v>
      </c>
      <c r="H752" s="117">
        <v>19206.0</v>
      </c>
      <c r="I752" s="118">
        <f t="shared" si="154"/>
        <v>7682400</v>
      </c>
      <c r="J752" s="118">
        <f t="shared" si="155"/>
        <v>614592</v>
      </c>
      <c r="K752" s="118">
        <f t="shared" si="156"/>
        <v>8296992</v>
      </c>
      <c r="L752" s="119" t="s">
        <v>1305</v>
      </c>
      <c r="M752" s="119" t="str">
        <f>VLOOKUP(L752,'Đơn đặt'!$C$3:$E$275,2,0)</f>
        <v>04-08-TS</v>
      </c>
      <c r="N752" s="119" t="str">
        <f>VLOOKUP(L752,'Đơn đặt'!$C$3:$E$275,3,0)</f>
        <v>59-2026/TS-AVP/ĐĐH</v>
      </c>
      <c r="O752" s="120"/>
      <c r="P752" s="121"/>
      <c r="Q752" s="122">
        <v>400.0</v>
      </c>
      <c r="R752" s="122">
        <v>15209.2</v>
      </c>
      <c r="S752" s="116">
        <f t="shared" si="157"/>
        <v>6083680</v>
      </c>
      <c r="T752" s="116">
        <f t="shared" si="158"/>
        <v>486694</v>
      </c>
      <c r="U752" s="116">
        <f t="shared" si="2"/>
        <v>6570374</v>
      </c>
      <c r="V752" s="70"/>
      <c r="W752" s="23"/>
      <c r="X752" s="123"/>
      <c r="Y752" s="123"/>
      <c r="Z752" s="123"/>
      <c r="AA752" s="123"/>
      <c r="AB752" s="123"/>
      <c r="AC752" s="123"/>
      <c r="AD752" s="123"/>
      <c r="AE752" s="123"/>
      <c r="AF752" s="123"/>
      <c r="AG752" s="123"/>
      <c r="AH752" s="123"/>
      <c r="AI752" s="123"/>
      <c r="AJ752" s="123"/>
      <c r="AK752" s="123"/>
      <c r="AL752" s="123"/>
      <c r="AM752" s="123"/>
      <c r="AN752" s="123"/>
      <c r="AO752" s="123"/>
    </row>
    <row r="753" ht="25.5" customHeight="1">
      <c r="A753" s="55">
        <v>46171.0</v>
      </c>
      <c r="B753" s="56" t="s">
        <v>1306</v>
      </c>
      <c r="C753" s="56" t="s">
        <v>48</v>
      </c>
      <c r="D753" s="106" t="s">
        <v>47</v>
      </c>
      <c r="E753" s="58" t="s">
        <v>70</v>
      </c>
      <c r="F753" s="56" t="s">
        <v>71</v>
      </c>
      <c r="G753" s="60">
        <v>2600.0</v>
      </c>
      <c r="H753" s="62">
        <v>19206.0</v>
      </c>
      <c r="I753" s="64">
        <v>4.99356E7</v>
      </c>
      <c r="J753" s="64">
        <v>3994848.0</v>
      </c>
      <c r="K753" s="64">
        <v>5.3930448E7</v>
      </c>
      <c r="L753" s="65" t="s">
        <v>1305</v>
      </c>
      <c r="M753" s="65" t="str">
        <f>VLOOKUP(L753,'Đơn đặt'!$C$3:$E$275,2,0)</f>
        <v>04-08-TS</v>
      </c>
      <c r="N753" s="65" t="str">
        <f>VLOOKUP(L753,'Đơn đặt'!$C$3:$E$275,3,0)</f>
        <v>59-2026/TS-AVP/ĐĐH</v>
      </c>
      <c r="O753" s="66">
        <v>46171.0</v>
      </c>
      <c r="P753" s="67" t="s">
        <v>1307</v>
      </c>
      <c r="Q753" s="68">
        <v>2600.0</v>
      </c>
      <c r="R753" s="68">
        <v>15209.2</v>
      </c>
      <c r="S753" s="68">
        <v>3.954392E7</v>
      </c>
      <c r="T753" s="68">
        <v>3163514.0</v>
      </c>
      <c r="U753" s="107">
        <f t="shared" si="2"/>
        <v>42707434</v>
      </c>
      <c r="V753" s="70"/>
      <c r="W753" s="23"/>
      <c r="X753" s="73"/>
      <c r="Y753" s="73"/>
      <c r="Z753" s="73"/>
      <c r="AA753" s="73"/>
      <c r="AB753" s="73"/>
      <c r="AC753" s="73"/>
      <c r="AD753" s="73"/>
      <c r="AE753" s="73"/>
      <c r="AF753" s="73"/>
      <c r="AG753" s="73"/>
      <c r="AH753" s="73"/>
      <c r="AI753" s="73"/>
      <c r="AJ753" s="73"/>
      <c r="AK753" s="73"/>
      <c r="AL753" s="73"/>
      <c r="AM753" s="73"/>
      <c r="AN753" s="73"/>
      <c r="AO753" s="73"/>
    </row>
    <row r="754" ht="25.5" customHeight="1">
      <c r="A754" s="55">
        <v>46171.0</v>
      </c>
      <c r="B754" s="56" t="s">
        <v>1306</v>
      </c>
      <c r="C754" s="56" t="s">
        <v>50</v>
      </c>
      <c r="D754" s="106" t="s">
        <v>49</v>
      </c>
      <c r="E754" s="58" t="s">
        <v>70</v>
      </c>
      <c r="F754" s="56" t="s">
        <v>71</v>
      </c>
      <c r="G754" s="60">
        <v>2000.0</v>
      </c>
      <c r="H754" s="62">
        <v>19206.0</v>
      </c>
      <c r="I754" s="64">
        <v>3.8412E7</v>
      </c>
      <c r="J754" s="64">
        <v>3072960.0</v>
      </c>
      <c r="K754" s="64">
        <v>4.148496E7</v>
      </c>
      <c r="L754" s="65" t="s">
        <v>950</v>
      </c>
      <c r="M754" s="65" t="str">
        <f>VLOOKUP(L754,'Đơn đặt'!$C$3:$E$275,2,0)</f>
        <v>03-12-TS</v>
      </c>
      <c r="N754" s="65" t="str">
        <f>VLOOKUP(L754,'Đơn đặt'!$C$3:$E$275,3,0)</f>
        <v>58-2026/TS-AVP/ĐĐH</v>
      </c>
      <c r="O754" s="66">
        <v>46171.0</v>
      </c>
      <c r="P754" s="67" t="s">
        <v>1307</v>
      </c>
      <c r="Q754" s="68">
        <v>2000.0</v>
      </c>
      <c r="R754" s="76">
        <v>15209.2</v>
      </c>
      <c r="S754" s="77">
        <v>3.04184E7</v>
      </c>
      <c r="T754" s="77">
        <v>2433472.0</v>
      </c>
      <c r="U754" s="107">
        <f t="shared" si="2"/>
        <v>32851872</v>
      </c>
      <c r="V754" s="70"/>
      <c r="W754" s="23"/>
      <c r="X754" s="73"/>
      <c r="Y754" s="73"/>
      <c r="Z754" s="73"/>
      <c r="AA754" s="73"/>
      <c r="AB754" s="73"/>
      <c r="AC754" s="73"/>
      <c r="AD754" s="73"/>
      <c r="AE754" s="73"/>
      <c r="AF754" s="73"/>
      <c r="AG754" s="73"/>
      <c r="AH754" s="73"/>
      <c r="AI754" s="73"/>
      <c r="AJ754" s="73"/>
      <c r="AK754" s="73"/>
      <c r="AL754" s="73"/>
      <c r="AM754" s="73"/>
      <c r="AN754" s="73"/>
      <c r="AO754" s="73"/>
    </row>
    <row r="755" ht="25.5" customHeight="1">
      <c r="A755" s="55">
        <v>46171.0</v>
      </c>
      <c r="B755" s="56" t="s">
        <v>1308</v>
      </c>
      <c r="C755" s="56" t="s">
        <v>55</v>
      </c>
      <c r="D755" s="106" t="s">
        <v>53</v>
      </c>
      <c r="E755" s="58" t="s">
        <v>70</v>
      </c>
      <c r="F755" s="56" t="s">
        <v>71</v>
      </c>
      <c r="G755" s="60">
        <v>1000.0</v>
      </c>
      <c r="H755" s="62">
        <v>21025.0</v>
      </c>
      <c r="I755" s="64">
        <v>2.1025E7</v>
      </c>
      <c r="J755" s="64">
        <v>1682000.0</v>
      </c>
      <c r="K755" s="64">
        <v>2.2707E7</v>
      </c>
      <c r="L755" s="65" t="s">
        <v>1309</v>
      </c>
      <c r="M755" s="65" t="str">
        <f>VLOOKUP(L755,'Đơn đặt'!$C$3:$E$275,2,0)</f>
        <v>04-08-TS</v>
      </c>
      <c r="N755" s="65" t="str">
        <f>VLOOKUP(L755,'Đơn đặt'!$C$3:$E$275,3,0)</f>
        <v>56-2026/TS-AVP/ĐĐH</v>
      </c>
      <c r="O755" s="66">
        <v>46171.0</v>
      </c>
      <c r="P755" s="67" t="s">
        <v>1310</v>
      </c>
      <c r="Q755" s="68">
        <v>1000.0</v>
      </c>
      <c r="R755" s="76">
        <v>17629.0</v>
      </c>
      <c r="S755" s="77">
        <v>1.7629E7</v>
      </c>
      <c r="T755" s="77">
        <v>1410320.0</v>
      </c>
      <c r="U755" s="107">
        <f t="shared" si="2"/>
        <v>19039320</v>
      </c>
      <c r="V755" s="70"/>
      <c r="W755" s="23"/>
      <c r="X755" s="73"/>
      <c r="Y755" s="73"/>
      <c r="Z755" s="73"/>
      <c r="AA755" s="73"/>
      <c r="AB755" s="73"/>
      <c r="AC755" s="73"/>
      <c r="AD755" s="73"/>
      <c r="AE755" s="73"/>
      <c r="AF755" s="73"/>
      <c r="AG755" s="73"/>
      <c r="AH755" s="73"/>
      <c r="AI755" s="73"/>
      <c r="AJ755" s="73"/>
      <c r="AK755" s="73"/>
      <c r="AL755" s="73"/>
      <c r="AM755" s="73"/>
      <c r="AN755" s="73"/>
      <c r="AO755" s="73"/>
    </row>
    <row r="756" ht="25.5" customHeight="1">
      <c r="A756" s="55">
        <v>46171.0</v>
      </c>
      <c r="B756" s="56" t="s">
        <v>1311</v>
      </c>
      <c r="C756" s="56" t="s">
        <v>14</v>
      </c>
      <c r="D756" s="106" t="s">
        <v>13</v>
      </c>
      <c r="E756" s="58" t="s">
        <v>70</v>
      </c>
      <c r="F756" s="56" t="s">
        <v>71</v>
      </c>
      <c r="G756" s="60">
        <v>3250.0</v>
      </c>
      <c r="H756" s="62">
        <v>20374.0</v>
      </c>
      <c r="I756" s="64">
        <v>6.62155E7</v>
      </c>
      <c r="J756" s="64">
        <v>5297240.0</v>
      </c>
      <c r="K756" s="64">
        <v>7.151274E7</v>
      </c>
      <c r="L756" s="65" t="s">
        <v>1207</v>
      </c>
      <c r="M756" s="65" t="str">
        <f>VLOOKUP(L756,'Đơn đặt'!$C$3:$E$275,2,0)</f>
        <v>03-12-TS</v>
      </c>
      <c r="N756" s="65" t="str">
        <f>VLOOKUP(L756,'Đơn đặt'!$C$3:$E$275,3,0)</f>
        <v>54-2026/TS-AVP/ĐĐH</v>
      </c>
      <c r="O756" s="66">
        <v>46171.0</v>
      </c>
      <c r="P756" s="67" t="s">
        <v>1301</v>
      </c>
      <c r="Q756" s="68">
        <v>3250.0</v>
      </c>
      <c r="R756" s="76">
        <v>18666.8</v>
      </c>
      <c r="S756" s="77">
        <v>6.06671E7</v>
      </c>
      <c r="T756" s="77">
        <v>4853368.0</v>
      </c>
      <c r="U756" s="90">
        <f t="shared" si="2"/>
        <v>65520468</v>
      </c>
      <c r="V756" s="70"/>
      <c r="W756" s="23"/>
      <c r="X756" s="73"/>
      <c r="Y756" s="73"/>
      <c r="Z756" s="73"/>
      <c r="AA756" s="73"/>
      <c r="AB756" s="73"/>
      <c r="AC756" s="73"/>
      <c r="AD756" s="73"/>
      <c r="AE756" s="73"/>
      <c r="AF756" s="73"/>
      <c r="AG756" s="73"/>
      <c r="AH756" s="73"/>
      <c r="AI756" s="73"/>
      <c r="AJ756" s="73"/>
      <c r="AK756" s="73"/>
      <c r="AL756" s="73"/>
      <c r="AM756" s="73"/>
      <c r="AN756" s="73"/>
      <c r="AO756" s="73"/>
    </row>
    <row r="757" ht="25.5" customHeight="1">
      <c r="A757" s="55">
        <v>46172.0</v>
      </c>
      <c r="B757" s="56" t="s">
        <v>1312</v>
      </c>
      <c r="C757" s="56" t="s">
        <v>178</v>
      </c>
      <c r="D757" s="106" t="s">
        <v>179</v>
      </c>
      <c r="E757" s="58" t="s">
        <v>248</v>
      </c>
      <c r="F757" s="56" t="s">
        <v>819</v>
      </c>
      <c r="G757" s="60">
        <v>171.0</v>
      </c>
      <c r="H757" s="62">
        <v>288766.0</v>
      </c>
      <c r="I757" s="64">
        <v>4.9378986E7</v>
      </c>
      <c r="J757" s="64">
        <v>3950319.0</v>
      </c>
      <c r="K757" s="64">
        <v>5.3329305E7</v>
      </c>
      <c r="L757" s="91" t="s">
        <v>1196</v>
      </c>
      <c r="M757" s="65">
        <f>VLOOKUP(L757,'Đơn đặt'!$C$3:$E$275,2,0)</f>
        <v>444</v>
      </c>
      <c r="N757" s="65" t="str">
        <f>VLOOKUP(L757,'Đơn đặt'!$C$3:$E$275,3,0)</f>
        <v>26/THP/02</v>
      </c>
      <c r="O757" s="66">
        <v>46172.0</v>
      </c>
      <c r="P757" s="67" t="s">
        <v>1313</v>
      </c>
      <c r="Q757" s="68">
        <v>171.0</v>
      </c>
      <c r="R757" s="76">
        <v>251353.2</v>
      </c>
      <c r="S757" s="77">
        <v>4.2981397E7</v>
      </c>
      <c r="T757" s="77">
        <v>3438512.0</v>
      </c>
      <c r="U757" s="107">
        <f t="shared" si="2"/>
        <v>46419909</v>
      </c>
      <c r="V757" s="70"/>
      <c r="W757" s="23"/>
      <c r="X757" s="73"/>
      <c r="Y757" s="73"/>
      <c r="Z757" s="73"/>
      <c r="AA757" s="73"/>
      <c r="AB757" s="73"/>
      <c r="AC757" s="73"/>
      <c r="AD757" s="73"/>
      <c r="AE757" s="73"/>
      <c r="AF757" s="73"/>
      <c r="AG757" s="73"/>
      <c r="AH757" s="73"/>
      <c r="AI757" s="73"/>
      <c r="AJ757" s="73"/>
      <c r="AK757" s="73"/>
      <c r="AL757" s="73"/>
      <c r="AM757" s="73"/>
      <c r="AN757" s="73"/>
      <c r="AO757" s="73"/>
    </row>
    <row r="758" ht="25.5" customHeight="1">
      <c r="A758" s="55">
        <v>46172.0</v>
      </c>
      <c r="B758" s="56" t="s">
        <v>1314</v>
      </c>
      <c r="C758" s="56" t="s">
        <v>41</v>
      </c>
      <c r="D758" s="106" t="s">
        <v>40</v>
      </c>
      <c r="E758" s="58" t="s">
        <v>70</v>
      </c>
      <c r="F758" s="56" t="s">
        <v>71</v>
      </c>
      <c r="G758" s="60">
        <v>1270.0</v>
      </c>
      <c r="H758" s="62">
        <v>21025.0</v>
      </c>
      <c r="I758" s="64">
        <v>2.670175E7</v>
      </c>
      <c r="J758" s="64">
        <v>2136140.0</v>
      </c>
      <c r="K758" s="64">
        <v>2.883789E7</v>
      </c>
      <c r="L758" s="65" t="s">
        <v>1315</v>
      </c>
      <c r="M758" s="65" t="str">
        <f>VLOOKUP(L758,'Đơn đặt'!$C$3:$E$275,2,0)</f>
        <v>04-08-TS</v>
      </c>
      <c r="N758" s="65" t="str">
        <f>VLOOKUP(L758,'Đơn đặt'!$C$3:$E$275,3,0)</f>
        <v>57-2026/TS-AVP/ĐĐH</v>
      </c>
      <c r="O758" s="66">
        <v>46172.0</v>
      </c>
      <c r="P758" s="67" t="s">
        <v>1316</v>
      </c>
      <c r="Q758" s="68">
        <v>1270.0</v>
      </c>
      <c r="R758" s="76">
        <v>18797.0</v>
      </c>
      <c r="S758" s="77">
        <v>2.387219E7</v>
      </c>
      <c r="T758" s="77">
        <v>1909775.0</v>
      </c>
      <c r="U758" s="107">
        <f t="shared" si="2"/>
        <v>25781965</v>
      </c>
      <c r="V758" s="70"/>
      <c r="W758" s="23"/>
      <c r="X758" s="73"/>
      <c r="Y758" s="73"/>
      <c r="Z758" s="73"/>
      <c r="AA758" s="73"/>
      <c r="AB758" s="73"/>
      <c r="AC758" s="73"/>
      <c r="AD758" s="73"/>
      <c r="AE758" s="73"/>
      <c r="AF758" s="73"/>
      <c r="AG758" s="73"/>
      <c r="AH758" s="73"/>
      <c r="AI758" s="73"/>
      <c r="AJ758" s="73"/>
      <c r="AK758" s="73"/>
      <c r="AL758" s="73"/>
      <c r="AM758" s="73"/>
      <c r="AN758" s="73"/>
      <c r="AO758" s="73"/>
    </row>
    <row r="759" ht="25.5" customHeight="1">
      <c r="A759" s="55">
        <v>46172.0</v>
      </c>
      <c r="B759" s="56" t="s">
        <v>1314</v>
      </c>
      <c r="C759" s="56" t="s">
        <v>402</v>
      </c>
      <c r="D759" s="106" t="s">
        <v>403</v>
      </c>
      <c r="E759" s="58" t="s">
        <v>70</v>
      </c>
      <c r="F759" s="56" t="s">
        <v>71</v>
      </c>
      <c r="G759" s="60">
        <v>2000.0</v>
      </c>
      <c r="H759" s="62">
        <v>19901.0</v>
      </c>
      <c r="I759" s="64">
        <v>3.9802E7</v>
      </c>
      <c r="J759" s="64">
        <v>3184160.0</v>
      </c>
      <c r="K759" s="64">
        <v>4.298616E7</v>
      </c>
      <c r="L759" s="65" t="s">
        <v>1024</v>
      </c>
      <c r="M759" s="65" t="str">
        <f>VLOOKUP(L759,'Đơn đặt'!$C$3:$E$275,2,0)</f>
        <v>04-08-TS</v>
      </c>
      <c r="N759" s="65" t="str">
        <f>VLOOKUP(L759,'Đơn đặt'!$C$3:$E$275,3,0)</f>
        <v>57-2026/TS-AVP/ĐĐH</v>
      </c>
      <c r="O759" s="66">
        <v>46172.0</v>
      </c>
      <c r="P759" s="67" t="s">
        <v>1316</v>
      </c>
      <c r="Q759" s="68">
        <v>2000.0</v>
      </c>
      <c r="R759" s="76">
        <v>19156.2</v>
      </c>
      <c r="S759" s="77">
        <v>3.83124E7</v>
      </c>
      <c r="T759" s="77">
        <v>3064992.0</v>
      </c>
      <c r="U759" s="107">
        <f t="shared" si="2"/>
        <v>41377392</v>
      </c>
      <c r="V759" s="70"/>
      <c r="W759" s="23"/>
      <c r="X759" s="73"/>
      <c r="Y759" s="73"/>
      <c r="Z759" s="73"/>
      <c r="AA759" s="73"/>
      <c r="AB759" s="73"/>
      <c r="AC759" s="73"/>
      <c r="AD759" s="73"/>
      <c r="AE759" s="73"/>
      <c r="AF759" s="73"/>
      <c r="AG759" s="73"/>
      <c r="AH759" s="73"/>
      <c r="AI759" s="73"/>
      <c r="AJ759" s="73"/>
      <c r="AK759" s="73"/>
      <c r="AL759" s="73"/>
      <c r="AM759" s="73"/>
      <c r="AN759" s="73"/>
      <c r="AO759" s="73"/>
    </row>
    <row r="760" ht="25.5" customHeight="1">
      <c r="A760" s="55">
        <v>46172.0</v>
      </c>
      <c r="B760" s="56" t="s">
        <v>1317</v>
      </c>
      <c r="C760" s="56" t="s">
        <v>3</v>
      </c>
      <c r="D760" s="106" t="s">
        <v>164</v>
      </c>
      <c r="E760" s="58" t="s">
        <v>70</v>
      </c>
      <c r="F760" s="56" t="s">
        <v>112</v>
      </c>
      <c r="G760" s="60">
        <v>5000.0</v>
      </c>
      <c r="H760" s="62">
        <v>42560.0</v>
      </c>
      <c r="I760" s="64">
        <v>2.128E8</v>
      </c>
      <c r="J760" s="64">
        <v>1.7024E7</v>
      </c>
      <c r="K760" s="64">
        <v>2.29824E8</v>
      </c>
      <c r="L760" s="65" t="s">
        <v>1257</v>
      </c>
      <c r="M760" s="65" t="str">
        <f>VLOOKUP(L760,'Đơn đặt'!$C$3:$E$275,2,0)</f>
        <v>05-15/TS-LP</v>
      </c>
      <c r="N760" s="65" t="str">
        <f>VLOOKUP(L760,'Đơn đặt'!$C$3:$E$275,3,0)</f>
        <v>50-2026/TS-AVP/ĐĐH</v>
      </c>
      <c r="O760" s="66">
        <v>46172.0</v>
      </c>
      <c r="P760" s="67" t="s">
        <v>1318</v>
      </c>
      <c r="Q760" s="68">
        <f t="shared" ref="Q760:Q762" si="159">G760</f>
        <v>5000</v>
      </c>
      <c r="R760" s="76">
        <v>38912.0</v>
      </c>
      <c r="S760" s="77">
        <f t="shared" ref="S760:S762" si="160">ROUND(Q760*R760,0)</f>
        <v>194560000</v>
      </c>
      <c r="T760" s="90">
        <f t="shared" ref="T760:T762" si="161">ROUND(S760*0.08,0)</f>
        <v>15564800</v>
      </c>
      <c r="U760" s="90">
        <f t="shared" si="2"/>
        <v>210124800</v>
      </c>
      <c r="V760" s="70"/>
      <c r="W760" s="23"/>
      <c r="X760" s="73"/>
      <c r="Y760" s="73"/>
      <c r="Z760" s="73"/>
      <c r="AA760" s="73"/>
      <c r="AB760" s="73"/>
      <c r="AC760" s="73"/>
      <c r="AD760" s="73"/>
      <c r="AE760" s="73"/>
      <c r="AF760" s="73"/>
      <c r="AG760" s="73"/>
      <c r="AH760" s="73"/>
      <c r="AI760" s="73"/>
      <c r="AJ760" s="73"/>
      <c r="AK760" s="73"/>
      <c r="AL760" s="73"/>
      <c r="AM760" s="73"/>
      <c r="AN760" s="73"/>
      <c r="AO760" s="73"/>
    </row>
    <row r="761" ht="25.5" customHeight="1">
      <c r="A761" s="55">
        <v>46172.0</v>
      </c>
      <c r="B761" s="56" t="s">
        <v>1317</v>
      </c>
      <c r="C761" s="56" t="s">
        <v>295</v>
      </c>
      <c r="D761" s="106" t="s">
        <v>341</v>
      </c>
      <c r="E761" s="58" t="s">
        <v>70</v>
      </c>
      <c r="F761" s="56" t="s">
        <v>112</v>
      </c>
      <c r="G761" s="60">
        <v>1000.0</v>
      </c>
      <c r="H761" s="62">
        <v>42560.0</v>
      </c>
      <c r="I761" s="64">
        <v>4.256E7</v>
      </c>
      <c r="J761" s="64">
        <v>3404800.0</v>
      </c>
      <c r="K761" s="64">
        <v>4.59648E7</v>
      </c>
      <c r="L761" s="65" t="s">
        <v>1319</v>
      </c>
      <c r="M761" s="65" t="str">
        <f>VLOOKUP(L761,'Đơn đặt'!$C$3:$E$275,2,0)</f>
        <v>05-26/TS-LP</v>
      </c>
      <c r="N761" s="65" t="str">
        <f>VLOOKUP(L761,'Đơn đặt'!$C$3:$E$275,3,0)</f>
        <v>63-2026/TS-AVP/ĐĐH</v>
      </c>
      <c r="O761" s="66">
        <v>46172.0</v>
      </c>
      <c r="P761" s="67" t="s">
        <v>1318</v>
      </c>
      <c r="Q761" s="68">
        <f t="shared" si="159"/>
        <v>1000</v>
      </c>
      <c r="R761" s="76">
        <v>38912.0</v>
      </c>
      <c r="S761" s="77">
        <f t="shared" si="160"/>
        <v>38912000</v>
      </c>
      <c r="T761" s="90">
        <f t="shared" si="161"/>
        <v>3112960</v>
      </c>
      <c r="U761" s="90">
        <f t="shared" si="2"/>
        <v>42024960</v>
      </c>
      <c r="V761" s="70"/>
      <c r="W761" s="23"/>
      <c r="X761" s="73"/>
      <c r="Y761" s="73"/>
      <c r="Z761" s="73"/>
      <c r="AA761" s="73"/>
      <c r="AB761" s="73"/>
      <c r="AC761" s="73"/>
      <c r="AD761" s="73"/>
      <c r="AE761" s="73"/>
      <c r="AF761" s="73"/>
      <c r="AG761" s="73"/>
      <c r="AH761" s="73"/>
      <c r="AI761" s="73"/>
      <c r="AJ761" s="73"/>
      <c r="AK761" s="73"/>
      <c r="AL761" s="73"/>
      <c r="AM761" s="73"/>
      <c r="AN761" s="73"/>
      <c r="AO761" s="73"/>
    </row>
    <row r="762" ht="25.5" customHeight="1">
      <c r="A762" s="55">
        <v>46172.0</v>
      </c>
      <c r="B762" s="56" t="s">
        <v>1317</v>
      </c>
      <c r="C762" s="56" t="s">
        <v>299</v>
      </c>
      <c r="D762" s="106" t="s">
        <v>346</v>
      </c>
      <c r="E762" s="58" t="s">
        <v>70</v>
      </c>
      <c r="F762" s="56" t="s">
        <v>112</v>
      </c>
      <c r="G762" s="60">
        <v>1000.0</v>
      </c>
      <c r="H762" s="62">
        <v>42560.0</v>
      </c>
      <c r="I762" s="64">
        <v>4.256E7</v>
      </c>
      <c r="J762" s="64">
        <v>3404800.0</v>
      </c>
      <c r="K762" s="64">
        <v>4.59648E7</v>
      </c>
      <c r="L762" s="65" t="s">
        <v>1320</v>
      </c>
      <c r="M762" s="65" t="str">
        <f>VLOOKUP(L762,'Đơn đặt'!$C$3:$E$275,2,0)</f>
        <v>05-26/TS-LP</v>
      </c>
      <c r="N762" s="65" t="str">
        <f>VLOOKUP(L762,'Đơn đặt'!$C$3:$E$275,3,0)</f>
        <v>63-2026/TS-AVP/ĐĐH</v>
      </c>
      <c r="O762" s="66">
        <v>46172.0</v>
      </c>
      <c r="P762" s="67" t="s">
        <v>1318</v>
      </c>
      <c r="Q762" s="68">
        <f t="shared" si="159"/>
        <v>1000</v>
      </c>
      <c r="R762" s="76">
        <v>38912.0</v>
      </c>
      <c r="S762" s="77">
        <f t="shared" si="160"/>
        <v>38912000</v>
      </c>
      <c r="T762" s="90">
        <f t="shared" si="161"/>
        <v>3112960</v>
      </c>
      <c r="U762" s="90">
        <f t="shared" si="2"/>
        <v>42024960</v>
      </c>
      <c r="V762" s="70"/>
      <c r="W762" s="23"/>
      <c r="X762" s="73"/>
      <c r="Y762" s="73"/>
      <c r="Z762" s="73"/>
      <c r="AA762" s="73"/>
      <c r="AB762" s="73"/>
      <c r="AC762" s="73"/>
      <c r="AD762" s="73"/>
      <c r="AE762" s="73"/>
      <c r="AF762" s="73"/>
      <c r="AG762" s="73"/>
      <c r="AH762" s="73"/>
      <c r="AI762" s="73"/>
      <c r="AJ762" s="73"/>
      <c r="AK762" s="73"/>
      <c r="AL762" s="73"/>
      <c r="AM762" s="73"/>
      <c r="AN762" s="73"/>
      <c r="AO762" s="73"/>
    </row>
    <row r="763" ht="25.5" customHeight="1">
      <c r="A763" s="55">
        <v>46172.0</v>
      </c>
      <c r="B763" s="56" t="s">
        <v>1321</v>
      </c>
      <c r="C763" s="56" t="s">
        <v>77</v>
      </c>
      <c r="D763" s="106" t="s">
        <v>78</v>
      </c>
      <c r="E763" s="58" t="s">
        <v>70</v>
      </c>
      <c r="F763" s="56" t="s">
        <v>71</v>
      </c>
      <c r="G763" s="60">
        <v>2000.0</v>
      </c>
      <c r="H763" s="62">
        <v>22866.0</v>
      </c>
      <c r="I763" s="64">
        <v>4.5732E7</v>
      </c>
      <c r="J763" s="64">
        <v>3658560.0</v>
      </c>
      <c r="K763" s="64">
        <v>4.939056E7</v>
      </c>
      <c r="L763" s="65" t="s">
        <v>1281</v>
      </c>
      <c r="M763" s="65" t="str">
        <f>VLOOKUP(L763,'Đơn đặt'!$C$3:$E$275,2,0)</f>
        <v>05-06-TS</v>
      </c>
      <c r="N763" s="65" t="str">
        <f>VLOOKUP(L763,'Đơn đặt'!$C$3:$E$275,3,0)</f>
        <v>64-2026/TS-AVP/ĐĐH</v>
      </c>
      <c r="O763" s="66">
        <v>46172.0</v>
      </c>
      <c r="P763" s="67" t="s">
        <v>1322</v>
      </c>
      <c r="Q763" s="68">
        <v>2000.0</v>
      </c>
      <c r="R763" s="76">
        <v>20709.2</v>
      </c>
      <c r="S763" s="77">
        <v>4.14184E7</v>
      </c>
      <c r="T763" s="77">
        <v>3313472.0</v>
      </c>
      <c r="U763" s="107">
        <f t="shared" si="2"/>
        <v>44731872</v>
      </c>
      <c r="V763" s="70"/>
      <c r="W763" s="23"/>
      <c r="X763" s="73"/>
      <c r="Y763" s="73"/>
      <c r="Z763" s="73"/>
      <c r="AA763" s="73"/>
      <c r="AB763" s="73"/>
      <c r="AC763" s="73"/>
      <c r="AD763" s="73"/>
      <c r="AE763" s="73"/>
      <c r="AF763" s="73"/>
      <c r="AG763" s="73"/>
      <c r="AH763" s="73"/>
      <c r="AI763" s="73"/>
      <c r="AJ763" s="73"/>
      <c r="AK763" s="73"/>
      <c r="AL763" s="73"/>
      <c r="AM763" s="73"/>
      <c r="AN763" s="73"/>
      <c r="AO763" s="73"/>
    </row>
    <row r="764" ht="25.5" customHeight="1">
      <c r="A764" s="55">
        <v>46172.0</v>
      </c>
      <c r="B764" s="56" t="s">
        <v>1323</v>
      </c>
      <c r="C764" s="56" t="s">
        <v>59</v>
      </c>
      <c r="D764" s="106" t="s">
        <v>105</v>
      </c>
      <c r="E764" s="58" t="s">
        <v>70</v>
      </c>
      <c r="F764" s="56" t="s">
        <v>71</v>
      </c>
      <c r="G764" s="60">
        <v>1210.0</v>
      </c>
      <c r="H764" s="62">
        <v>19206.0</v>
      </c>
      <c r="I764" s="64">
        <v>2.323926E7</v>
      </c>
      <c r="J764" s="64">
        <v>1859141.0</v>
      </c>
      <c r="K764" s="64">
        <v>2.5098401E7</v>
      </c>
      <c r="L764" s="65" t="s">
        <v>1150</v>
      </c>
      <c r="M764" s="65" t="str">
        <f>VLOOKUP(L764,'Đơn đặt'!$C$3:$E$275,2,0)</f>
        <v>03-12-TS</v>
      </c>
      <c r="N764" s="65" t="str">
        <f>VLOOKUP(L764,'Đơn đặt'!$C$3:$E$275,3,0)</f>
        <v>54-2026/TS-AVP/ĐĐH</v>
      </c>
      <c r="O764" s="55">
        <v>46172.0</v>
      </c>
      <c r="P764" s="56" t="s">
        <v>1316</v>
      </c>
      <c r="Q764" s="60">
        <v>1210.0</v>
      </c>
      <c r="R764" s="62">
        <v>17073.2</v>
      </c>
      <c r="S764" s="60">
        <v>2.0658572E7</v>
      </c>
      <c r="T764" s="64">
        <v>1652686.0</v>
      </c>
      <c r="U764" s="90">
        <f t="shared" si="2"/>
        <v>22311258</v>
      </c>
      <c r="V764" s="70"/>
      <c r="W764" s="23"/>
      <c r="X764" s="73"/>
      <c r="Y764" s="73"/>
      <c r="Z764" s="73"/>
      <c r="AA764" s="73"/>
      <c r="AB764" s="73"/>
      <c r="AC764" s="73"/>
      <c r="AD764" s="73"/>
      <c r="AE764" s="73"/>
      <c r="AF764" s="73"/>
      <c r="AG764" s="73"/>
      <c r="AH764" s="73"/>
      <c r="AI764" s="73"/>
      <c r="AJ764" s="73"/>
      <c r="AK764" s="73"/>
      <c r="AL764" s="73"/>
      <c r="AM764" s="73"/>
      <c r="AN764" s="73"/>
      <c r="AO764" s="73"/>
    </row>
    <row r="765" ht="25.5" customHeight="1">
      <c r="A765" s="55">
        <v>46172.0</v>
      </c>
      <c r="B765" s="56" t="s">
        <v>1323</v>
      </c>
      <c r="C765" s="56" t="s">
        <v>35</v>
      </c>
      <c r="D765" s="106" t="s">
        <v>34</v>
      </c>
      <c r="E765" s="58" t="s">
        <v>70</v>
      </c>
      <c r="F765" s="56" t="s">
        <v>71</v>
      </c>
      <c r="G765" s="60">
        <v>2003.0</v>
      </c>
      <c r="H765" s="62">
        <v>15645.0</v>
      </c>
      <c r="I765" s="64">
        <v>3.1336935E7</v>
      </c>
      <c r="J765" s="64">
        <v>2506955.0</v>
      </c>
      <c r="K765" s="64">
        <v>3.384389E7</v>
      </c>
      <c r="L765" s="91" t="s">
        <v>1155</v>
      </c>
      <c r="M765" s="65" t="str">
        <f>VLOOKUP(L765,'Đơn đặt'!$C$3:$E$275,2,0)</f>
        <v>04-08-TS</v>
      </c>
      <c r="N765" s="65" t="str">
        <f>VLOOKUP(L765,'Đơn đặt'!$C$3:$E$275,3,0)</f>
        <v>57-2026/TS-AVP/ĐĐH</v>
      </c>
      <c r="O765" s="66">
        <v>46172.0</v>
      </c>
      <c r="P765" s="67" t="s">
        <v>1316</v>
      </c>
      <c r="Q765" s="68">
        <v>2003.0</v>
      </c>
      <c r="R765" s="76">
        <v>14849.0</v>
      </c>
      <c r="S765" s="77">
        <v>2.9742547E7</v>
      </c>
      <c r="T765" s="77">
        <v>2379404.0</v>
      </c>
      <c r="U765" s="107">
        <f t="shared" si="2"/>
        <v>32121951</v>
      </c>
      <c r="V765" s="70"/>
      <c r="W765" s="23"/>
      <c r="X765" s="73"/>
      <c r="Y765" s="73"/>
      <c r="Z765" s="73"/>
      <c r="AA765" s="73"/>
      <c r="AB765" s="73"/>
      <c r="AC765" s="73"/>
      <c r="AD765" s="73"/>
      <c r="AE765" s="73"/>
      <c r="AF765" s="73"/>
      <c r="AG765" s="73"/>
      <c r="AH765" s="73"/>
      <c r="AI765" s="73"/>
      <c r="AJ765" s="73"/>
      <c r="AK765" s="73"/>
      <c r="AL765" s="73"/>
      <c r="AM765" s="73"/>
      <c r="AN765" s="73"/>
      <c r="AO765" s="73"/>
    </row>
    <row r="766" ht="25.5" customHeight="1">
      <c r="A766" s="55">
        <v>46172.0</v>
      </c>
      <c r="B766" s="56" t="s">
        <v>1323</v>
      </c>
      <c r="C766" s="56" t="s">
        <v>17</v>
      </c>
      <c r="D766" s="106" t="s">
        <v>16</v>
      </c>
      <c r="E766" s="58" t="s">
        <v>70</v>
      </c>
      <c r="F766" s="56" t="s">
        <v>71</v>
      </c>
      <c r="G766" s="60">
        <v>1100.0</v>
      </c>
      <c r="H766" s="62">
        <v>19283.0</v>
      </c>
      <c r="I766" s="64">
        <v>2.12113E7</v>
      </c>
      <c r="J766" s="64">
        <v>1696904.0</v>
      </c>
      <c r="K766" s="64">
        <v>2.2908204E7</v>
      </c>
      <c r="L766" s="65" t="s">
        <v>1324</v>
      </c>
      <c r="M766" s="65" t="str">
        <f>VLOOKUP(L766,'Đơn đặt'!$C$3:$E$275,2,0)</f>
        <v>05-09-TS</v>
      </c>
      <c r="N766" s="65" t="str">
        <f>VLOOKUP(L766,'Đơn đặt'!$C$3:$E$275,3,0)</f>
        <v>68-2026/TS-AVP/ĐĐH</v>
      </c>
      <c r="O766" s="66">
        <v>46172.0</v>
      </c>
      <c r="P766" s="67" t="s">
        <v>1316</v>
      </c>
      <c r="Q766" s="68">
        <v>1100.0</v>
      </c>
      <c r="R766" s="76">
        <v>18448.6</v>
      </c>
      <c r="S766" s="77">
        <v>2.029346E7</v>
      </c>
      <c r="T766" s="77">
        <v>1623477.0</v>
      </c>
      <c r="U766" s="107">
        <f t="shared" si="2"/>
        <v>21916937</v>
      </c>
      <c r="V766" s="70"/>
      <c r="W766" s="23"/>
      <c r="X766" s="73"/>
      <c r="Y766" s="73"/>
      <c r="Z766" s="73"/>
      <c r="AA766" s="73"/>
      <c r="AB766" s="73"/>
      <c r="AC766" s="73"/>
      <c r="AD766" s="73"/>
      <c r="AE766" s="73"/>
      <c r="AF766" s="73"/>
      <c r="AG766" s="73"/>
      <c r="AH766" s="73"/>
      <c r="AI766" s="73"/>
      <c r="AJ766" s="73"/>
      <c r="AK766" s="73"/>
      <c r="AL766" s="73"/>
      <c r="AM766" s="73"/>
      <c r="AN766" s="73"/>
      <c r="AO766" s="73"/>
    </row>
    <row r="767" ht="25.5" customHeight="1">
      <c r="A767" s="55">
        <v>46172.0</v>
      </c>
      <c r="B767" s="56" t="s">
        <v>1325</v>
      </c>
      <c r="C767" s="56" t="s">
        <v>244</v>
      </c>
      <c r="D767" s="106" t="s">
        <v>245</v>
      </c>
      <c r="E767" s="58" t="s">
        <v>70</v>
      </c>
      <c r="F767" s="56" t="s">
        <v>71</v>
      </c>
      <c r="G767" s="60">
        <v>1680.0</v>
      </c>
      <c r="H767" s="62">
        <v>19901.0</v>
      </c>
      <c r="I767" s="64">
        <v>3.343368E7</v>
      </c>
      <c r="J767" s="64">
        <v>2674695.0</v>
      </c>
      <c r="K767" s="64">
        <v>3.6108375E7</v>
      </c>
      <c r="L767" s="65" t="s">
        <v>1176</v>
      </c>
      <c r="M767" s="65" t="str">
        <f>VLOOKUP(L767,'Đơn đặt'!$C$3:$E$275,2,0)</f>
        <v>04-08-TS</v>
      </c>
      <c r="N767" s="65" t="str">
        <f>VLOOKUP(L767,'Đơn đặt'!$C$3:$E$275,3,0)</f>
        <v>57-2026/TS-AVP/ĐĐH</v>
      </c>
      <c r="O767" s="66">
        <v>46172.0</v>
      </c>
      <c r="P767" s="67" t="s">
        <v>1316</v>
      </c>
      <c r="Q767" s="68">
        <v>1680.0</v>
      </c>
      <c r="R767" s="76">
        <v>19156.2</v>
      </c>
      <c r="S767" s="77">
        <v>3.2182416E7</v>
      </c>
      <c r="T767" s="77">
        <v>2574593.0</v>
      </c>
      <c r="U767" s="107">
        <f t="shared" si="2"/>
        <v>34757009</v>
      </c>
      <c r="V767" s="70"/>
      <c r="W767" s="23"/>
      <c r="X767" s="73"/>
      <c r="Y767" s="73"/>
      <c r="Z767" s="73"/>
      <c r="AA767" s="73"/>
      <c r="AB767" s="73"/>
      <c r="AC767" s="73"/>
      <c r="AD767" s="73"/>
      <c r="AE767" s="73"/>
      <c r="AF767" s="73"/>
      <c r="AG767" s="73"/>
      <c r="AH767" s="73"/>
      <c r="AI767" s="73"/>
      <c r="AJ767" s="73"/>
      <c r="AK767" s="73"/>
      <c r="AL767" s="73"/>
      <c r="AM767" s="73"/>
      <c r="AN767" s="73"/>
      <c r="AO767" s="73"/>
    </row>
    <row r="768" ht="25.5" customHeight="1">
      <c r="A768" s="55">
        <v>46172.0</v>
      </c>
      <c r="B768" s="56" t="s">
        <v>1325</v>
      </c>
      <c r="C768" s="56" t="s">
        <v>119</v>
      </c>
      <c r="D768" s="106" t="s">
        <v>120</v>
      </c>
      <c r="E768" s="58" t="s">
        <v>70</v>
      </c>
      <c r="F768" s="56" t="s">
        <v>71</v>
      </c>
      <c r="G768" s="60">
        <v>2500.0</v>
      </c>
      <c r="H768" s="62">
        <v>20276.0</v>
      </c>
      <c r="I768" s="64">
        <v>5.069E7</v>
      </c>
      <c r="J768" s="64">
        <v>4055200.0</v>
      </c>
      <c r="K768" s="64">
        <v>5.47452E7</v>
      </c>
      <c r="L768" s="65" t="s">
        <v>1200</v>
      </c>
      <c r="M768" s="65" t="str">
        <f>VLOOKUP(L768,'Đơn đặt'!$C$3:$E$275,2,0)</f>
        <v>02-11-TS</v>
      </c>
      <c r="N768" s="65" t="str">
        <f>VLOOKUP(L768,'Đơn đặt'!$C$3:$E$275,3,0)</f>
        <v>52-2026/TS-AVP/ĐĐH</v>
      </c>
      <c r="O768" s="66">
        <v>46172.0</v>
      </c>
      <c r="P768" s="67" t="s">
        <v>1316</v>
      </c>
      <c r="Q768" s="68">
        <v>2500.0</v>
      </c>
      <c r="R768" s="76">
        <v>18311.2</v>
      </c>
      <c r="S768" s="77">
        <v>4.5778E7</v>
      </c>
      <c r="T768" s="77">
        <v>3662240.0</v>
      </c>
      <c r="U768" s="107">
        <f t="shared" si="2"/>
        <v>49440240</v>
      </c>
      <c r="V768" s="70"/>
      <c r="W768" s="23"/>
      <c r="X768" s="73"/>
      <c r="Y768" s="73"/>
      <c r="Z768" s="73"/>
      <c r="AA768" s="73"/>
      <c r="AB768" s="73"/>
      <c r="AC768" s="73"/>
      <c r="AD768" s="73"/>
      <c r="AE768" s="73"/>
      <c r="AF768" s="73"/>
      <c r="AG768" s="73"/>
      <c r="AH768" s="73"/>
      <c r="AI768" s="73"/>
      <c r="AJ768" s="73"/>
      <c r="AK768" s="73"/>
      <c r="AL768" s="73"/>
      <c r="AM768" s="73"/>
      <c r="AN768" s="73"/>
      <c r="AO768" s="73"/>
    </row>
    <row r="769" ht="25.5" customHeight="1">
      <c r="A769" s="55">
        <v>46172.0</v>
      </c>
      <c r="B769" s="56" t="s">
        <v>1325</v>
      </c>
      <c r="C769" s="56" t="s">
        <v>428</v>
      </c>
      <c r="D769" s="106" t="s">
        <v>429</v>
      </c>
      <c r="E769" s="58" t="s">
        <v>70</v>
      </c>
      <c r="F769" s="56" t="s">
        <v>71</v>
      </c>
      <c r="G769" s="60">
        <v>127.0</v>
      </c>
      <c r="H769" s="62">
        <v>19768.0</v>
      </c>
      <c r="I769" s="64">
        <v>2510536.0</v>
      </c>
      <c r="J769" s="64">
        <v>200843.0</v>
      </c>
      <c r="K769" s="64">
        <v>2711379.0</v>
      </c>
      <c r="L769" s="91" t="s">
        <v>1326</v>
      </c>
      <c r="M769" s="65" t="str">
        <f>VLOOKUP(L769,'Đơn đặt'!$C$3:$E$275,2,0)</f>
        <v>05-09-TS</v>
      </c>
      <c r="N769" s="65" t="str">
        <f>VLOOKUP(L769,'Đơn đặt'!$C$3:$E$275,3,0)</f>
        <v>68-2026/TS-AVP/ĐĐH</v>
      </c>
      <c r="O769" s="66">
        <v>46172.0</v>
      </c>
      <c r="P769" s="67" t="s">
        <v>1316</v>
      </c>
      <c r="Q769" s="68">
        <v>127.0</v>
      </c>
      <c r="R769" s="76">
        <v>18457.6</v>
      </c>
      <c r="S769" s="77">
        <v>2344115.0</v>
      </c>
      <c r="T769" s="77">
        <v>187529.0</v>
      </c>
      <c r="U769" s="90">
        <f t="shared" si="2"/>
        <v>2531644</v>
      </c>
      <c r="V769" s="70"/>
      <c r="W769" s="23"/>
      <c r="X769" s="73"/>
      <c r="Y769" s="73"/>
      <c r="Z769" s="73"/>
      <c r="AA769" s="73"/>
      <c r="AB769" s="73"/>
      <c r="AC769" s="73"/>
      <c r="AD769" s="73"/>
      <c r="AE769" s="73"/>
      <c r="AF769" s="73"/>
      <c r="AG769" s="73"/>
      <c r="AH769" s="73"/>
      <c r="AI769" s="73"/>
      <c r="AJ769" s="73"/>
      <c r="AK769" s="73"/>
      <c r="AL769" s="73"/>
      <c r="AM769" s="73"/>
      <c r="AN769" s="73"/>
      <c r="AO769" s="73"/>
    </row>
    <row r="770" ht="25.5" customHeight="1">
      <c r="A770" s="55">
        <v>46172.0</v>
      </c>
      <c r="B770" s="56" t="s">
        <v>1325</v>
      </c>
      <c r="C770" s="56" t="s">
        <v>425</v>
      </c>
      <c r="D770" s="106" t="s">
        <v>427</v>
      </c>
      <c r="E770" s="58" t="s">
        <v>70</v>
      </c>
      <c r="F770" s="56" t="s">
        <v>71</v>
      </c>
      <c r="G770" s="60">
        <v>52.0</v>
      </c>
      <c r="H770" s="62">
        <v>22128.0</v>
      </c>
      <c r="I770" s="64">
        <v>1150656.0</v>
      </c>
      <c r="J770" s="64">
        <v>92052.0</v>
      </c>
      <c r="K770" s="64">
        <v>1242708.0</v>
      </c>
      <c r="L770" s="65" t="s">
        <v>1327</v>
      </c>
      <c r="M770" s="65" t="str">
        <f>VLOOKUP(L770,'Đơn đặt'!$C$3:$E$275,2,0)</f>
        <v>05-09-TS</v>
      </c>
      <c r="N770" s="65" t="str">
        <f>VLOOKUP(L770,'Đơn đặt'!$C$3:$E$275,3,0)</f>
        <v>68-2026/TS-AVP/ĐĐH</v>
      </c>
      <c r="O770" s="66">
        <v>46172.0</v>
      </c>
      <c r="P770" s="67" t="s">
        <v>1316</v>
      </c>
      <c r="Q770" s="68">
        <v>52.0</v>
      </c>
      <c r="R770" s="76">
        <v>21121.6</v>
      </c>
      <c r="S770" s="77">
        <v>1098323.0</v>
      </c>
      <c r="T770" s="77">
        <v>87866.0</v>
      </c>
      <c r="U770" s="90">
        <f t="shared" si="2"/>
        <v>1186189</v>
      </c>
      <c r="V770" s="70"/>
      <c r="W770" s="23"/>
      <c r="X770" s="73"/>
      <c r="Y770" s="73"/>
      <c r="Z770" s="73"/>
      <c r="AA770" s="73"/>
      <c r="AB770" s="73"/>
      <c r="AC770" s="73"/>
      <c r="AD770" s="73"/>
      <c r="AE770" s="73"/>
      <c r="AF770" s="73"/>
      <c r="AG770" s="73"/>
      <c r="AH770" s="73"/>
      <c r="AI770" s="73"/>
      <c r="AJ770" s="73"/>
      <c r="AK770" s="73"/>
      <c r="AL770" s="73"/>
      <c r="AM770" s="73"/>
      <c r="AN770" s="73"/>
      <c r="AO770" s="73"/>
    </row>
    <row r="771" ht="25.5" customHeight="1">
      <c r="A771" s="55">
        <v>46172.0</v>
      </c>
      <c r="B771" s="56" t="s">
        <v>1325</v>
      </c>
      <c r="C771" s="56" t="s">
        <v>561</v>
      </c>
      <c r="D771" s="106" t="s">
        <v>562</v>
      </c>
      <c r="E771" s="58" t="s">
        <v>70</v>
      </c>
      <c r="F771" s="56" t="s">
        <v>71</v>
      </c>
      <c r="G771" s="60">
        <v>45.0</v>
      </c>
      <c r="H771" s="62">
        <v>19735.0</v>
      </c>
      <c r="I771" s="64">
        <v>888075.0</v>
      </c>
      <c r="J771" s="64">
        <v>71046.0</v>
      </c>
      <c r="K771" s="64">
        <v>959121.0</v>
      </c>
      <c r="L771" s="65" t="s">
        <v>1328</v>
      </c>
      <c r="M771" s="65" t="str">
        <f>VLOOKUP(L771,'Đơn đặt'!$C$3:$E$275,2,0)</f>
        <v>05-09-TS</v>
      </c>
      <c r="N771" s="65" t="str">
        <f>VLOOKUP(L771,'Đơn đặt'!$C$3:$E$275,3,0)</f>
        <v>68-2026/TS-AVP/ĐĐH</v>
      </c>
      <c r="O771" s="66">
        <v>46172.0</v>
      </c>
      <c r="P771" s="67" t="s">
        <v>1316</v>
      </c>
      <c r="Q771" s="68">
        <v>45.0</v>
      </c>
      <c r="R771" s="76">
        <v>19547.0</v>
      </c>
      <c r="S771" s="77">
        <v>879615.0</v>
      </c>
      <c r="T771" s="77">
        <v>70369.0</v>
      </c>
      <c r="U771" s="107">
        <f t="shared" si="2"/>
        <v>949984</v>
      </c>
      <c r="V771" s="70"/>
      <c r="W771" s="23"/>
      <c r="X771" s="73"/>
      <c r="Y771" s="73"/>
      <c r="Z771" s="73"/>
      <c r="AA771" s="73"/>
      <c r="AB771" s="73"/>
      <c r="AC771" s="73"/>
      <c r="AD771" s="73"/>
      <c r="AE771" s="73"/>
      <c r="AF771" s="73"/>
      <c r="AG771" s="73"/>
      <c r="AH771" s="73"/>
      <c r="AI771" s="73"/>
      <c r="AJ771" s="73"/>
      <c r="AK771" s="73"/>
      <c r="AL771" s="73"/>
      <c r="AM771" s="73"/>
      <c r="AN771" s="73"/>
      <c r="AO771" s="73"/>
    </row>
    <row r="772" ht="25.5" customHeight="1">
      <c r="A772" s="55">
        <v>46176.0</v>
      </c>
      <c r="B772" s="124" t="s">
        <v>1329</v>
      </c>
      <c r="C772" s="56" t="s">
        <v>92</v>
      </c>
      <c r="D772" s="58" t="s">
        <v>93</v>
      </c>
      <c r="E772" s="58" t="s">
        <v>94</v>
      </c>
      <c r="F772" s="56" t="s">
        <v>95</v>
      </c>
      <c r="G772" s="60">
        <v>312.0</v>
      </c>
      <c r="H772" s="62">
        <v>502740.0</v>
      </c>
      <c r="I772" s="64">
        <f>G772*H772</f>
        <v>156854880</v>
      </c>
      <c r="J772" s="64">
        <v>1.254839E7</v>
      </c>
      <c r="K772" s="64">
        <v>1.6940327E8</v>
      </c>
      <c r="L772" s="65" t="s">
        <v>96</v>
      </c>
      <c r="M772" s="65" t="str">
        <f>VLOOKUP(L772,'Đơn đặt'!$C$3:$E$275,2,0)</f>
        <v>13-12/2025</v>
      </c>
      <c r="N772" s="65" t="str">
        <f>VLOOKUP(L772,'Đơn đặt'!$C$3:$E$275,3,0)</f>
        <v>Hàng SX</v>
      </c>
      <c r="O772" s="55" t="s">
        <v>98</v>
      </c>
      <c r="P772" s="56"/>
      <c r="Q772" s="60">
        <f>G772</f>
        <v>312</v>
      </c>
      <c r="R772" s="62"/>
      <c r="S772" s="64">
        <f>ROUND(Q772*R772,0)</f>
        <v>0</v>
      </c>
      <c r="T772" s="64">
        <f>ROUND(S772*0.08,0)</f>
        <v>0</v>
      </c>
      <c r="U772" s="60">
        <f t="shared" si="2"/>
        <v>0</v>
      </c>
      <c r="V772" s="70"/>
      <c r="W772" s="23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</row>
    <row r="773" ht="25.5" customHeight="1">
      <c r="A773" s="55">
        <v>46188.0</v>
      </c>
      <c r="B773" s="124" t="s">
        <v>931</v>
      </c>
      <c r="C773" s="56" t="s">
        <v>125</v>
      </c>
      <c r="D773" s="58" t="s">
        <v>126</v>
      </c>
      <c r="E773" s="58" t="s">
        <v>242</v>
      </c>
      <c r="F773" s="56" t="s">
        <v>112</v>
      </c>
      <c r="G773" s="60">
        <v>5244.0</v>
      </c>
      <c r="H773" s="62">
        <v>30400.0</v>
      </c>
      <c r="I773" s="64">
        <v>1.594176E8</v>
      </c>
      <c r="J773" s="64">
        <v>1.2753408E7</v>
      </c>
      <c r="K773" s="64">
        <v>1.72171008E8</v>
      </c>
      <c r="L773" s="91" t="s">
        <v>1330</v>
      </c>
      <c r="M773" s="65" t="str">
        <f>VLOOKUP(L773,'Đơn đặt'!$C:$E,2,0)</f>
        <v>05/TS/26</v>
      </c>
      <c r="N773" s="65" t="str">
        <f>VLOOKUP(L773,'Đơn đặt'!$C:$E,3,0)</f>
        <v>Hàng SX</v>
      </c>
      <c r="O773" s="55" t="s">
        <v>98</v>
      </c>
      <c r="P773" s="62"/>
      <c r="Q773" s="60">
        <v>5244.0</v>
      </c>
      <c r="R773" s="64">
        <v>0.0</v>
      </c>
      <c r="S773" s="64">
        <v>0.0</v>
      </c>
      <c r="T773" s="64">
        <v>0.0</v>
      </c>
      <c r="U773" s="60">
        <f t="shared" si="2"/>
        <v>0</v>
      </c>
      <c r="V773" s="70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</row>
    <row r="774" ht="25.5" customHeight="1">
      <c r="A774" s="55">
        <v>46178.0</v>
      </c>
      <c r="B774" s="56" t="s">
        <v>899</v>
      </c>
      <c r="C774" s="56" t="s">
        <v>178</v>
      </c>
      <c r="D774" s="106" t="s">
        <v>179</v>
      </c>
      <c r="E774" s="58" t="s">
        <v>248</v>
      </c>
      <c r="F774" s="56" t="s">
        <v>819</v>
      </c>
      <c r="G774" s="68">
        <v>400.0</v>
      </c>
      <c r="H774" s="62">
        <v>288766.0</v>
      </c>
      <c r="I774" s="64">
        <v>1.155064E8</v>
      </c>
      <c r="J774" s="64">
        <v>9240512.0</v>
      </c>
      <c r="K774" s="64">
        <v>1.24746912E8</v>
      </c>
      <c r="L774" s="125" t="s">
        <v>1331</v>
      </c>
      <c r="M774" s="65">
        <f>VLOOKUP(L774,'Đơn đặt'!$C$3:$E$275,2,0)</f>
        <v>493</v>
      </c>
      <c r="N774" s="65" t="str">
        <f>VLOOKUP(L774,'Đơn đặt'!$C$3:$E$275,3,0)</f>
        <v>26/THP/03</v>
      </c>
      <c r="O774" s="126">
        <v>46178.0</v>
      </c>
      <c r="P774" s="67" t="s">
        <v>1332</v>
      </c>
      <c r="Q774" s="68">
        <v>400.0</v>
      </c>
      <c r="R774" s="76">
        <v>251353.2</v>
      </c>
      <c r="S774" s="77">
        <v>1.0054128E8</v>
      </c>
      <c r="T774" s="77">
        <v>8043302.0</v>
      </c>
      <c r="U774" s="60">
        <f t="shared" si="2"/>
        <v>108584582</v>
      </c>
      <c r="V774" s="70"/>
      <c r="W774" s="73"/>
      <c r="X774" s="73"/>
      <c r="Y774" s="73"/>
      <c r="Z774" s="73"/>
      <c r="AA774" s="73"/>
      <c r="AB774" s="73"/>
      <c r="AC774" s="73"/>
      <c r="AD774" s="73"/>
      <c r="AE774" s="73"/>
      <c r="AF774" s="73"/>
      <c r="AG774" s="73"/>
      <c r="AH774" s="73"/>
      <c r="AI774" s="73"/>
      <c r="AJ774" s="73"/>
      <c r="AK774" s="73"/>
      <c r="AL774" s="73"/>
      <c r="AM774" s="73"/>
      <c r="AN774" s="73"/>
      <c r="AO774" s="73"/>
    </row>
    <row r="775" ht="25.5" customHeight="1">
      <c r="A775" s="66">
        <v>46181.0</v>
      </c>
      <c r="B775" s="127" t="s">
        <v>1333</v>
      </c>
      <c r="C775" s="56" t="s">
        <v>178</v>
      </c>
      <c r="D775" s="106" t="s">
        <v>179</v>
      </c>
      <c r="E775" s="58" t="s">
        <v>248</v>
      </c>
      <c r="F775" s="56" t="s">
        <v>819</v>
      </c>
      <c r="G775" s="68">
        <v>400.0</v>
      </c>
      <c r="H775" s="62">
        <v>288766.0</v>
      </c>
      <c r="I775" s="64">
        <v>1.155064E8</v>
      </c>
      <c r="J775" s="77">
        <v>9240512.0</v>
      </c>
      <c r="K775" s="77">
        <v>1.24746912E8</v>
      </c>
      <c r="L775" s="125" t="s">
        <v>1331</v>
      </c>
      <c r="M775" s="65">
        <f>VLOOKUP(L775,'Đơn đặt'!$C$3:$E$275,2,0)</f>
        <v>493</v>
      </c>
      <c r="N775" s="65" t="str">
        <f>VLOOKUP(L775,'Đơn đặt'!$C$3:$E$275,3,0)</f>
        <v>26/THP/03</v>
      </c>
      <c r="O775" s="128">
        <v>46181.0</v>
      </c>
      <c r="P775" s="67" t="s">
        <v>1334</v>
      </c>
      <c r="Q775" s="68">
        <v>400.0</v>
      </c>
      <c r="R775" s="129">
        <v>251353.2</v>
      </c>
      <c r="S775" s="130">
        <v>1.0054128E8</v>
      </c>
      <c r="T775" s="130">
        <v>8043302.0</v>
      </c>
      <c r="U775" s="60">
        <f t="shared" si="2"/>
        <v>108584582</v>
      </c>
      <c r="V775" s="70"/>
    </row>
    <row r="776" ht="25.5" customHeight="1">
      <c r="A776" s="66">
        <v>46182.0</v>
      </c>
      <c r="B776" s="127" t="s">
        <v>1335</v>
      </c>
      <c r="C776" s="56" t="s">
        <v>178</v>
      </c>
      <c r="D776" s="106" t="s">
        <v>179</v>
      </c>
      <c r="E776" s="58" t="s">
        <v>248</v>
      </c>
      <c r="F776" s="56" t="s">
        <v>819</v>
      </c>
      <c r="G776" s="68">
        <v>400.0</v>
      </c>
      <c r="H776" s="62">
        <v>288766.0</v>
      </c>
      <c r="I776" s="64">
        <v>1.155064E8</v>
      </c>
      <c r="J776" s="77">
        <v>9240512.0</v>
      </c>
      <c r="K776" s="77">
        <v>1.24746912E8</v>
      </c>
      <c r="L776" s="125" t="s">
        <v>1331</v>
      </c>
      <c r="M776" s="65">
        <f>VLOOKUP(L776,'Đơn đặt'!$C$3:$E$275,2,0)</f>
        <v>493</v>
      </c>
      <c r="N776" s="65" t="str">
        <f>VLOOKUP(L776,'Đơn đặt'!$C$3:$E$275,3,0)</f>
        <v>26/THP/03</v>
      </c>
      <c r="O776" s="128">
        <v>46182.0</v>
      </c>
      <c r="P776" s="67" t="s">
        <v>1336</v>
      </c>
      <c r="Q776" s="68">
        <v>400.0</v>
      </c>
      <c r="R776" s="129">
        <v>251353.2</v>
      </c>
      <c r="S776" s="130">
        <v>1.0054128E8</v>
      </c>
      <c r="T776" s="130">
        <v>8043302.0</v>
      </c>
      <c r="U776" s="60">
        <f t="shared" si="2"/>
        <v>108584582</v>
      </c>
      <c r="V776" s="70"/>
    </row>
    <row r="777" ht="25.5" customHeight="1">
      <c r="A777" s="66">
        <v>46184.0</v>
      </c>
      <c r="B777" s="127" t="s">
        <v>1337</v>
      </c>
      <c r="C777" s="56" t="s">
        <v>178</v>
      </c>
      <c r="D777" s="106" t="s">
        <v>179</v>
      </c>
      <c r="E777" s="58" t="s">
        <v>248</v>
      </c>
      <c r="F777" s="56" t="s">
        <v>819</v>
      </c>
      <c r="G777" s="68">
        <v>400.0</v>
      </c>
      <c r="H777" s="62">
        <v>288766.0</v>
      </c>
      <c r="I777" s="64">
        <v>1.155064E8</v>
      </c>
      <c r="J777" s="77">
        <v>9240512.0</v>
      </c>
      <c r="K777" s="77">
        <v>1.24746912E8</v>
      </c>
      <c r="L777" s="125" t="s">
        <v>1331</v>
      </c>
      <c r="M777" s="65">
        <f>VLOOKUP(L777,'Đơn đặt'!$C$3:$E$275,2,0)</f>
        <v>493</v>
      </c>
      <c r="N777" s="65" t="str">
        <f>VLOOKUP(L777,'Đơn đặt'!$C$3:$E$275,3,0)</f>
        <v>26/THP/03</v>
      </c>
      <c r="O777" s="128">
        <v>46184.0</v>
      </c>
      <c r="P777" s="67" t="s">
        <v>1338</v>
      </c>
      <c r="Q777" s="68">
        <v>400.0</v>
      </c>
      <c r="R777" s="129">
        <v>251353.2</v>
      </c>
      <c r="S777" s="130">
        <v>1.0054128E8</v>
      </c>
      <c r="T777" s="130">
        <v>8043302.0</v>
      </c>
      <c r="U777" s="60">
        <f t="shared" si="2"/>
        <v>108584582</v>
      </c>
      <c r="V777" s="70"/>
    </row>
    <row r="778" ht="25.5" customHeight="1">
      <c r="A778" s="66">
        <v>46190.0</v>
      </c>
      <c r="B778" s="127" t="s">
        <v>1339</v>
      </c>
      <c r="C778" s="56" t="s">
        <v>178</v>
      </c>
      <c r="D778" s="106" t="s">
        <v>179</v>
      </c>
      <c r="E778" s="58" t="s">
        <v>248</v>
      </c>
      <c r="F778" s="56" t="s">
        <v>819</v>
      </c>
      <c r="G778" s="68">
        <v>400.0</v>
      </c>
      <c r="H778" s="62">
        <v>288766.0</v>
      </c>
      <c r="I778" s="64">
        <v>1.155064E8</v>
      </c>
      <c r="J778" s="77">
        <v>9240512.0</v>
      </c>
      <c r="K778" s="77">
        <v>1.24746912E8</v>
      </c>
      <c r="L778" s="125" t="s">
        <v>1331</v>
      </c>
      <c r="M778" s="65">
        <f>VLOOKUP(L778,'Đơn đặt'!$C$3:$E$275,2,0)</f>
        <v>493</v>
      </c>
      <c r="N778" s="65" t="str">
        <f>VLOOKUP(L778,'Đơn đặt'!$C$3:$E$275,3,0)</f>
        <v>26/THP/03</v>
      </c>
      <c r="O778" s="128">
        <v>46190.0</v>
      </c>
      <c r="P778" s="67" t="s">
        <v>1340</v>
      </c>
      <c r="Q778" s="68">
        <v>400.0</v>
      </c>
      <c r="R778" s="129">
        <v>251353.2</v>
      </c>
      <c r="S778" s="130">
        <v>1.0054128E8</v>
      </c>
      <c r="T778" s="130">
        <v>8043302.0</v>
      </c>
      <c r="U778" s="60">
        <f t="shared" si="2"/>
        <v>108584582</v>
      </c>
      <c r="V778" s="70"/>
    </row>
    <row r="779" ht="25.5" customHeight="1">
      <c r="A779" s="66">
        <v>46174.0</v>
      </c>
      <c r="B779" s="67" t="s">
        <v>1341</v>
      </c>
      <c r="C779" s="67" t="s">
        <v>59</v>
      </c>
      <c r="D779" s="67" t="s">
        <v>105</v>
      </c>
      <c r="E779" s="58" t="s">
        <v>70</v>
      </c>
      <c r="F779" s="67" t="s">
        <v>71</v>
      </c>
      <c r="G779" s="68">
        <v>3900.0</v>
      </c>
      <c r="H779" s="76">
        <v>19206.0</v>
      </c>
      <c r="I779" s="77">
        <v>7.49034E7</v>
      </c>
      <c r="J779" s="77">
        <v>5992272.0</v>
      </c>
      <c r="K779" s="77">
        <v>8.0895672E7</v>
      </c>
      <c r="L779" s="131" t="s">
        <v>1125</v>
      </c>
      <c r="M779" s="65" t="str">
        <f>VLOOKUP(L779,'Đơn đặt'!$C$3:$E$275,2,0)</f>
        <v>03-12-TS</v>
      </c>
      <c r="N779" s="65" t="str">
        <f>VLOOKUP(L779,'Đơn đặt'!$C$3:$E$275,3,0)</f>
        <v>37-2026/TS-AVP/ĐĐH</v>
      </c>
      <c r="O779" s="66">
        <v>46174.0</v>
      </c>
      <c r="P779" s="67" t="s">
        <v>1342</v>
      </c>
      <c r="Q779" s="68">
        <v>3900.0</v>
      </c>
      <c r="R779" s="76">
        <v>17073.2</v>
      </c>
      <c r="S779" s="132">
        <f t="shared" ref="S779:S780" si="162">Q779*R779</f>
        <v>66585480</v>
      </c>
      <c r="T779" s="132">
        <f t="shared" ref="T779:T780" si="163">S779*0.08</f>
        <v>5326838.4</v>
      </c>
      <c r="U779" s="132">
        <f t="shared" si="2"/>
        <v>71912318.4</v>
      </c>
      <c r="V779" s="70"/>
    </row>
    <row r="780" ht="25.5" customHeight="1">
      <c r="A780" s="66">
        <v>46174.0</v>
      </c>
      <c r="B780" s="67" t="s">
        <v>1343</v>
      </c>
      <c r="C780" s="67" t="s">
        <v>41</v>
      </c>
      <c r="D780" s="67" t="s">
        <v>40</v>
      </c>
      <c r="E780" s="58" t="s">
        <v>70</v>
      </c>
      <c r="F780" s="67" t="s">
        <v>71</v>
      </c>
      <c r="G780" s="68">
        <v>400.0</v>
      </c>
      <c r="H780" s="76">
        <v>21025.0</v>
      </c>
      <c r="I780" s="77">
        <v>8410000.0</v>
      </c>
      <c r="J780" s="77">
        <v>672800.0</v>
      </c>
      <c r="K780" s="77">
        <v>9082800.0</v>
      </c>
      <c r="L780" s="131" t="s">
        <v>1093</v>
      </c>
      <c r="M780" s="65" t="str">
        <f>VLOOKUP(L780,'Đơn đặt'!$C$3:$E$275,2,0)</f>
        <v>04-08-TS</v>
      </c>
      <c r="N780" s="65" t="str">
        <f>VLOOKUP(L780,'Đơn đặt'!$C$3:$E$275,3,0)</f>
        <v>47-2026/TS-AVP/ĐĐH</v>
      </c>
      <c r="O780" s="66">
        <v>46174.0</v>
      </c>
      <c r="P780" s="67" t="s">
        <v>1342</v>
      </c>
      <c r="Q780" s="68">
        <f>G780</f>
        <v>400</v>
      </c>
      <c r="R780" s="76">
        <v>18797.0</v>
      </c>
      <c r="S780" s="133">
        <f t="shared" si="162"/>
        <v>7518800</v>
      </c>
      <c r="T780" s="133">
        <f t="shared" si="163"/>
        <v>601504</v>
      </c>
      <c r="U780" s="132">
        <f t="shared" si="2"/>
        <v>8120304</v>
      </c>
      <c r="V780" s="70"/>
    </row>
    <row r="781" ht="25.5" customHeight="1">
      <c r="A781" s="66">
        <v>46174.0</v>
      </c>
      <c r="B781" s="67" t="s">
        <v>1343</v>
      </c>
      <c r="C781" s="67" t="s">
        <v>387</v>
      </c>
      <c r="D781" s="67" t="s">
        <v>506</v>
      </c>
      <c r="E781" s="58" t="s">
        <v>70</v>
      </c>
      <c r="F781" s="67" t="s">
        <v>71</v>
      </c>
      <c r="G781" s="68">
        <v>150.0</v>
      </c>
      <c r="H781" s="76">
        <v>20374.0</v>
      </c>
      <c r="I781" s="77">
        <v>3056100.0</v>
      </c>
      <c r="J781" s="77">
        <v>244488.0</v>
      </c>
      <c r="K781" s="77">
        <v>3300588.0</v>
      </c>
      <c r="L781" s="131" t="s">
        <v>1344</v>
      </c>
      <c r="M781" s="65" t="str">
        <f>VLOOKUP(L781,'Đơn đặt'!$C$3:$E$275,2,0)</f>
        <v>05-09-TS</v>
      </c>
      <c r="N781" s="65" t="str">
        <f>VLOOKUP(L781,'Đơn đặt'!$C$3:$E$275,3,0)</f>
        <v>68-2026/TS-AVP/ĐĐH</v>
      </c>
      <c r="O781" s="66">
        <v>46174.0</v>
      </c>
      <c r="P781" s="67" t="s">
        <v>1342</v>
      </c>
      <c r="Q781" s="68">
        <v>150.0</v>
      </c>
      <c r="R781" s="76">
        <v>19250.8</v>
      </c>
      <c r="S781" s="77">
        <v>2887620.0</v>
      </c>
      <c r="T781" s="77">
        <v>231010.0</v>
      </c>
      <c r="U781" s="132">
        <f t="shared" si="2"/>
        <v>3118630</v>
      </c>
      <c r="V781" s="70"/>
    </row>
    <row r="782" ht="25.5" customHeight="1">
      <c r="A782" s="66">
        <v>46174.0</v>
      </c>
      <c r="B782" s="67" t="s">
        <v>1343</v>
      </c>
      <c r="C782" s="67" t="s">
        <v>119</v>
      </c>
      <c r="D782" s="67" t="s">
        <v>120</v>
      </c>
      <c r="E782" s="58" t="s">
        <v>70</v>
      </c>
      <c r="F782" s="67" t="s">
        <v>71</v>
      </c>
      <c r="G782" s="68">
        <v>2000.0</v>
      </c>
      <c r="H782" s="76">
        <v>20276.0</v>
      </c>
      <c r="I782" s="77">
        <v>4.0552E7</v>
      </c>
      <c r="J782" s="77">
        <v>3244160.0</v>
      </c>
      <c r="K782" s="77">
        <v>4.379616E7</v>
      </c>
      <c r="L782" s="131" t="s">
        <v>1220</v>
      </c>
      <c r="M782" s="65" t="str">
        <f>VLOOKUP(L782,'Đơn đặt'!$C$3:$E$275,2,0)</f>
        <v>02-11-TS</v>
      </c>
      <c r="N782" s="65" t="str">
        <f>VLOOKUP(L782,'Đơn đặt'!$C$3:$E$275,3,0)</f>
        <v>52-2026/TS-AVP/ĐĐH</v>
      </c>
      <c r="O782" s="66">
        <v>46174.0</v>
      </c>
      <c r="P782" s="67" t="s">
        <v>1342</v>
      </c>
      <c r="Q782" s="68">
        <v>2000.0</v>
      </c>
      <c r="R782" s="76">
        <v>18311.2</v>
      </c>
      <c r="S782" s="77">
        <v>3.66224E7</v>
      </c>
      <c r="T782" s="77">
        <v>2929792.0</v>
      </c>
      <c r="U782" s="132">
        <f t="shared" si="2"/>
        <v>39552192</v>
      </c>
      <c r="V782" s="70"/>
    </row>
    <row r="783" ht="25.5" customHeight="1">
      <c r="A783" s="66">
        <v>46174.0</v>
      </c>
      <c r="B783" s="67" t="s">
        <v>1343</v>
      </c>
      <c r="C783" s="67" t="s">
        <v>244</v>
      </c>
      <c r="D783" s="67" t="s">
        <v>245</v>
      </c>
      <c r="E783" s="58" t="s">
        <v>70</v>
      </c>
      <c r="F783" s="67" t="s">
        <v>71</v>
      </c>
      <c r="G783" s="68">
        <v>1920.0</v>
      </c>
      <c r="H783" s="76">
        <v>19901.0</v>
      </c>
      <c r="I783" s="77">
        <v>3.820992E7</v>
      </c>
      <c r="J783" s="77">
        <v>3056794.0</v>
      </c>
      <c r="K783" s="77">
        <v>4.1266714E7</v>
      </c>
      <c r="L783" s="131" t="s">
        <v>1093</v>
      </c>
      <c r="M783" s="65" t="str">
        <f>VLOOKUP(L783,'Đơn đặt'!$C$3:$E$275,2,0)</f>
        <v>04-08-TS</v>
      </c>
      <c r="N783" s="65" t="str">
        <f>VLOOKUP(L783,'Đơn đặt'!$C$3:$E$275,3,0)</f>
        <v>47-2026/TS-AVP/ĐĐH</v>
      </c>
      <c r="O783" s="66">
        <v>46174.0</v>
      </c>
      <c r="P783" s="67" t="s">
        <v>1342</v>
      </c>
      <c r="Q783" s="68">
        <v>1920.0</v>
      </c>
      <c r="R783" s="76">
        <v>19156.2</v>
      </c>
      <c r="S783" s="77">
        <v>3.6779904E7</v>
      </c>
      <c r="T783" s="77">
        <v>2942392.0</v>
      </c>
      <c r="U783" s="132">
        <f t="shared" si="2"/>
        <v>39722296</v>
      </c>
      <c r="V783" s="70"/>
    </row>
    <row r="784" ht="25.5" customHeight="1">
      <c r="A784" s="66">
        <v>46174.0</v>
      </c>
      <c r="B784" s="67" t="s">
        <v>1345</v>
      </c>
      <c r="C784" s="67" t="s">
        <v>48</v>
      </c>
      <c r="D784" s="67" t="s">
        <v>47</v>
      </c>
      <c r="E784" s="58" t="s">
        <v>70</v>
      </c>
      <c r="F784" s="67" t="s">
        <v>71</v>
      </c>
      <c r="G784" s="68">
        <v>2000.0</v>
      </c>
      <c r="H784" s="76">
        <v>19206.0</v>
      </c>
      <c r="I784" s="77">
        <f t="shared" ref="I784:I785" si="164">G784*H784</f>
        <v>38412000</v>
      </c>
      <c r="J784" s="77">
        <f t="shared" ref="J784:J785" si="165">I784*0.08</f>
        <v>3072960</v>
      </c>
      <c r="K784" s="77">
        <v>1.2445488E8</v>
      </c>
      <c r="L784" s="131" t="s">
        <v>1125</v>
      </c>
      <c r="M784" s="65" t="str">
        <f>VLOOKUP(L784,'Đơn đặt'!$C$3:$E$275,2,0)</f>
        <v>03-12-TS</v>
      </c>
      <c r="N784" s="65" t="str">
        <f>VLOOKUP(L784,'Đơn đặt'!$C$3:$E$275,3,0)</f>
        <v>37-2026/TS-AVP/ĐĐH</v>
      </c>
      <c r="O784" s="66">
        <v>46174.0</v>
      </c>
      <c r="P784" s="67" t="s">
        <v>1346</v>
      </c>
      <c r="Q784" s="68">
        <v>2000.0</v>
      </c>
      <c r="R784" s="68">
        <v>15209.2</v>
      </c>
      <c r="S784" s="68">
        <f t="shared" ref="S784:S785" si="166">Q784*R784</f>
        <v>30418400</v>
      </c>
      <c r="T784" s="68">
        <f t="shared" ref="T784:T785" si="167">S784*0.08</f>
        <v>2433472</v>
      </c>
      <c r="U784" s="132">
        <f t="shared" si="2"/>
        <v>32851872</v>
      </c>
      <c r="V784" s="70"/>
    </row>
    <row r="785" ht="25.5" customHeight="1">
      <c r="A785" s="66">
        <v>46174.0</v>
      </c>
      <c r="B785" s="67" t="s">
        <v>1345</v>
      </c>
      <c r="C785" s="67" t="s">
        <v>48</v>
      </c>
      <c r="D785" s="67" t="s">
        <v>47</v>
      </c>
      <c r="E785" s="58" t="s">
        <v>70</v>
      </c>
      <c r="F785" s="67" t="s">
        <v>71</v>
      </c>
      <c r="G785" s="68">
        <v>4000.0</v>
      </c>
      <c r="H785" s="76">
        <v>19206.0</v>
      </c>
      <c r="I785" s="77">
        <f t="shared" si="164"/>
        <v>76824000</v>
      </c>
      <c r="J785" s="77">
        <f t="shared" si="165"/>
        <v>6145920</v>
      </c>
      <c r="K785" s="77">
        <v>1.2445488E8</v>
      </c>
      <c r="L785" s="131" t="s">
        <v>1093</v>
      </c>
      <c r="M785" s="65" t="str">
        <f>VLOOKUP(L785,'Đơn đặt'!$C$3:$E$275,2,0)</f>
        <v>04-08-TS</v>
      </c>
      <c r="N785" s="65" t="str">
        <f>VLOOKUP(L785,'Đơn đặt'!$C$3:$E$275,3,0)</f>
        <v>47-2026/TS-AVP/ĐĐH</v>
      </c>
      <c r="O785" s="66">
        <v>46174.0</v>
      </c>
      <c r="P785" s="67" t="s">
        <v>1346</v>
      </c>
      <c r="Q785" s="68">
        <v>4000.0</v>
      </c>
      <c r="R785" s="68">
        <v>15209.2</v>
      </c>
      <c r="S785" s="68">
        <f t="shared" si="166"/>
        <v>60836800</v>
      </c>
      <c r="T785" s="68">
        <f t="shared" si="167"/>
        <v>4866944</v>
      </c>
      <c r="U785" s="132">
        <f t="shared" si="2"/>
        <v>65703744</v>
      </c>
      <c r="V785" s="70"/>
    </row>
    <row r="786" ht="25.5" customHeight="1">
      <c r="A786" s="66">
        <v>46174.0</v>
      </c>
      <c r="B786" s="67" t="s">
        <v>1345</v>
      </c>
      <c r="C786" s="67" t="s">
        <v>50</v>
      </c>
      <c r="D786" s="67" t="s">
        <v>49</v>
      </c>
      <c r="E786" s="58" t="s">
        <v>70</v>
      </c>
      <c r="F786" s="67" t="s">
        <v>71</v>
      </c>
      <c r="G786" s="68">
        <v>2000.0</v>
      </c>
      <c r="H786" s="76">
        <v>19206.0</v>
      </c>
      <c r="I786" s="77">
        <v>3.8412E7</v>
      </c>
      <c r="J786" s="77">
        <v>3072960.0</v>
      </c>
      <c r="K786" s="77">
        <v>4.148496E7</v>
      </c>
      <c r="L786" s="131" t="s">
        <v>1125</v>
      </c>
      <c r="M786" s="65" t="str">
        <f>VLOOKUP(L786,'Đơn đặt'!$C$3:$E$275,2,0)</f>
        <v>03-12-TS</v>
      </c>
      <c r="N786" s="65" t="str">
        <f>VLOOKUP(L786,'Đơn đặt'!$C$3:$E$275,3,0)</f>
        <v>37-2026/TS-AVP/ĐĐH</v>
      </c>
      <c r="O786" s="66">
        <v>46174.0</v>
      </c>
      <c r="P786" s="67" t="s">
        <v>1346</v>
      </c>
      <c r="Q786" s="68">
        <v>2000.0</v>
      </c>
      <c r="R786" s="76">
        <v>15209.2</v>
      </c>
      <c r="S786" s="77">
        <v>3.04184E7</v>
      </c>
      <c r="T786" s="77">
        <v>2433472.0</v>
      </c>
      <c r="U786" s="132"/>
      <c r="V786" s="70"/>
    </row>
    <row r="787" ht="25.5" customHeight="1">
      <c r="A787" s="66">
        <v>46174.0</v>
      </c>
      <c r="B787" s="67" t="s">
        <v>1347</v>
      </c>
      <c r="C787" s="67" t="s">
        <v>59</v>
      </c>
      <c r="D787" s="67" t="s">
        <v>105</v>
      </c>
      <c r="E787" s="58" t="s">
        <v>70</v>
      </c>
      <c r="F787" s="67" t="s">
        <v>71</v>
      </c>
      <c r="G787" s="68">
        <v>890.0</v>
      </c>
      <c r="H787" s="76">
        <v>19206.0</v>
      </c>
      <c r="I787" s="77">
        <v>1.709334E7</v>
      </c>
      <c r="J787" s="77">
        <v>1367467.0</v>
      </c>
      <c r="K787" s="77">
        <v>1.8460807E7</v>
      </c>
      <c r="L787" s="131" t="s">
        <v>1125</v>
      </c>
      <c r="M787" s="65" t="str">
        <f>VLOOKUP(L787,'Đơn đặt'!$C$3:$E$275,2,0)</f>
        <v>03-12-TS</v>
      </c>
      <c r="N787" s="65" t="str">
        <f>VLOOKUP(L787,'Đơn đặt'!$C$3:$E$275,3,0)</f>
        <v>37-2026/TS-AVP/ĐĐH</v>
      </c>
      <c r="O787" s="66">
        <v>46174.0</v>
      </c>
      <c r="P787" s="67" t="s">
        <v>1342</v>
      </c>
      <c r="Q787" s="68">
        <v>890.0</v>
      </c>
      <c r="R787" s="76">
        <v>17073.2</v>
      </c>
      <c r="S787" s="132">
        <f t="shared" ref="S787:S788" si="168">Q787*R787</f>
        <v>15195148</v>
      </c>
      <c r="T787" s="132">
        <f t="shared" ref="T787:T788" si="169">S787*0.08</f>
        <v>1215611.84</v>
      </c>
      <c r="U787" s="132">
        <f t="shared" ref="U787:U788" si="170">S787+T787</f>
        <v>16410759.84</v>
      </c>
      <c r="V787" s="70"/>
    </row>
    <row r="788" ht="25.5" customHeight="1">
      <c r="A788" s="66">
        <v>46174.0</v>
      </c>
      <c r="B788" s="67" t="s">
        <v>1347</v>
      </c>
      <c r="C788" s="67" t="s">
        <v>41</v>
      </c>
      <c r="D788" s="67" t="s">
        <v>40</v>
      </c>
      <c r="E788" s="58" t="s">
        <v>70</v>
      </c>
      <c r="F788" s="67" t="s">
        <v>71</v>
      </c>
      <c r="G788" s="68">
        <v>2330.0</v>
      </c>
      <c r="H788" s="76">
        <v>21025.0</v>
      </c>
      <c r="I788" s="77">
        <v>4.898825E7</v>
      </c>
      <c r="J788" s="77">
        <v>3919060.0</v>
      </c>
      <c r="K788" s="77">
        <v>5.290731E7</v>
      </c>
      <c r="L788" s="131" t="s">
        <v>1093</v>
      </c>
      <c r="M788" s="65" t="str">
        <f>VLOOKUP(L788,'Đơn đặt'!$C$3:$E$275,2,0)</f>
        <v>04-08-TS</v>
      </c>
      <c r="N788" s="65" t="str">
        <f>VLOOKUP(L788,'Đơn đặt'!$C$3:$E$275,3,0)</f>
        <v>47-2026/TS-AVP/ĐĐH</v>
      </c>
      <c r="O788" s="66">
        <v>46174.0</v>
      </c>
      <c r="P788" s="67" t="s">
        <v>1342</v>
      </c>
      <c r="Q788" s="132">
        <f>G788</f>
        <v>2330</v>
      </c>
      <c r="R788" s="76">
        <v>18797.0</v>
      </c>
      <c r="S788" s="133">
        <f t="shared" si="168"/>
        <v>43797010</v>
      </c>
      <c r="T788" s="133">
        <f t="shared" si="169"/>
        <v>3503760.8</v>
      </c>
      <c r="U788" s="132">
        <f t="shared" si="170"/>
        <v>47300770.8</v>
      </c>
      <c r="V788" s="70"/>
    </row>
    <row r="789" ht="25.5" customHeight="1">
      <c r="A789" s="66">
        <v>46175.0</v>
      </c>
      <c r="B789" s="67" t="s">
        <v>873</v>
      </c>
      <c r="C789" s="67" t="s">
        <v>247</v>
      </c>
      <c r="D789" s="67" t="s">
        <v>380</v>
      </c>
      <c r="E789" s="58" t="s">
        <v>70</v>
      </c>
      <c r="F789" s="67" t="s">
        <v>71</v>
      </c>
      <c r="G789" s="68">
        <v>3000.0</v>
      </c>
      <c r="H789" s="76">
        <v>19283.0</v>
      </c>
      <c r="I789" s="77">
        <v>5.7849E7</v>
      </c>
      <c r="J789" s="77">
        <v>4627920.0</v>
      </c>
      <c r="K789" s="77">
        <v>6.247692E7</v>
      </c>
      <c r="L789" s="131" t="s">
        <v>1093</v>
      </c>
      <c r="M789" s="65" t="str">
        <f>VLOOKUP(L789,'Đơn đặt'!$C$3:$E$275,2,0)</f>
        <v>04-08-TS</v>
      </c>
      <c r="N789" s="65" t="str">
        <f>VLOOKUP(L789,'Đơn đặt'!$C$3:$E$275,3,0)</f>
        <v>47-2026/TS-AVP/ĐĐH</v>
      </c>
      <c r="O789" s="66">
        <v>46175.0</v>
      </c>
      <c r="P789" s="67" t="s">
        <v>1348</v>
      </c>
      <c r="Q789" s="68">
        <v>3000.0</v>
      </c>
      <c r="R789" s="76">
        <v>18448.6</v>
      </c>
      <c r="S789" s="77">
        <v>5.53458E7</v>
      </c>
      <c r="T789" s="77">
        <v>4427664.0</v>
      </c>
      <c r="U789" s="132"/>
      <c r="V789" s="70"/>
    </row>
    <row r="790" ht="25.5" customHeight="1">
      <c r="A790" s="66">
        <v>46175.0</v>
      </c>
      <c r="B790" s="67" t="s">
        <v>1349</v>
      </c>
      <c r="C790" s="67" t="s">
        <v>14</v>
      </c>
      <c r="D790" s="67" t="s">
        <v>13</v>
      </c>
      <c r="E790" s="58" t="s">
        <v>70</v>
      </c>
      <c r="F790" s="67" t="s">
        <v>71</v>
      </c>
      <c r="G790" s="68">
        <v>2560.0</v>
      </c>
      <c r="H790" s="76">
        <v>20374.0</v>
      </c>
      <c r="I790" s="77">
        <v>5.215744E7</v>
      </c>
      <c r="J790" s="77">
        <v>4172595.0</v>
      </c>
      <c r="K790" s="77">
        <v>5.6330035E7</v>
      </c>
      <c r="L790" s="131" t="s">
        <v>1125</v>
      </c>
      <c r="M790" s="65" t="str">
        <f>VLOOKUP(L790,'Đơn đặt'!$C$3:$E$275,2,0)</f>
        <v>03-12-TS</v>
      </c>
      <c r="N790" s="65" t="str">
        <f>VLOOKUP(L790,'Đơn đặt'!$C$3:$E$275,3,0)</f>
        <v>37-2026/TS-AVP/ĐĐH</v>
      </c>
      <c r="O790" s="66">
        <v>46175.0</v>
      </c>
      <c r="P790" s="67" t="s">
        <v>1348</v>
      </c>
      <c r="Q790" s="68">
        <v>2560.0</v>
      </c>
      <c r="R790" s="76">
        <v>18666.8</v>
      </c>
      <c r="S790" s="77">
        <v>4.7787008E7</v>
      </c>
      <c r="T790" s="77">
        <v>3822961.0</v>
      </c>
      <c r="U790" s="132">
        <f t="shared" ref="U790:U795" si="171">S790+T790</f>
        <v>51609969</v>
      </c>
      <c r="V790" s="70"/>
    </row>
    <row r="791" ht="25.5" customHeight="1">
      <c r="A791" s="66">
        <v>46175.0</v>
      </c>
      <c r="B791" s="67" t="s">
        <v>1349</v>
      </c>
      <c r="C791" s="67" t="s">
        <v>272</v>
      </c>
      <c r="D791" s="67" t="s">
        <v>273</v>
      </c>
      <c r="E791" s="58" t="s">
        <v>70</v>
      </c>
      <c r="F791" s="67" t="s">
        <v>71</v>
      </c>
      <c r="G791" s="68">
        <v>1500.0</v>
      </c>
      <c r="H791" s="76">
        <v>18191.0</v>
      </c>
      <c r="I791" s="77">
        <v>2.72865E7</v>
      </c>
      <c r="J791" s="77">
        <v>2182920.0</v>
      </c>
      <c r="K791" s="77">
        <v>2.946942E7</v>
      </c>
      <c r="L791" s="131" t="s">
        <v>1220</v>
      </c>
      <c r="M791" s="65" t="str">
        <f>VLOOKUP(L791,'Đơn đặt'!$C$3:$E$275,2,0)</f>
        <v>02-11-TS</v>
      </c>
      <c r="N791" s="65" t="str">
        <f>VLOOKUP(L791,'Đơn đặt'!$C$3:$E$275,3,0)</f>
        <v>52-2026/TS-AVP/ĐĐH</v>
      </c>
      <c r="O791" s="66">
        <v>46175.0</v>
      </c>
      <c r="P791" s="67" t="s">
        <v>1348</v>
      </c>
      <c r="Q791" s="68">
        <v>1500.0</v>
      </c>
      <c r="R791" s="76">
        <v>17334.2</v>
      </c>
      <c r="S791" s="77">
        <v>2.60013E7</v>
      </c>
      <c r="T791" s="77">
        <v>2080104.0</v>
      </c>
      <c r="U791" s="132">
        <f t="shared" si="171"/>
        <v>28081404</v>
      </c>
      <c r="V791" s="70"/>
    </row>
    <row r="792" ht="25.5" customHeight="1">
      <c r="A792" s="66">
        <v>46175.0</v>
      </c>
      <c r="B792" s="67" t="s">
        <v>1349</v>
      </c>
      <c r="C792" s="67" t="s">
        <v>35</v>
      </c>
      <c r="D792" s="67" t="s">
        <v>34</v>
      </c>
      <c r="E792" s="58" t="s">
        <v>70</v>
      </c>
      <c r="F792" s="67" t="s">
        <v>71</v>
      </c>
      <c r="G792" s="68">
        <v>440.0</v>
      </c>
      <c r="H792" s="76">
        <v>15645.0</v>
      </c>
      <c r="I792" s="77">
        <v>6883800.0</v>
      </c>
      <c r="J792" s="77">
        <v>550704.0</v>
      </c>
      <c r="K792" s="77">
        <v>7434504.0</v>
      </c>
      <c r="L792" s="131" t="s">
        <v>1350</v>
      </c>
      <c r="M792" s="65" t="str">
        <f>VLOOKUP(L792,'Đơn đặt'!$C$3:$E$275,2,0)</f>
        <v>05-09-TS</v>
      </c>
      <c r="N792" s="65" t="str">
        <f>VLOOKUP(L792,'Đơn đặt'!$C$3:$E$275,3,0)</f>
        <v>68-2026/TS-AVP/ĐĐH</v>
      </c>
      <c r="O792" s="66">
        <v>46175.0</v>
      </c>
      <c r="P792" s="67" t="s">
        <v>1348</v>
      </c>
      <c r="Q792" s="68">
        <v>440.0</v>
      </c>
      <c r="R792" s="76">
        <v>14849.0</v>
      </c>
      <c r="S792" s="77">
        <v>6533560.0</v>
      </c>
      <c r="T792" s="77">
        <v>522684.0</v>
      </c>
      <c r="U792" s="132">
        <f t="shared" si="171"/>
        <v>7056244</v>
      </c>
      <c r="V792" s="70"/>
    </row>
    <row r="793" ht="25.5" customHeight="1">
      <c r="A793" s="66">
        <v>46175.0</v>
      </c>
      <c r="B793" s="67" t="s">
        <v>1351</v>
      </c>
      <c r="C793" s="67" t="s">
        <v>55</v>
      </c>
      <c r="D793" s="67" t="s">
        <v>53</v>
      </c>
      <c r="E793" s="58" t="s">
        <v>70</v>
      </c>
      <c r="F793" s="67" t="s">
        <v>71</v>
      </c>
      <c r="G793" s="68">
        <v>1500.0</v>
      </c>
      <c r="H793" s="76">
        <v>21025.0</v>
      </c>
      <c r="I793" s="77">
        <v>3.15375E7</v>
      </c>
      <c r="J793" s="77">
        <v>2523000.0</v>
      </c>
      <c r="K793" s="77">
        <v>3.40605E7</v>
      </c>
      <c r="L793" s="131" t="s">
        <v>1093</v>
      </c>
      <c r="M793" s="65" t="str">
        <f>VLOOKUP(L793,'Đơn đặt'!$C$3:$E$275,2,0)</f>
        <v>04-08-TS</v>
      </c>
      <c r="N793" s="65" t="str">
        <f>VLOOKUP(L793,'Đơn đặt'!$C$3:$E$275,3,0)</f>
        <v>47-2026/TS-AVP/ĐĐH</v>
      </c>
      <c r="O793" s="66">
        <v>46175.0</v>
      </c>
      <c r="P793" s="67" t="s">
        <v>1352</v>
      </c>
      <c r="Q793" s="68">
        <v>1500.0</v>
      </c>
      <c r="R793" s="76">
        <v>17629.0</v>
      </c>
      <c r="S793" s="77">
        <v>2.64435E7</v>
      </c>
      <c r="T793" s="77">
        <v>2115480.0</v>
      </c>
      <c r="U793" s="132">
        <f t="shared" si="171"/>
        <v>28558980</v>
      </c>
      <c r="V793" s="70"/>
    </row>
    <row r="794" ht="25.5" customHeight="1">
      <c r="A794" s="66">
        <v>46175.0</v>
      </c>
      <c r="B794" s="67" t="s">
        <v>1353</v>
      </c>
      <c r="C794" s="67" t="s">
        <v>77</v>
      </c>
      <c r="D794" s="67" t="s">
        <v>78</v>
      </c>
      <c r="E794" s="58" t="s">
        <v>70</v>
      </c>
      <c r="F794" s="67" t="s">
        <v>71</v>
      </c>
      <c r="G794" s="68">
        <v>2000.0</v>
      </c>
      <c r="H794" s="76">
        <v>22866.0</v>
      </c>
      <c r="I794" s="77">
        <v>4.5732E7</v>
      </c>
      <c r="J794" s="77">
        <v>3658560.0</v>
      </c>
      <c r="K794" s="77">
        <v>4.939056E7</v>
      </c>
      <c r="L794" s="131" t="s">
        <v>1281</v>
      </c>
      <c r="M794" s="65" t="str">
        <f>VLOOKUP(L794,'Đơn đặt'!$C$3:$E$275,2,0)</f>
        <v>05-06-TS</v>
      </c>
      <c r="N794" s="65" t="str">
        <f>VLOOKUP(L794,'Đơn đặt'!$C$3:$E$275,3,0)</f>
        <v>64-2026/TS-AVP/ĐĐH</v>
      </c>
      <c r="O794" s="66">
        <v>46175.0</v>
      </c>
      <c r="P794" s="67" t="s">
        <v>1354</v>
      </c>
      <c r="Q794" s="68">
        <v>2000.0</v>
      </c>
      <c r="R794" s="76">
        <v>20709.2</v>
      </c>
      <c r="S794" s="77">
        <v>4.14184E7</v>
      </c>
      <c r="T794" s="77">
        <v>3313472.0</v>
      </c>
      <c r="U794" s="132">
        <f t="shared" si="171"/>
        <v>44731872</v>
      </c>
      <c r="V794" s="70"/>
    </row>
    <row r="795" ht="25.5" customHeight="1">
      <c r="A795" s="66">
        <v>46176.0</v>
      </c>
      <c r="B795" s="67" t="s">
        <v>1355</v>
      </c>
      <c r="C795" s="67" t="s">
        <v>48</v>
      </c>
      <c r="D795" s="67" t="s">
        <v>47</v>
      </c>
      <c r="E795" s="58" t="s">
        <v>70</v>
      </c>
      <c r="F795" s="67" t="s">
        <v>71</v>
      </c>
      <c r="G795" s="68">
        <v>710.0</v>
      </c>
      <c r="H795" s="76">
        <v>19206.0</v>
      </c>
      <c r="I795" s="77">
        <v>1.363626E7</v>
      </c>
      <c r="J795" s="77">
        <v>1090901.0</v>
      </c>
      <c r="K795" s="77">
        <v>1.4727161E7</v>
      </c>
      <c r="L795" s="131" t="s">
        <v>1093</v>
      </c>
      <c r="M795" s="65" t="str">
        <f>VLOOKUP(L795,'Đơn đặt'!$C$3:$E$275,2,0)</f>
        <v>04-08-TS</v>
      </c>
      <c r="N795" s="65" t="str">
        <f>VLOOKUP(L795,'Đơn đặt'!$C$3:$E$275,3,0)</f>
        <v>47-2026/TS-AVP/ĐĐH</v>
      </c>
      <c r="O795" s="66">
        <v>46176.0</v>
      </c>
      <c r="P795" s="67" t="s">
        <v>1356</v>
      </c>
      <c r="Q795" s="68">
        <v>710.0</v>
      </c>
      <c r="R795" s="68">
        <v>15209.2</v>
      </c>
      <c r="S795" s="68">
        <v>1.0798532E7</v>
      </c>
      <c r="T795" s="68">
        <v>863883.0</v>
      </c>
      <c r="U795" s="132">
        <f t="shared" si="171"/>
        <v>11662415</v>
      </c>
      <c r="V795" s="70"/>
    </row>
    <row r="796" ht="25.5" customHeight="1">
      <c r="A796" s="66">
        <v>46176.0</v>
      </c>
      <c r="B796" s="67" t="s">
        <v>1355</v>
      </c>
      <c r="C796" s="67" t="s">
        <v>50</v>
      </c>
      <c r="D796" s="67" t="s">
        <v>49</v>
      </c>
      <c r="E796" s="58" t="s">
        <v>70</v>
      </c>
      <c r="F796" s="67" t="s">
        <v>71</v>
      </c>
      <c r="G796" s="68">
        <v>1000.0</v>
      </c>
      <c r="H796" s="76">
        <v>19206.0</v>
      </c>
      <c r="I796" s="77">
        <v>1.9206E7</v>
      </c>
      <c r="J796" s="77">
        <v>1536480.0</v>
      </c>
      <c r="K796" s="77">
        <v>2.074248E7</v>
      </c>
      <c r="L796" s="131" t="s">
        <v>1125</v>
      </c>
      <c r="M796" s="65" t="str">
        <f>VLOOKUP(L796,'Đơn đặt'!$C$3:$E$275,2,0)</f>
        <v>03-12-TS</v>
      </c>
      <c r="N796" s="65" t="str">
        <f>VLOOKUP(L796,'Đơn đặt'!$C$3:$E$275,3,0)</f>
        <v>37-2026/TS-AVP/ĐĐH</v>
      </c>
      <c r="O796" s="66">
        <v>46176.0</v>
      </c>
      <c r="P796" s="67" t="s">
        <v>1356</v>
      </c>
      <c r="Q796" s="68">
        <v>1000.0</v>
      </c>
      <c r="R796" s="76">
        <v>15209.2</v>
      </c>
      <c r="S796" s="77">
        <v>1.52092E7</v>
      </c>
      <c r="T796" s="77">
        <v>1216736.0</v>
      </c>
      <c r="U796" s="132"/>
      <c r="V796" s="70"/>
    </row>
    <row r="797" ht="25.5" customHeight="1">
      <c r="A797" s="66">
        <v>46176.0</v>
      </c>
      <c r="B797" s="67" t="s">
        <v>1357</v>
      </c>
      <c r="C797" s="67" t="s">
        <v>48</v>
      </c>
      <c r="D797" s="67" t="s">
        <v>47</v>
      </c>
      <c r="E797" s="58" t="s">
        <v>70</v>
      </c>
      <c r="F797" s="67" t="s">
        <v>71</v>
      </c>
      <c r="G797" s="68">
        <v>4480.0</v>
      </c>
      <c r="H797" s="76">
        <v>19206.0</v>
      </c>
      <c r="I797" s="77">
        <v>8.604288E7</v>
      </c>
      <c r="J797" s="77">
        <v>6883430.0</v>
      </c>
      <c r="K797" s="77">
        <v>9.292631E7</v>
      </c>
      <c r="L797" s="131" t="s">
        <v>1093</v>
      </c>
      <c r="M797" s="65" t="str">
        <f>VLOOKUP(L797,'Đơn đặt'!$C$3:$E$275,2,0)</f>
        <v>04-08-TS</v>
      </c>
      <c r="N797" s="65" t="str">
        <f>VLOOKUP(L797,'Đơn đặt'!$C$3:$E$275,3,0)</f>
        <v>47-2026/TS-AVP/ĐĐH</v>
      </c>
      <c r="O797" s="66">
        <v>46176.0</v>
      </c>
      <c r="P797" s="67" t="s">
        <v>1358</v>
      </c>
      <c r="Q797" s="68">
        <v>4480.0</v>
      </c>
      <c r="R797" s="68">
        <v>15209.2</v>
      </c>
      <c r="S797" s="68">
        <v>6.8137216E7</v>
      </c>
      <c r="T797" s="68">
        <v>5450977.0</v>
      </c>
      <c r="U797" s="132">
        <f t="shared" ref="U797:U932" si="172">S797+T797</f>
        <v>73588193</v>
      </c>
      <c r="V797" s="70"/>
    </row>
    <row r="798" ht="25.5" customHeight="1">
      <c r="A798" s="66">
        <v>46176.0</v>
      </c>
      <c r="B798" s="67" t="s">
        <v>1359</v>
      </c>
      <c r="C798" s="67" t="s">
        <v>59</v>
      </c>
      <c r="D798" s="67" t="s">
        <v>105</v>
      </c>
      <c r="E798" s="58" t="s">
        <v>70</v>
      </c>
      <c r="F798" s="67" t="s">
        <v>71</v>
      </c>
      <c r="G798" s="68">
        <v>2000.0</v>
      </c>
      <c r="H798" s="76">
        <v>19206.0</v>
      </c>
      <c r="I798" s="77">
        <v>3.8412E7</v>
      </c>
      <c r="J798" s="77">
        <v>3072960.0</v>
      </c>
      <c r="K798" s="77">
        <v>4.148496E7</v>
      </c>
      <c r="L798" s="131" t="s">
        <v>1125</v>
      </c>
      <c r="M798" s="65" t="str">
        <f>VLOOKUP(L798,'Đơn đặt'!$C$3:$E$275,2,0)</f>
        <v>03-12-TS</v>
      </c>
      <c r="N798" s="65" t="str">
        <f>VLOOKUP(L798,'Đơn đặt'!$C$3:$E$275,3,0)</f>
        <v>37-2026/TS-AVP/ĐĐH</v>
      </c>
      <c r="O798" s="66">
        <v>46176.0</v>
      </c>
      <c r="P798" s="67" t="s">
        <v>1360</v>
      </c>
      <c r="Q798" s="68">
        <v>2000.0</v>
      </c>
      <c r="R798" s="76">
        <v>17073.2</v>
      </c>
      <c r="S798" s="132">
        <f>Q798*R798</f>
        <v>34146400</v>
      </c>
      <c r="T798" s="132">
        <f>S798*0.08</f>
        <v>2731712</v>
      </c>
      <c r="U798" s="132">
        <f t="shared" si="172"/>
        <v>36878112</v>
      </c>
      <c r="V798" s="70"/>
    </row>
    <row r="799" ht="25.5" customHeight="1">
      <c r="A799" s="66">
        <v>46176.0</v>
      </c>
      <c r="B799" s="67" t="s">
        <v>1359</v>
      </c>
      <c r="C799" s="67" t="s">
        <v>41</v>
      </c>
      <c r="D799" s="67" t="s">
        <v>40</v>
      </c>
      <c r="E799" s="58" t="s">
        <v>70</v>
      </c>
      <c r="F799" s="67" t="s">
        <v>71</v>
      </c>
      <c r="G799" s="68">
        <v>1390.0</v>
      </c>
      <c r="H799" s="76">
        <v>21025.0</v>
      </c>
      <c r="I799" s="77">
        <v>2.922475E7</v>
      </c>
      <c r="J799" s="77">
        <v>2337980.0</v>
      </c>
      <c r="K799" s="77">
        <v>3.156273E7</v>
      </c>
      <c r="L799" s="131" t="s">
        <v>1093</v>
      </c>
      <c r="M799" s="65" t="str">
        <f>VLOOKUP(L799,'Đơn đặt'!$C$3:$E$275,2,0)</f>
        <v>04-08-TS</v>
      </c>
      <c r="N799" s="65" t="str">
        <f>VLOOKUP(L799,'Đơn đặt'!$C$3:$E$275,3,0)</f>
        <v>47-2026/TS-AVP/ĐĐH</v>
      </c>
      <c r="O799" s="66">
        <v>46176.0</v>
      </c>
      <c r="P799" s="67" t="s">
        <v>1360</v>
      </c>
      <c r="Q799" s="68">
        <v>1390.0</v>
      </c>
      <c r="R799" s="76">
        <v>18797.0</v>
      </c>
      <c r="S799" s="77">
        <v>2.612783E7</v>
      </c>
      <c r="T799" s="77">
        <v>2090226.0</v>
      </c>
      <c r="U799" s="132">
        <f t="shared" si="172"/>
        <v>28218056</v>
      </c>
      <c r="V799" s="70"/>
    </row>
    <row r="800" ht="25.5" customHeight="1">
      <c r="A800" s="66">
        <v>46176.0</v>
      </c>
      <c r="B800" s="67" t="s">
        <v>1361</v>
      </c>
      <c r="C800" s="67" t="s">
        <v>59</v>
      </c>
      <c r="D800" s="67" t="s">
        <v>105</v>
      </c>
      <c r="E800" s="58" t="s">
        <v>70</v>
      </c>
      <c r="F800" s="67" t="s">
        <v>71</v>
      </c>
      <c r="G800" s="68">
        <v>500.0</v>
      </c>
      <c r="H800" s="76">
        <v>19206.0</v>
      </c>
      <c r="I800" s="77">
        <f t="shared" ref="I800:I801" si="173">G800*H800</f>
        <v>9603000</v>
      </c>
      <c r="J800" s="77">
        <f t="shared" ref="J800:J801" si="174">I800*0.08</f>
        <v>768240</v>
      </c>
      <c r="K800" s="77">
        <f t="shared" ref="K800:K801" si="175">I800+J800</f>
        <v>10371240</v>
      </c>
      <c r="L800" s="131" t="s">
        <v>1125</v>
      </c>
      <c r="M800" s="65" t="str">
        <f>VLOOKUP(L800,'Đơn đặt'!$C$3:$E$275,2,0)</f>
        <v>03-12-TS</v>
      </c>
      <c r="N800" s="65" t="str">
        <f>VLOOKUP(L800,'Đơn đặt'!$C$3:$E$275,3,0)</f>
        <v>37-2026/TS-AVP/ĐĐH</v>
      </c>
      <c r="O800" s="66">
        <v>46176.0</v>
      </c>
      <c r="P800" s="67" t="s">
        <v>1360</v>
      </c>
      <c r="Q800" s="68">
        <v>500.0</v>
      </c>
      <c r="R800" s="76">
        <v>17073.2</v>
      </c>
      <c r="S800" s="132">
        <f t="shared" ref="S800:S801" si="176">Q800*R800</f>
        <v>8536600</v>
      </c>
      <c r="T800" s="132">
        <f t="shared" ref="T800:T801" si="177">S800*0.08</f>
        <v>682928</v>
      </c>
      <c r="U800" s="132">
        <f t="shared" si="172"/>
        <v>9219528</v>
      </c>
      <c r="V800" s="70"/>
    </row>
    <row r="801" ht="25.5" customHeight="1">
      <c r="A801" s="66">
        <v>46176.0</v>
      </c>
      <c r="B801" s="67" t="s">
        <v>1361</v>
      </c>
      <c r="C801" s="67" t="s">
        <v>59</v>
      </c>
      <c r="D801" s="67" t="s">
        <v>105</v>
      </c>
      <c r="E801" s="58" t="s">
        <v>70</v>
      </c>
      <c r="F801" s="67" t="s">
        <v>71</v>
      </c>
      <c r="G801" s="68">
        <v>700.0</v>
      </c>
      <c r="H801" s="76">
        <v>19206.0</v>
      </c>
      <c r="I801" s="77">
        <f t="shared" si="173"/>
        <v>13444200</v>
      </c>
      <c r="J801" s="77">
        <f t="shared" si="174"/>
        <v>1075536</v>
      </c>
      <c r="K801" s="77">
        <f t="shared" si="175"/>
        <v>14519736</v>
      </c>
      <c r="L801" s="131" t="s">
        <v>1093</v>
      </c>
      <c r="M801" s="65" t="str">
        <f>VLOOKUP(L801,'Đơn đặt'!$C$3:$E$275,2,0)</f>
        <v>04-08-TS</v>
      </c>
      <c r="N801" s="65" t="str">
        <f>VLOOKUP(L801,'Đơn đặt'!$C$3:$E$275,3,0)</f>
        <v>47-2026/TS-AVP/ĐĐH</v>
      </c>
      <c r="O801" s="66">
        <v>46176.0</v>
      </c>
      <c r="P801" s="67" t="s">
        <v>1360</v>
      </c>
      <c r="Q801" s="68">
        <v>700.0</v>
      </c>
      <c r="R801" s="76">
        <v>17073.2</v>
      </c>
      <c r="S801" s="132">
        <f t="shared" si="176"/>
        <v>11951240</v>
      </c>
      <c r="T801" s="132">
        <f t="shared" si="177"/>
        <v>956099.2</v>
      </c>
      <c r="U801" s="132">
        <f t="shared" si="172"/>
        <v>12907339.2</v>
      </c>
      <c r="V801" s="70"/>
    </row>
    <row r="802" ht="25.5" customHeight="1">
      <c r="A802" s="66">
        <v>46176.0</v>
      </c>
      <c r="B802" s="67" t="s">
        <v>1361</v>
      </c>
      <c r="C802" s="67" t="s">
        <v>35</v>
      </c>
      <c r="D802" s="67" t="s">
        <v>34</v>
      </c>
      <c r="E802" s="58" t="s">
        <v>70</v>
      </c>
      <c r="F802" s="67" t="s">
        <v>71</v>
      </c>
      <c r="G802" s="68">
        <v>560.0</v>
      </c>
      <c r="H802" s="76">
        <v>15645.0</v>
      </c>
      <c r="I802" s="77">
        <v>8761200.0</v>
      </c>
      <c r="J802" s="77">
        <v>700896.0</v>
      </c>
      <c r="K802" s="77">
        <v>9462096.0</v>
      </c>
      <c r="L802" s="131" t="s">
        <v>1350</v>
      </c>
      <c r="M802" s="65" t="str">
        <f>VLOOKUP(L802,'Đơn đặt'!$C$3:$E$275,2,0)</f>
        <v>05-09-TS</v>
      </c>
      <c r="N802" s="65" t="str">
        <f>VLOOKUP(L802,'Đơn đặt'!$C$3:$E$275,3,0)</f>
        <v>68-2026/TS-AVP/ĐĐH</v>
      </c>
      <c r="O802" s="66">
        <v>46176.0</v>
      </c>
      <c r="P802" s="67" t="s">
        <v>1360</v>
      </c>
      <c r="Q802" s="68">
        <v>560.0</v>
      </c>
      <c r="R802" s="76">
        <v>14849.0</v>
      </c>
      <c r="S802" s="77">
        <v>8315440.0</v>
      </c>
      <c r="T802" s="77">
        <v>665235.0</v>
      </c>
      <c r="U802" s="132">
        <f t="shared" si="172"/>
        <v>8980675</v>
      </c>
      <c r="V802" s="70"/>
    </row>
    <row r="803" ht="25.5" customHeight="1">
      <c r="A803" s="66">
        <v>46176.0</v>
      </c>
      <c r="B803" s="67" t="s">
        <v>1361</v>
      </c>
      <c r="C803" s="67" t="s">
        <v>26</v>
      </c>
      <c r="D803" s="67" t="s">
        <v>25</v>
      </c>
      <c r="E803" s="58" t="s">
        <v>70</v>
      </c>
      <c r="F803" s="67" t="s">
        <v>71</v>
      </c>
      <c r="G803" s="68">
        <v>900.0</v>
      </c>
      <c r="H803" s="76">
        <v>16505.0</v>
      </c>
      <c r="I803" s="77">
        <v>1.48545E7</v>
      </c>
      <c r="J803" s="77">
        <v>1188360.0</v>
      </c>
      <c r="K803" s="77">
        <v>1.604286E7</v>
      </c>
      <c r="L803" s="131" t="s">
        <v>1350</v>
      </c>
      <c r="M803" s="65" t="str">
        <f>VLOOKUP(L803,'Đơn đặt'!$C$3:$E$275,2,0)</f>
        <v>05-09-TS</v>
      </c>
      <c r="N803" s="65" t="str">
        <f>VLOOKUP(L803,'Đơn đặt'!$C$3:$E$275,3,0)</f>
        <v>68-2026/TS-AVP/ĐĐH</v>
      </c>
      <c r="O803" s="66">
        <v>46176.0</v>
      </c>
      <c r="P803" s="67" t="s">
        <v>1360</v>
      </c>
      <c r="Q803" s="68">
        <v>900.0</v>
      </c>
      <c r="R803" s="76">
        <v>16477.0</v>
      </c>
      <c r="S803" s="77">
        <v>1.48293E7</v>
      </c>
      <c r="T803" s="77">
        <v>1186344.0</v>
      </c>
      <c r="U803" s="132">
        <f t="shared" si="172"/>
        <v>16015644</v>
      </c>
      <c r="V803" s="70"/>
    </row>
    <row r="804" ht="25.5" customHeight="1">
      <c r="A804" s="66">
        <v>46177.0</v>
      </c>
      <c r="B804" s="67" t="s">
        <v>892</v>
      </c>
      <c r="C804" s="67" t="s">
        <v>119</v>
      </c>
      <c r="D804" s="67" t="s">
        <v>120</v>
      </c>
      <c r="E804" s="58" t="s">
        <v>70</v>
      </c>
      <c r="F804" s="67" t="s">
        <v>71</v>
      </c>
      <c r="G804" s="68">
        <v>2500.0</v>
      </c>
      <c r="H804" s="76">
        <v>20276.0</v>
      </c>
      <c r="I804" s="77">
        <v>5.069E7</v>
      </c>
      <c r="J804" s="77">
        <v>4055200.0</v>
      </c>
      <c r="K804" s="77">
        <v>5.47452E7</v>
      </c>
      <c r="L804" s="131" t="s">
        <v>1220</v>
      </c>
      <c r="M804" s="65" t="str">
        <f>VLOOKUP(L804,'Đơn đặt'!$C$3:$E$275,2,0)</f>
        <v>02-11-TS</v>
      </c>
      <c r="N804" s="65" t="str">
        <f>VLOOKUP(L804,'Đơn đặt'!$C$3:$E$275,3,0)</f>
        <v>52-2026/TS-AVP/ĐĐH</v>
      </c>
      <c r="O804" s="66">
        <v>46177.0</v>
      </c>
      <c r="P804" s="67" t="s">
        <v>1362</v>
      </c>
      <c r="Q804" s="68">
        <v>2500.0</v>
      </c>
      <c r="R804" s="76">
        <v>18311.2</v>
      </c>
      <c r="S804" s="77">
        <v>4.5778E7</v>
      </c>
      <c r="T804" s="77">
        <v>3662240.0</v>
      </c>
      <c r="U804" s="132">
        <f t="shared" si="172"/>
        <v>49440240</v>
      </c>
      <c r="V804" s="70"/>
    </row>
    <row r="805" ht="25.5" customHeight="1">
      <c r="A805" s="66">
        <v>46178.0</v>
      </c>
      <c r="B805" s="67" t="s">
        <v>885</v>
      </c>
      <c r="C805" s="67" t="s">
        <v>48</v>
      </c>
      <c r="D805" s="67" t="s">
        <v>47</v>
      </c>
      <c r="E805" s="58" t="s">
        <v>70</v>
      </c>
      <c r="F805" s="67" t="s">
        <v>71</v>
      </c>
      <c r="G805" s="68">
        <v>6810.0</v>
      </c>
      <c r="H805" s="76">
        <v>19206.0</v>
      </c>
      <c r="I805" s="77">
        <v>1.3079286E8</v>
      </c>
      <c r="J805" s="77">
        <v>1.0463429E7</v>
      </c>
      <c r="K805" s="77">
        <v>1.41256289E8</v>
      </c>
      <c r="L805" s="131" t="s">
        <v>1093</v>
      </c>
      <c r="M805" s="65" t="str">
        <f>VLOOKUP(L805,'Đơn đặt'!$C$3:$E$275,2,0)</f>
        <v>04-08-TS</v>
      </c>
      <c r="N805" s="65" t="str">
        <f>VLOOKUP(L805,'Đơn đặt'!$C$3:$E$275,3,0)</f>
        <v>47-2026/TS-AVP/ĐĐH</v>
      </c>
      <c r="O805" s="66">
        <v>46178.0</v>
      </c>
      <c r="P805" s="67" t="s">
        <v>1363</v>
      </c>
      <c r="Q805" s="68">
        <v>6810.0</v>
      </c>
      <c r="R805" s="68">
        <v>15209.2</v>
      </c>
      <c r="S805" s="68">
        <v>1.03574652E8</v>
      </c>
      <c r="T805" s="68">
        <v>8285972.0</v>
      </c>
      <c r="U805" s="132">
        <f t="shared" si="172"/>
        <v>111860624</v>
      </c>
      <c r="V805" s="70"/>
    </row>
    <row r="806" ht="25.5" customHeight="1">
      <c r="A806" s="66">
        <v>46178.0</v>
      </c>
      <c r="B806" s="67" t="s">
        <v>885</v>
      </c>
      <c r="C806" s="67" t="s">
        <v>50</v>
      </c>
      <c r="D806" s="67" t="s">
        <v>49</v>
      </c>
      <c r="E806" s="58" t="s">
        <v>70</v>
      </c>
      <c r="F806" s="67" t="s">
        <v>71</v>
      </c>
      <c r="G806" s="68">
        <v>2000.0</v>
      </c>
      <c r="H806" s="76">
        <v>19206.0</v>
      </c>
      <c r="I806" s="77">
        <v>3.8412E7</v>
      </c>
      <c r="J806" s="77">
        <v>3072960.0</v>
      </c>
      <c r="K806" s="77">
        <v>4.148496E7</v>
      </c>
      <c r="L806" s="131" t="s">
        <v>1125</v>
      </c>
      <c r="M806" s="65" t="str">
        <f>VLOOKUP(L806,'Đơn đặt'!$C$3:$E$275,2,0)</f>
        <v>03-12-TS</v>
      </c>
      <c r="N806" s="65" t="str">
        <f>VLOOKUP(L806,'Đơn đặt'!$C$3:$E$275,3,0)</f>
        <v>37-2026/TS-AVP/ĐĐH</v>
      </c>
      <c r="O806" s="66">
        <v>46178.0</v>
      </c>
      <c r="P806" s="67" t="s">
        <v>1363</v>
      </c>
      <c r="Q806" s="68">
        <v>2000.0</v>
      </c>
      <c r="R806" s="76">
        <v>15209.2</v>
      </c>
      <c r="S806" s="77">
        <v>3.04184E7</v>
      </c>
      <c r="T806" s="77">
        <v>2433472.0</v>
      </c>
      <c r="U806" s="132">
        <f t="shared" si="172"/>
        <v>32851872</v>
      </c>
      <c r="V806" s="70"/>
    </row>
    <row r="807" ht="25.5" customHeight="1">
      <c r="A807" s="66">
        <v>46178.0</v>
      </c>
      <c r="B807" s="67" t="s">
        <v>1364</v>
      </c>
      <c r="C807" s="67" t="s">
        <v>353</v>
      </c>
      <c r="D807" s="67" t="s">
        <v>544</v>
      </c>
      <c r="E807" s="58" t="s">
        <v>70</v>
      </c>
      <c r="F807" s="67" t="s">
        <v>500</v>
      </c>
      <c r="G807" s="68">
        <v>16000.0</v>
      </c>
      <c r="H807" s="76">
        <v>81.0</v>
      </c>
      <c r="I807" s="77">
        <v>1296000.0</v>
      </c>
      <c r="J807" s="77">
        <v>103680.0</v>
      </c>
      <c r="K807" s="77">
        <v>1399680.0</v>
      </c>
      <c r="L807" s="131" t="s">
        <v>1365</v>
      </c>
      <c r="M807" s="65" t="str">
        <f>VLOOKUP(L807,'Đơn đặt'!$C$3:$E$275,2,0)</f>
        <v>06-07/TS-LP</v>
      </c>
      <c r="N807" s="65" t="str">
        <f>VLOOKUP(L807,'Đơn đặt'!$C$3:$E$275,3,0)</f>
        <v>66-2026/TS-AVP/ĐĐH</v>
      </c>
      <c r="O807" s="66">
        <v>46178.0</v>
      </c>
      <c r="P807" s="67" t="s">
        <v>1366</v>
      </c>
      <c r="Q807" s="68">
        <v>16000.0</v>
      </c>
      <c r="R807" s="76">
        <v>77.8</v>
      </c>
      <c r="S807" s="77">
        <v>1244800.0</v>
      </c>
      <c r="T807" s="77">
        <v>99584.0</v>
      </c>
      <c r="U807" s="132">
        <f t="shared" si="172"/>
        <v>1344384</v>
      </c>
      <c r="V807" s="70"/>
    </row>
    <row r="808" ht="25.5" customHeight="1">
      <c r="A808" s="66">
        <v>46178.0</v>
      </c>
      <c r="B808" s="67" t="s">
        <v>1364</v>
      </c>
      <c r="C808" s="67" t="s">
        <v>446</v>
      </c>
      <c r="D808" s="67" t="s">
        <v>448</v>
      </c>
      <c r="E808" s="58" t="s">
        <v>70</v>
      </c>
      <c r="F808" s="67" t="s">
        <v>500</v>
      </c>
      <c r="G808" s="68">
        <v>500000.0</v>
      </c>
      <c r="H808" s="76">
        <v>80.0</v>
      </c>
      <c r="I808" s="77">
        <v>4.0E7</v>
      </c>
      <c r="J808" s="77">
        <v>3200000.0</v>
      </c>
      <c r="K808" s="77">
        <v>4.32E7</v>
      </c>
      <c r="L808" s="131" t="s">
        <v>1365</v>
      </c>
      <c r="M808" s="65" t="str">
        <f>VLOOKUP(L808,'Đơn đặt'!$C$3:$E$275,2,0)</f>
        <v>06-07/TS-LP</v>
      </c>
      <c r="N808" s="65" t="str">
        <f>VLOOKUP(L808,'Đơn đặt'!$C$3:$E$275,3,0)</f>
        <v>66-2026/TS-AVP/ĐĐH</v>
      </c>
      <c r="O808" s="66">
        <v>46178.0</v>
      </c>
      <c r="P808" s="67" t="s">
        <v>1366</v>
      </c>
      <c r="Q808" s="68">
        <v>500000.0</v>
      </c>
      <c r="R808" s="76">
        <v>77.6</v>
      </c>
      <c r="S808" s="77">
        <v>3.88E7</v>
      </c>
      <c r="T808" s="77">
        <v>3104000.0</v>
      </c>
      <c r="U808" s="132">
        <f t="shared" si="172"/>
        <v>41904000</v>
      </c>
      <c r="V808" s="70"/>
    </row>
    <row r="809" ht="25.5" customHeight="1">
      <c r="A809" s="66">
        <v>46178.0</v>
      </c>
      <c r="B809" s="67" t="s">
        <v>1367</v>
      </c>
      <c r="C809" s="67" t="s">
        <v>59</v>
      </c>
      <c r="D809" s="67" t="s">
        <v>105</v>
      </c>
      <c r="E809" s="58" t="s">
        <v>70</v>
      </c>
      <c r="F809" s="67" t="s">
        <v>71</v>
      </c>
      <c r="G809" s="68">
        <v>2390.0</v>
      </c>
      <c r="H809" s="76">
        <v>19206.0</v>
      </c>
      <c r="I809" s="77">
        <f t="shared" ref="I809:I810" si="178">G809*H809</f>
        <v>45902340</v>
      </c>
      <c r="J809" s="77">
        <f t="shared" ref="J809:J810" si="179">I809*8%</f>
        <v>3672187.2</v>
      </c>
      <c r="K809" s="77">
        <f t="shared" ref="K809:K810" si="180">I809+J809</f>
        <v>49574527.2</v>
      </c>
      <c r="L809" s="131" t="s">
        <v>1125</v>
      </c>
      <c r="M809" s="65" t="str">
        <f>VLOOKUP(L809,'Đơn đặt'!$C$3:$E$275,2,0)</f>
        <v>03-12-TS</v>
      </c>
      <c r="N809" s="65" t="str">
        <f>VLOOKUP(L809,'Đơn đặt'!$C$3:$E$275,3,0)</f>
        <v>37-2026/TS-AVP/ĐĐH</v>
      </c>
      <c r="O809" s="66">
        <v>46178.0</v>
      </c>
      <c r="P809" s="67" t="s">
        <v>1368</v>
      </c>
      <c r="Q809" s="68">
        <v>2390.0</v>
      </c>
      <c r="R809" s="76">
        <v>17073.2</v>
      </c>
      <c r="S809" s="68">
        <f t="shared" ref="S809:S810" si="181">Q809*R809</f>
        <v>40804948</v>
      </c>
      <c r="T809" s="77">
        <f t="shared" ref="T809:T810" si="182">S809*8%</f>
        <v>3264395.84</v>
      </c>
      <c r="U809" s="132">
        <f t="shared" si="172"/>
        <v>44069343.84</v>
      </c>
      <c r="V809" s="70"/>
    </row>
    <row r="810" ht="25.5" customHeight="1">
      <c r="A810" s="66">
        <v>46178.0</v>
      </c>
      <c r="B810" s="67" t="s">
        <v>1367</v>
      </c>
      <c r="C810" s="67" t="s">
        <v>59</v>
      </c>
      <c r="D810" s="67" t="s">
        <v>105</v>
      </c>
      <c r="E810" s="58" t="s">
        <v>70</v>
      </c>
      <c r="F810" s="67" t="s">
        <v>71</v>
      </c>
      <c r="G810" s="68">
        <v>1410.0</v>
      </c>
      <c r="H810" s="76">
        <v>19206.0</v>
      </c>
      <c r="I810" s="77">
        <f t="shared" si="178"/>
        <v>27080460</v>
      </c>
      <c r="J810" s="77">
        <f t="shared" si="179"/>
        <v>2166436.8</v>
      </c>
      <c r="K810" s="77">
        <f t="shared" si="180"/>
        <v>29246896.8</v>
      </c>
      <c r="L810" s="131" t="s">
        <v>1093</v>
      </c>
      <c r="M810" s="65" t="str">
        <f>VLOOKUP(L810,'Đơn đặt'!$C$3:$E$275,2,0)</f>
        <v>04-08-TS</v>
      </c>
      <c r="N810" s="65" t="str">
        <f>VLOOKUP(L810,'Đơn đặt'!$C$3:$E$275,3,0)</f>
        <v>47-2026/TS-AVP/ĐĐH</v>
      </c>
      <c r="O810" s="66">
        <v>46178.0</v>
      </c>
      <c r="P810" s="67" t="s">
        <v>1368</v>
      </c>
      <c r="Q810" s="68">
        <v>1410.0</v>
      </c>
      <c r="R810" s="76">
        <v>17073.2</v>
      </c>
      <c r="S810" s="68">
        <f t="shared" si="181"/>
        <v>24073212</v>
      </c>
      <c r="T810" s="77">
        <f t="shared" si="182"/>
        <v>1925856.96</v>
      </c>
      <c r="U810" s="132">
        <f t="shared" si="172"/>
        <v>25999068.96</v>
      </c>
      <c r="V810" s="70"/>
    </row>
    <row r="811" ht="25.5" customHeight="1">
      <c r="A811" s="66">
        <v>46181.0</v>
      </c>
      <c r="B811" s="67" t="s">
        <v>1369</v>
      </c>
      <c r="C811" s="67" t="s">
        <v>48</v>
      </c>
      <c r="D811" s="67" t="s">
        <v>47</v>
      </c>
      <c r="E811" s="58" t="s">
        <v>70</v>
      </c>
      <c r="F811" s="67" t="s">
        <v>71</v>
      </c>
      <c r="G811" s="68">
        <v>1000.0</v>
      </c>
      <c r="H811" s="76">
        <v>19206.0</v>
      </c>
      <c r="I811" s="77">
        <v>1.9206E7</v>
      </c>
      <c r="J811" s="77">
        <v>1536480.0</v>
      </c>
      <c r="K811" s="77">
        <v>2.074248E7</v>
      </c>
      <c r="L811" s="131" t="s">
        <v>1093</v>
      </c>
      <c r="M811" s="65" t="str">
        <f>VLOOKUP(L811,'Đơn đặt'!$C$3:$E$275,2,0)</f>
        <v>04-08-TS</v>
      </c>
      <c r="N811" s="65" t="str">
        <f>VLOOKUP(L811,'Đơn đặt'!$C$3:$E$275,3,0)</f>
        <v>47-2026/TS-AVP/ĐĐH</v>
      </c>
      <c r="O811" s="66">
        <v>46181.0</v>
      </c>
      <c r="P811" s="67" t="s">
        <v>1370</v>
      </c>
      <c r="Q811" s="68">
        <v>1000.0</v>
      </c>
      <c r="R811" s="68">
        <v>15209.2</v>
      </c>
      <c r="S811" s="68">
        <v>1.52092E7</v>
      </c>
      <c r="T811" s="68">
        <v>1216736.0</v>
      </c>
      <c r="U811" s="132">
        <f t="shared" si="172"/>
        <v>16425936</v>
      </c>
      <c r="V811" s="70"/>
    </row>
    <row r="812" ht="25.5" customHeight="1">
      <c r="A812" s="66">
        <v>46181.0</v>
      </c>
      <c r="B812" s="67" t="s">
        <v>1369</v>
      </c>
      <c r="C812" s="67" t="s">
        <v>77</v>
      </c>
      <c r="D812" s="67" t="s">
        <v>78</v>
      </c>
      <c r="E812" s="58" t="s">
        <v>70</v>
      </c>
      <c r="F812" s="67" t="s">
        <v>71</v>
      </c>
      <c r="G812" s="68">
        <v>2000.0</v>
      </c>
      <c r="H812" s="76">
        <v>22866.0</v>
      </c>
      <c r="I812" s="77">
        <v>4.5732E7</v>
      </c>
      <c r="J812" s="77">
        <v>3658560.0</v>
      </c>
      <c r="K812" s="77">
        <v>4.939056E7</v>
      </c>
      <c r="L812" s="131" t="s">
        <v>1281</v>
      </c>
      <c r="M812" s="65" t="str">
        <f>VLOOKUP(L812,'Đơn đặt'!$C$3:$E$275,2,0)</f>
        <v>05-06-TS</v>
      </c>
      <c r="N812" s="65" t="str">
        <f>VLOOKUP(L812,'Đơn đặt'!$C$3:$E$275,3,0)</f>
        <v>64-2026/TS-AVP/ĐĐH</v>
      </c>
      <c r="O812" s="66">
        <v>46181.0</v>
      </c>
      <c r="P812" s="67" t="s">
        <v>1370</v>
      </c>
      <c r="Q812" s="68">
        <v>2000.0</v>
      </c>
      <c r="R812" s="76">
        <v>20709.2</v>
      </c>
      <c r="S812" s="77">
        <v>4.14184E7</v>
      </c>
      <c r="T812" s="77">
        <v>3313472.0</v>
      </c>
      <c r="U812" s="132">
        <f t="shared" si="172"/>
        <v>44731872</v>
      </c>
      <c r="V812" s="70"/>
    </row>
    <row r="813" ht="25.5" customHeight="1">
      <c r="A813" s="66">
        <v>46181.0</v>
      </c>
      <c r="B813" s="67" t="s">
        <v>1371</v>
      </c>
      <c r="C813" s="67" t="s">
        <v>119</v>
      </c>
      <c r="D813" s="67" t="s">
        <v>120</v>
      </c>
      <c r="E813" s="58" t="s">
        <v>70</v>
      </c>
      <c r="F813" s="67" t="s">
        <v>71</v>
      </c>
      <c r="G813" s="68">
        <v>1300.0</v>
      </c>
      <c r="H813" s="76">
        <v>20276.0</v>
      </c>
      <c r="I813" s="77">
        <v>2.63588E7</v>
      </c>
      <c r="J813" s="77">
        <v>2108704.0</v>
      </c>
      <c r="K813" s="77">
        <v>2.8467504E7</v>
      </c>
      <c r="L813" s="131" t="s">
        <v>1220</v>
      </c>
      <c r="M813" s="65" t="str">
        <f>VLOOKUP(L813,'Đơn đặt'!$C$3:$E$275,2,0)</f>
        <v>02-11-TS</v>
      </c>
      <c r="N813" s="65" t="str">
        <f>VLOOKUP(L813,'Đơn đặt'!$C$3:$E$275,3,0)</f>
        <v>52-2026/TS-AVP/ĐĐH</v>
      </c>
      <c r="O813" s="66">
        <v>46181.0</v>
      </c>
      <c r="P813" s="67" t="s">
        <v>1372</v>
      </c>
      <c r="Q813" s="68">
        <v>1300.0</v>
      </c>
      <c r="R813" s="76">
        <v>18311.2</v>
      </c>
      <c r="S813" s="77">
        <v>2.380456E7</v>
      </c>
      <c r="T813" s="77">
        <v>1904365.0</v>
      </c>
      <c r="U813" s="132">
        <f t="shared" si="172"/>
        <v>25708925</v>
      </c>
      <c r="V813" s="70"/>
    </row>
    <row r="814" ht="25.5" customHeight="1">
      <c r="A814" s="66">
        <v>46181.0</v>
      </c>
      <c r="B814" s="67" t="s">
        <v>1371</v>
      </c>
      <c r="C814" s="67" t="s">
        <v>206</v>
      </c>
      <c r="D814" s="67" t="s">
        <v>207</v>
      </c>
      <c r="E814" s="58" t="s">
        <v>70</v>
      </c>
      <c r="F814" s="67" t="s">
        <v>71</v>
      </c>
      <c r="G814" s="68">
        <v>1440.0</v>
      </c>
      <c r="H814" s="76">
        <v>19041.0</v>
      </c>
      <c r="I814" s="77">
        <v>2.741904E7</v>
      </c>
      <c r="J814" s="77">
        <v>2193523.0</v>
      </c>
      <c r="K814" s="77">
        <v>2.9612563E7</v>
      </c>
      <c r="L814" s="131" t="s">
        <v>1220</v>
      </c>
      <c r="M814" s="65" t="str">
        <f>VLOOKUP(L814,'Đơn đặt'!$C$3:$E$275,2,0)</f>
        <v>02-11-TS</v>
      </c>
      <c r="N814" s="65" t="str">
        <f>VLOOKUP(L814,'Đơn đặt'!$C$3:$E$275,3,0)</f>
        <v>52-2026/TS-AVP/ĐĐH</v>
      </c>
      <c r="O814" s="66">
        <v>46181.0</v>
      </c>
      <c r="P814" s="67" t="s">
        <v>1372</v>
      </c>
      <c r="Q814" s="132">
        <f>G814</f>
        <v>1440</v>
      </c>
      <c r="R814" s="68">
        <v>18064.2</v>
      </c>
      <c r="S814" s="132">
        <f>Q814*R814</f>
        <v>26012448</v>
      </c>
      <c r="T814" s="132">
        <f>S814*0.08</f>
        <v>2080995.84</v>
      </c>
      <c r="U814" s="132">
        <f t="shared" si="172"/>
        <v>28093443.84</v>
      </c>
      <c r="V814" s="70"/>
    </row>
    <row r="815" ht="25.5" customHeight="1">
      <c r="A815" s="66">
        <v>46181.0</v>
      </c>
      <c r="B815" s="67" t="s">
        <v>1373</v>
      </c>
      <c r="C815" s="67" t="s">
        <v>21</v>
      </c>
      <c r="D815" s="67" t="s">
        <v>371</v>
      </c>
      <c r="E815" s="58" t="s">
        <v>70</v>
      </c>
      <c r="F815" s="67" t="s">
        <v>71</v>
      </c>
      <c r="G815" s="68">
        <v>1200.0</v>
      </c>
      <c r="H815" s="76">
        <v>18930.0</v>
      </c>
      <c r="I815" s="77">
        <v>2.2716E7</v>
      </c>
      <c r="J815" s="77">
        <v>1817280.0</v>
      </c>
      <c r="K815" s="77">
        <v>2.453328E7</v>
      </c>
      <c r="L815" s="131" t="s">
        <v>1344</v>
      </c>
      <c r="M815" s="65" t="str">
        <f>VLOOKUP(L815,'Đơn đặt'!$C$3:$E$275,2,0)</f>
        <v>05-09-TS</v>
      </c>
      <c r="N815" s="65" t="str">
        <f>VLOOKUP(L815,'Đơn đặt'!$C$3:$E$275,3,0)</f>
        <v>68-2026/TS-AVP/ĐĐH</v>
      </c>
      <c r="O815" s="66">
        <v>46181.0</v>
      </c>
      <c r="P815" s="67" t="s">
        <v>1372</v>
      </c>
      <c r="Q815" s="68">
        <v>1200.0</v>
      </c>
      <c r="R815" s="76">
        <v>18346.0</v>
      </c>
      <c r="S815" s="77">
        <v>2.20152E7</v>
      </c>
      <c r="T815" s="77">
        <v>1761216.0</v>
      </c>
      <c r="U815" s="132">
        <f t="shared" si="172"/>
        <v>23776416</v>
      </c>
      <c r="V815" s="70"/>
    </row>
    <row r="816" ht="25.5" customHeight="1">
      <c r="A816" s="66">
        <v>46181.0</v>
      </c>
      <c r="B816" s="67" t="s">
        <v>1373</v>
      </c>
      <c r="C816" s="67" t="s">
        <v>329</v>
      </c>
      <c r="D816" s="67" t="s">
        <v>461</v>
      </c>
      <c r="E816" s="58" t="s">
        <v>70</v>
      </c>
      <c r="F816" s="67" t="s">
        <v>71</v>
      </c>
      <c r="G816" s="68">
        <v>2000.0</v>
      </c>
      <c r="H816" s="76">
        <v>21025.0</v>
      </c>
      <c r="I816" s="77">
        <v>4.205E7</v>
      </c>
      <c r="J816" s="77">
        <v>3364000.0</v>
      </c>
      <c r="K816" s="77">
        <v>4.5414E7</v>
      </c>
      <c r="L816" s="131" t="s">
        <v>1344</v>
      </c>
      <c r="M816" s="65" t="str">
        <f>VLOOKUP(L816,'Đơn đặt'!$C$3:$E$275,2,0)</f>
        <v>05-09-TS</v>
      </c>
      <c r="N816" s="65" t="str">
        <f>VLOOKUP(L816,'Đơn đặt'!$C$3:$E$275,3,0)</f>
        <v>68-2026/TS-AVP/ĐĐH</v>
      </c>
      <c r="O816" s="66">
        <v>46181.0</v>
      </c>
      <c r="P816" s="67" t="s">
        <v>1372</v>
      </c>
      <c r="Q816" s="68">
        <v>2000.0</v>
      </c>
      <c r="R816" s="76">
        <v>18797.0</v>
      </c>
      <c r="S816" s="77">
        <v>3.7594E7</v>
      </c>
      <c r="T816" s="77">
        <v>3007520.0</v>
      </c>
      <c r="U816" s="132">
        <f t="shared" si="172"/>
        <v>40601520</v>
      </c>
      <c r="V816" s="70"/>
    </row>
    <row r="817" ht="25.5" customHeight="1">
      <c r="A817" s="66">
        <v>46181.0</v>
      </c>
      <c r="B817" s="67" t="s">
        <v>1373</v>
      </c>
      <c r="C817" s="67" t="s">
        <v>206</v>
      </c>
      <c r="D817" s="67" t="s">
        <v>207</v>
      </c>
      <c r="E817" s="58" t="s">
        <v>70</v>
      </c>
      <c r="F817" s="67" t="s">
        <v>71</v>
      </c>
      <c r="G817" s="68">
        <v>560.0</v>
      </c>
      <c r="H817" s="76">
        <v>19041.0</v>
      </c>
      <c r="I817" s="77">
        <v>1.066296E7</v>
      </c>
      <c r="J817" s="77">
        <v>853037.0</v>
      </c>
      <c r="K817" s="77">
        <v>1.1515997E7</v>
      </c>
      <c r="L817" s="131" t="s">
        <v>1220</v>
      </c>
      <c r="M817" s="65" t="str">
        <f>VLOOKUP(L817,'Đơn đặt'!$C$3:$E$275,2,0)</f>
        <v>02-11-TS</v>
      </c>
      <c r="N817" s="65" t="str">
        <f>VLOOKUP(L817,'Đơn đặt'!$C$3:$E$275,3,0)</f>
        <v>52-2026/TS-AVP/ĐĐH</v>
      </c>
      <c r="O817" s="66">
        <v>46181.0</v>
      </c>
      <c r="P817" s="67" t="s">
        <v>1372</v>
      </c>
      <c r="Q817" s="132">
        <f>G817</f>
        <v>560</v>
      </c>
      <c r="R817" s="68">
        <v>18064.2</v>
      </c>
      <c r="S817" s="132">
        <f>Q817*R817</f>
        <v>10115952</v>
      </c>
      <c r="T817" s="132">
        <f>S817*0.08</f>
        <v>809276.16</v>
      </c>
      <c r="U817" s="132">
        <f t="shared" si="172"/>
        <v>10925228.16</v>
      </c>
      <c r="V817" s="70"/>
    </row>
    <row r="818" ht="25.5" customHeight="1">
      <c r="A818" s="66">
        <v>46181.0</v>
      </c>
      <c r="B818" s="67" t="s">
        <v>1374</v>
      </c>
      <c r="C818" s="67" t="s">
        <v>48</v>
      </c>
      <c r="D818" s="67" t="s">
        <v>47</v>
      </c>
      <c r="E818" s="58" t="s">
        <v>70</v>
      </c>
      <c r="F818" s="67" t="s">
        <v>71</v>
      </c>
      <c r="G818" s="68">
        <v>6000.0</v>
      </c>
      <c r="H818" s="76">
        <v>19206.0</v>
      </c>
      <c r="I818" s="77">
        <v>1.15236E8</v>
      </c>
      <c r="J818" s="77">
        <v>9218880.0</v>
      </c>
      <c r="K818" s="77">
        <v>1.2445488E8</v>
      </c>
      <c r="L818" s="131" t="s">
        <v>1093</v>
      </c>
      <c r="M818" s="65" t="str">
        <f>VLOOKUP(L818,'Đơn đặt'!$C$3:$E$275,2,0)</f>
        <v>04-08-TS</v>
      </c>
      <c r="N818" s="65" t="str">
        <f>VLOOKUP(L818,'Đơn đặt'!$C$3:$E$275,3,0)</f>
        <v>47-2026/TS-AVP/ĐĐH</v>
      </c>
      <c r="O818" s="66">
        <v>46181.0</v>
      </c>
      <c r="P818" s="67" t="s">
        <v>1375</v>
      </c>
      <c r="Q818" s="68">
        <v>6000.0</v>
      </c>
      <c r="R818" s="68">
        <v>15209.2</v>
      </c>
      <c r="S818" s="68">
        <v>9.12552E7</v>
      </c>
      <c r="T818" s="68">
        <v>7300416.0</v>
      </c>
      <c r="U818" s="132">
        <f t="shared" si="172"/>
        <v>98555616</v>
      </c>
      <c r="V818" s="70"/>
    </row>
    <row r="819" ht="25.5" customHeight="1">
      <c r="A819" s="66">
        <v>46181.0</v>
      </c>
      <c r="B819" s="67" t="s">
        <v>1374</v>
      </c>
      <c r="C819" s="67" t="s">
        <v>50</v>
      </c>
      <c r="D819" s="67" t="s">
        <v>49</v>
      </c>
      <c r="E819" s="58" t="s">
        <v>70</v>
      </c>
      <c r="F819" s="67" t="s">
        <v>71</v>
      </c>
      <c r="G819" s="68">
        <v>2000.0</v>
      </c>
      <c r="H819" s="76">
        <v>19206.0</v>
      </c>
      <c r="I819" s="77">
        <v>3.8412E7</v>
      </c>
      <c r="J819" s="77">
        <v>3072960.0</v>
      </c>
      <c r="K819" s="77">
        <v>4.148496E7</v>
      </c>
      <c r="L819" s="131" t="s">
        <v>958</v>
      </c>
      <c r="M819" s="65" t="str">
        <f>VLOOKUP(L819,'Đơn đặt'!$C$3:$E$275,2,0)</f>
        <v>03-12-TS</v>
      </c>
      <c r="N819" s="65" t="str">
        <f>VLOOKUP(L819,'Đơn đặt'!$C$3:$E$275,3,0)</f>
        <v>36-2026/TS-AVP/ĐĐH</v>
      </c>
      <c r="O819" s="66">
        <v>46181.0</v>
      </c>
      <c r="P819" s="67" t="s">
        <v>1375</v>
      </c>
      <c r="Q819" s="68">
        <v>2000.0</v>
      </c>
      <c r="R819" s="76">
        <v>15209.2</v>
      </c>
      <c r="S819" s="77">
        <v>3.04184E7</v>
      </c>
      <c r="T819" s="77">
        <v>2433472.0</v>
      </c>
      <c r="U819" s="132">
        <f t="shared" si="172"/>
        <v>32851872</v>
      </c>
      <c r="V819" s="70"/>
    </row>
    <row r="820" ht="25.5" customHeight="1">
      <c r="A820" s="66">
        <v>46181.0</v>
      </c>
      <c r="B820" s="67" t="s">
        <v>1376</v>
      </c>
      <c r="C820" s="67" t="s">
        <v>14</v>
      </c>
      <c r="D820" s="67" t="s">
        <v>13</v>
      </c>
      <c r="E820" s="58" t="s">
        <v>70</v>
      </c>
      <c r="F820" s="67" t="s">
        <v>71</v>
      </c>
      <c r="G820" s="68">
        <v>3200.0</v>
      </c>
      <c r="H820" s="76">
        <v>20374.0</v>
      </c>
      <c r="I820" s="77">
        <v>6.51968E7</v>
      </c>
      <c r="J820" s="77">
        <v>5215744.0</v>
      </c>
      <c r="K820" s="77">
        <v>7.0412544E7</v>
      </c>
      <c r="L820" s="131" t="s">
        <v>1093</v>
      </c>
      <c r="M820" s="65" t="str">
        <f>VLOOKUP(L820,'Đơn đặt'!$C$3:$E$275,2,0)</f>
        <v>04-08-TS</v>
      </c>
      <c r="N820" s="65" t="str">
        <f>VLOOKUP(L820,'Đơn đặt'!$C$3:$E$275,3,0)</f>
        <v>47-2026/TS-AVP/ĐĐH</v>
      </c>
      <c r="O820" s="66">
        <v>46181.0</v>
      </c>
      <c r="P820" s="67" t="s">
        <v>1377</v>
      </c>
      <c r="Q820" s="68">
        <v>3200.0</v>
      </c>
      <c r="R820" s="76">
        <v>18666.8</v>
      </c>
      <c r="S820" s="77">
        <v>5.973376E7</v>
      </c>
      <c r="T820" s="77">
        <v>4778701.0</v>
      </c>
      <c r="U820" s="132">
        <f t="shared" si="172"/>
        <v>64512461</v>
      </c>
      <c r="V820" s="70"/>
    </row>
    <row r="821" ht="25.5" customHeight="1">
      <c r="A821" s="66">
        <v>46181.0</v>
      </c>
      <c r="B821" s="67" t="s">
        <v>1378</v>
      </c>
      <c r="C821" s="67" t="s">
        <v>59</v>
      </c>
      <c r="D821" s="67" t="s">
        <v>105</v>
      </c>
      <c r="E821" s="58" t="s">
        <v>70</v>
      </c>
      <c r="F821" s="67" t="s">
        <v>71</v>
      </c>
      <c r="G821" s="68">
        <v>3000.0</v>
      </c>
      <c r="H821" s="76">
        <v>19206.0</v>
      </c>
      <c r="I821" s="77">
        <v>5.7618E7</v>
      </c>
      <c r="J821" s="77">
        <v>4609440.0</v>
      </c>
      <c r="K821" s="77">
        <v>6.222744E7</v>
      </c>
      <c r="L821" s="131" t="s">
        <v>1093</v>
      </c>
      <c r="M821" s="65" t="str">
        <f>VLOOKUP(L821,'Đơn đặt'!$C$3:$E$275,2,0)</f>
        <v>04-08-TS</v>
      </c>
      <c r="N821" s="65" t="str">
        <f>VLOOKUP(L821,'Đơn đặt'!$C$3:$E$275,3,0)</f>
        <v>47-2026/TS-AVP/ĐĐH</v>
      </c>
      <c r="O821" s="66">
        <v>46181.0</v>
      </c>
      <c r="P821" s="67" t="s">
        <v>1377</v>
      </c>
      <c r="Q821" s="68">
        <v>3000.0</v>
      </c>
      <c r="R821" s="76">
        <v>17073.2</v>
      </c>
      <c r="S821" s="68">
        <v>5.12196E7</v>
      </c>
      <c r="T821" s="77">
        <v>4097568.0</v>
      </c>
      <c r="U821" s="132">
        <f t="shared" si="172"/>
        <v>55317168</v>
      </c>
      <c r="V821" s="70"/>
    </row>
    <row r="822" ht="25.5" customHeight="1">
      <c r="A822" s="66">
        <v>46181.0</v>
      </c>
      <c r="B822" s="67" t="s">
        <v>1378</v>
      </c>
      <c r="C822" s="67" t="s">
        <v>119</v>
      </c>
      <c r="D822" s="67" t="s">
        <v>120</v>
      </c>
      <c r="E822" s="58" t="s">
        <v>70</v>
      </c>
      <c r="F822" s="67" t="s">
        <v>71</v>
      </c>
      <c r="G822" s="68">
        <v>200.0</v>
      </c>
      <c r="H822" s="76">
        <v>20276.0</v>
      </c>
      <c r="I822" s="77">
        <v>4055200.0</v>
      </c>
      <c r="J822" s="77">
        <v>324416.0</v>
      </c>
      <c r="K822" s="77">
        <v>4379616.0</v>
      </c>
      <c r="L822" s="131" t="s">
        <v>1220</v>
      </c>
      <c r="M822" s="65" t="str">
        <f>VLOOKUP(L822,'Đơn đặt'!$C$3:$E$275,2,0)</f>
        <v>02-11-TS</v>
      </c>
      <c r="N822" s="65" t="str">
        <f>VLOOKUP(L822,'Đơn đặt'!$C$3:$E$275,3,0)</f>
        <v>52-2026/TS-AVP/ĐĐH</v>
      </c>
      <c r="O822" s="66">
        <v>46181.0</v>
      </c>
      <c r="P822" s="67" t="s">
        <v>1377</v>
      </c>
      <c r="Q822" s="68">
        <v>200.0</v>
      </c>
      <c r="R822" s="76">
        <v>18311.2</v>
      </c>
      <c r="S822" s="77">
        <v>3662240.0</v>
      </c>
      <c r="T822" s="77">
        <v>292979.0</v>
      </c>
      <c r="U822" s="132">
        <f t="shared" si="172"/>
        <v>3955219</v>
      </c>
      <c r="V822" s="70"/>
    </row>
    <row r="823" ht="25.5" customHeight="1">
      <c r="A823" s="66">
        <v>46182.0</v>
      </c>
      <c r="B823" s="67" t="s">
        <v>1379</v>
      </c>
      <c r="C823" s="67" t="s">
        <v>48</v>
      </c>
      <c r="D823" s="67" t="s">
        <v>47</v>
      </c>
      <c r="E823" s="58" t="s">
        <v>70</v>
      </c>
      <c r="F823" s="67" t="s">
        <v>71</v>
      </c>
      <c r="G823" s="68">
        <v>4900.0</v>
      </c>
      <c r="H823" s="76">
        <v>19206.0</v>
      </c>
      <c r="I823" s="77">
        <v>9.41094E7</v>
      </c>
      <c r="J823" s="77">
        <v>7528752.0</v>
      </c>
      <c r="K823" s="77">
        <v>1.01638152E8</v>
      </c>
      <c r="L823" s="131" t="s">
        <v>1093</v>
      </c>
      <c r="M823" s="65" t="str">
        <f>VLOOKUP(L823,'Đơn đặt'!$C$3:$E$275,2,0)</f>
        <v>04-08-TS</v>
      </c>
      <c r="N823" s="65" t="str">
        <f>VLOOKUP(L823,'Đơn đặt'!$C$3:$E$275,3,0)</f>
        <v>47-2026/TS-AVP/ĐĐH</v>
      </c>
      <c r="O823" s="66">
        <v>46182.0</v>
      </c>
      <c r="P823" s="67" t="s">
        <v>1380</v>
      </c>
      <c r="Q823" s="68">
        <v>4900.0</v>
      </c>
      <c r="R823" s="68">
        <v>15209.2</v>
      </c>
      <c r="S823" s="68">
        <v>7.452508E7</v>
      </c>
      <c r="T823" s="68">
        <v>5962006.0</v>
      </c>
      <c r="U823" s="132">
        <f t="shared" si="172"/>
        <v>80487086</v>
      </c>
      <c r="V823" s="70"/>
    </row>
    <row r="824" ht="25.5" customHeight="1">
      <c r="A824" s="66">
        <v>46182.0</v>
      </c>
      <c r="B824" s="67" t="s">
        <v>1381</v>
      </c>
      <c r="C824" s="67" t="s">
        <v>266</v>
      </c>
      <c r="D824" s="67" t="s">
        <v>516</v>
      </c>
      <c r="E824" s="58" t="s">
        <v>70</v>
      </c>
      <c r="F824" s="67" t="s">
        <v>71</v>
      </c>
      <c r="G824" s="68">
        <v>1000.0</v>
      </c>
      <c r="H824" s="76">
        <v>18191.0</v>
      </c>
      <c r="I824" s="77">
        <v>1.8191E7</v>
      </c>
      <c r="J824" s="77">
        <v>1455280.0</v>
      </c>
      <c r="K824" s="77">
        <v>1.964628E7</v>
      </c>
      <c r="L824" s="131" t="s">
        <v>1220</v>
      </c>
      <c r="M824" s="65" t="str">
        <f>VLOOKUP(L824,'Đơn đặt'!$C$3:$E$275,2,0)</f>
        <v>02-11-TS</v>
      </c>
      <c r="N824" s="65" t="str">
        <f>VLOOKUP(L824,'Đơn đặt'!$C$3:$E$275,3,0)</f>
        <v>52-2026/TS-AVP/ĐĐH</v>
      </c>
      <c r="O824" s="66">
        <v>46182.0</v>
      </c>
      <c r="P824" s="67" t="s">
        <v>1382</v>
      </c>
      <c r="Q824" s="68">
        <v>1000.0</v>
      </c>
      <c r="R824" s="76">
        <v>17454.2</v>
      </c>
      <c r="S824" s="77">
        <v>1.74542E7</v>
      </c>
      <c r="T824" s="77">
        <v>1396336.0</v>
      </c>
      <c r="U824" s="132">
        <f t="shared" si="172"/>
        <v>18850536</v>
      </c>
      <c r="V824" s="70"/>
    </row>
    <row r="825" ht="25.5" customHeight="1">
      <c r="A825" s="66">
        <v>46182.0</v>
      </c>
      <c r="B825" s="67" t="s">
        <v>1381</v>
      </c>
      <c r="C825" s="67" t="s">
        <v>14</v>
      </c>
      <c r="D825" s="67" t="s">
        <v>13</v>
      </c>
      <c r="E825" s="58" t="s">
        <v>70</v>
      </c>
      <c r="F825" s="67" t="s">
        <v>71</v>
      </c>
      <c r="G825" s="68">
        <v>800.0</v>
      </c>
      <c r="H825" s="76">
        <v>20374.0</v>
      </c>
      <c r="I825" s="77">
        <v>1.62992E7</v>
      </c>
      <c r="J825" s="77">
        <v>1303936.0</v>
      </c>
      <c r="K825" s="77">
        <v>1.7603136E7</v>
      </c>
      <c r="L825" s="131" t="s">
        <v>1093</v>
      </c>
      <c r="M825" s="65" t="str">
        <f>VLOOKUP(L825,'Đơn đặt'!$C$3:$E$275,2,0)</f>
        <v>04-08-TS</v>
      </c>
      <c r="N825" s="65" t="str">
        <f>VLOOKUP(L825,'Đơn đặt'!$C$3:$E$275,3,0)</f>
        <v>47-2026/TS-AVP/ĐĐH</v>
      </c>
      <c r="O825" s="66">
        <v>46182.0</v>
      </c>
      <c r="P825" s="67" t="s">
        <v>1382</v>
      </c>
      <c r="Q825" s="68">
        <v>800.0</v>
      </c>
      <c r="R825" s="76">
        <v>18666.8</v>
      </c>
      <c r="S825" s="77">
        <v>1.493344E7</v>
      </c>
      <c r="T825" s="77">
        <v>1194675.0</v>
      </c>
      <c r="U825" s="132">
        <f t="shared" si="172"/>
        <v>16128115</v>
      </c>
      <c r="V825" s="70"/>
    </row>
    <row r="826" ht="25.5" customHeight="1">
      <c r="A826" s="66">
        <v>46183.0</v>
      </c>
      <c r="B826" s="67" t="s">
        <v>1383</v>
      </c>
      <c r="C826" s="67" t="s">
        <v>110</v>
      </c>
      <c r="D826" s="67" t="s">
        <v>1384</v>
      </c>
      <c r="E826" s="58" t="s">
        <v>70</v>
      </c>
      <c r="F826" s="67" t="s">
        <v>112</v>
      </c>
      <c r="G826" s="68">
        <v>1872.0</v>
      </c>
      <c r="H826" s="76">
        <v>28000.0</v>
      </c>
      <c r="I826" s="77">
        <f t="shared" ref="I826:I827" si="183">G826*H826</f>
        <v>52416000</v>
      </c>
      <c r="J826" s="77">
        <f t="shared" ref="J826:J827" si="184">I826*0.08</f>
        <v>4193280</v>
      </c>
      <c r="K826" s="77">
        <f t="shared" ref="K826:K827" si="185">I826+J826</f>
        <v>56609280</v>
      </c>
      <c r="L826" s="131" t="s">
        <v>875</v>
      </c>
      <c r="M826" s="65" t="str">
        <f>VLOOKUP(L826,'Đơn đặt'!$C$3:$E$275,2,0)</f>
        <v>2/10/TSC-LT</v>
      </c>
      <c r="N826" s="65" t="str">
        <f>VLOOKUP(L826,'Đơn đặt'!$C$3:$E$275,3,0)</f>
        <v>Hàng SX</v>
      </c>
      <c r="O826" s="78" t="s">
        <v>98</v>
      </c>
      <c r="P826" s="92"/>
      <c r="Q826" s="81">
        <f t="shared" ref="Q826:Q827" si="186">G826</f>
        <v>1872</v>
      </c>
      <c r="R826" s="133"/>
      <c r="S826" s="133"/>
      <c r="T826" s="133"/>
      <c r="U826" s="132">
        <f t="shared" si="172"/>
        <v>0</v>
      </c>
      <c r="V826" s="70"/>
    </row>
    <row r="827" ht="25.5" customHeight="1">
      <c r="A827" s="66">
        <v>46183.0</v>
      </c>
      <c r="B827" s="67" t="s">
        <v>1383</v>
      </c>
      <c r="C827" s="67" t="s">
        <v>110</v>
      </c>
      <c r="D827" s="67" t="s">
        <v>1384</v>
      </c>
      <c r="E827" s="58" t="s">
        <v>70</v>
      </c>
      <c r="F827" s="67" t="s">
        <v>112</v>
      </c>
      <c r="G827" s="68">
        <v>2808.0</v>
      </c>
      <c r="H827" s="76">
        <v>28000.0</v>
      </c>
      <c r="I827" s="77">
        <f t="shared" si="183"/>
        <v>78624000</v>
      </c>
      <c r="J827" s="77">
        <f t="shared" si="184"/>
        <v>6289920</v>
      </c>
      <c r="K827" s="77">
        <f t="shared" si="185"/>
        <v>84913920</v>
      </c>
      <c r="L827" s="131" t="s">
        <v>1385</v>
      </c>
      <c r="M827" s="65" t="str">
        <f>VLOOKUP(L827,'Đơn đặt'!$C$3:$E$275,2,0)</f>
        <v>04/06/TSC-LT</v>
      </c>
      <c r="N827" s="65" t="str">
        <f>VLOOKUP(L827,'Đơn đặt'!$C$3:$E$275,3,0)</f>
        <v>Hàng SX</v>
      </c>
      <c r="O827" s="78" t="s">
        <v>98</v>
      </c>
      <c r="P827" s="92"/>
      <c r="Q827" s="81">
        <f t="shared" si="186"/>
        <v>2808</v>
      </c>
      <c r="R827" s="133"/>
      <c r="S827" s="133"/>
      <c r="T827" s="133"/>
      <c r="U827" s="132">
        <f t="shared" si="172"/>
        <v>0</v>
      </c>
      <c r="V827" s="70"/>
    </row>
    <row r="828" ht="25.5" customHeight="1">
      <c r="A828" s="66">
        <v>46183.0</v>
      </c>
      <c r="B828" s="67" t="s">
        <v>916</v>
      </c>
      <c r="C828" s="67" t="s">
        <v>59</v>
      </c>
      <c r="D828" s="67" t="s">
        <v>105</v>
      </c>
      <c r="E828" s="58" t="s">
        <v>70</v>
      </c>
      <c r="F828" s="67" t="s">
        <v>71</v>
      </c>
      <c r="G828" s="68">
        <v>1300.0</v>
      </c>
      <c r="H828" s="76">
        <v>19206.0</v>
      </c>
      <c r="I828" s="77">
        <v>2.49678E7</v>
      </c>
      <c r="J828" s="77">
        <v>1997424.0</v>
      </c>
      <c r="K828" s="77">
        <v>2.6965224E7</v>
      </c>
      <c r="L828" s="131" t="s">
        <v>1093</v>
      </c>
      <c r="M828" s="65" t="str">
        <f>VLOOKUP(L828,'Đơn đặt'!$C$3:$E$275,2,0)</f>
        <v>04-08-TS</v>
      </c>
      <c r="N828" s="65" t="str">
        <f>VLOOKUP(L828,'Đơn đặt'!$C$3:$E$275,3,0)</f>
        <v>47-2026/TS-AVP/ĐĐH</v>
      </c>
      <c r="O828" s="66">
        <v>46183.0</v>
      </c>
      <c r="P828" s="67" t="s">
        <v>1386</v>
      </c>
      <c r="Q828" s="68">
        <v>1300.0</v>
      </c>
      <c r="R828" s="76">
        <v>17073.2</v>
      </c>
      <c r="S828" s="132">
        <f>Q828*R828</f>
        <v>22195160</v>
      </c>
      <c r="T828" s="132">
        <f>S828*0.08</f>
        <v>1775612.8</v>
      </c>
      <c r="U828" s="132">
        <f t="shared" si="172"/>
        <v>23970772.8</v>
      </c>
      <c r="V828" s="70"/>
    </row>
    <row r="829" ht="25.5" customHeight="1">
      <c r="A829" s="66">
        <v>46183.0</v>
      </c>
      <c r="B829" s="67" t="s">
        <v>916</v>
      </c>
      <c r="C829" s="67" t="s">
        <v>38</v>
      </c>
      <c r="D829" s="67" t="s">
        <v>36</v>
      </c>
      <c r="E829" s="58" t="s">
        <v>70</v>
      </c>
      <c r="F829" s="67" t="s">
        <v>71</v>
      </c>
      <c r="G829" s="68">
        <v>930.0</v>
      </c>
      <c r="H829" s="76">
        <v>19901.0</v>
      </c>
      <c r="I829" s="77">
        <v>1.850793E7</v>
      </c>
      <c r="J829" s="77">
        <v>1480634.0</v>
      </c>
      <c r="K829" s="77">
        <v>1.9988564E7</v>
      </c>
      <c r="L829" s="131" t="s">
        <v>1093</v>
      </c>
      <c r="M829" s="65" t="str">
        <f>VLOOKUP(L829,'Đơn đặt'!$C$3:$E$275,2,0)</f>
        <v>04-08-TS</v>
      </c>
      <c r="N829" s="65" t="str">
        <f>VLOOKUP(L829,'Đơn đặt'!$C$3:$E$275,3,0)</f>
        <v>47-2026/TS-AVP/ĐĐH</v>
      </c>
      <c r="O829" s="66">
        <v>46183.0</v>
      </c>
      <c r="P829" s="67" t="s">
        <v>1386</v>
      </c>
      <c r="Q829" s="68">
        <v>930.0</v>
      </c>
      <c r="R829" s="76">
        <v>19156.2</v>
      </c>
      <c r="S829" s="77">
        <v>1.7815266E7</v>
      </c>
      <c r="T829" s="77">
        <v>1425221.0</v>
      </c>
      <c r="U829" s="132">
        <f t="shared" si="172"/>
        <v>19240487</v>
      </c>
      <c r="V829" s="70"/>
    </row>
    <row r="830" ht="25.5" customHeight="1">
      <c r="A830" s="66">
        <v>46183.0</v>
      </c>
      <c r="B830" s="67" t="s">
        <v>916</v>
      </c>
      <c r="C830" s="67" t="s">
        <v>21</v>
      </c>
      <c r="D830" s="67" t="s">
        <v>371</v>
      </c>
      <c r="E830" s="58" t="s">
        <v>70</v>
      </c>
      <c r="F830" s="67" t="s">
        <v>71</v>
      </c>
      <c r="G830" s="68">
        <v>1180.0</v>
      </c>
      <c r="H830" s="76">
        <v>18930.0</v>
      </c>
      <c r="I830" s="77">
        <v>2.23374E7</v>
      </c>
      <c r="J830" s="77">
        <v>1786992.0</v>
      </c>
      <c r="K830" s="77">
        <v>2.4124392E7</v>
      </c>
      <c r="L830" s="131" t="s">
        <v>1344</v>
      </c>
      <c r="M830" s="65" t="str">
        <f>VLOOKUP(L830,'Đơn đặt'!$C$3:$E$275,2,0)</f>
        <v>05-09-TS</v>
      </c>
      <c r="N830" s="65" t="str">
        <f>VLOOKUP(L830,'Đơn đặt'!$C$3:$E$275,3,0)</f>
        <v>68-2026/TS-AVP/ĐĐH</v>
      </c>
      <c r="O830" s="66">
        <v>46183.0</v>
      </c>
      <c r="P830" s="67" t="s">
        <v>1386</v>
      </c>
      <c r="Q830" s="68">
        <v>1180.0</v>
      </c>
      <c r="R830" s="76">
        <v>18346.0</v>
      </c>
      <c r="S830" s="77">
        <v>2.164828E7</v>
      </c>
      <c r="T830" s="77">
        <v>1731862.0</v>
      </c>
      <c r="U830" s="132">
        <f t="shared" si="172"/>
        <v>23380142</v>
      </c>
      <c r="V830" s="70"/>
    </row>
    <row r="831" ht="25.5" customHeight="1">
      <c r="A831" s="66">
        <v>46183.0</v>
      </c>
      <c r="B831" s="67" t="s">
        <v>908</v>
      </c>
      <c r="C831" s="67" t="s">
        <v>9</v>
      </c>
      <c r="D831" s="67" t="s">
        <v>361</v>
      </c>
      <c r="E831" s="58" t="s">
        <v>70</v>
      </c>
      <c r="F831" s="67" t="s">
        <v>500</v>
      </c>
      <c r="G831" s="68">
        <v>1600000.0</v>
      </c>
      <c r="H831" s="76">
        <v>85.0</v>
      </c>
      <c r="I831" s="77">
        <v>1.36E8</v>
      </c>
      <c r="J831" s="77">
        <v>1.088E7</v>
      </c>
      <c r="K831" s="77">
        <v>1.4688E8</v>
      </c>
      <c r="L831" s="131" t="s">
        <v>1365</v>
      </c>
      <c r="M831" s="65" t="str">
        <f>VLOOKUP(L831,'Đơn đặt'!$C$3:$E$275,2,0)</f>
        <v>06-07/TS-LP</v>
      </c>
      <c r="N831" s="65" t="str">
        <f>VLOOKUP(L831,'Đơn đặt'!$C$3:$E$275,3,0)</f>
        <v>66-2026/TS-AVP/ĐĐH</v>
      </c>
      <c r="O831" s="66">
        <v>46183.0</v>
      </c>
      <c r="P831" s="67" t="s">
        <v>1387</v>
      </c>
      <c r="Q831" s="68">
        <v>1600000.0</v>
      </c>
      <c r="R831" s="76">
        <v>78.6</v>
      </c>
      <c r="S831" s="77">
        <v>1.2576E8</v>
      </c>
      <c r="T831" s="77">
        <v>1.00608E7</v>
      </c>
      <c r="U831" s="132">
        <f t="shared" si="172"/>
        <v>135820800</v>
      </c>
      <c r="V831" s="70"/>
    </row>
    <row r="832" ht="25.5" customHeight="1">
      <c r="A832" s="66">
        <v>46183.0</v>
      </c>
      <c r="B832" s="67" t="s">
        <v>912</v>
      </c>
      <c r="C832" s="67" t="s">
        <v>59</v>
      </c>
      <c r="D832" s="67" t="s">
        <v>105</v>
      </c>
      <c r="E832" s="58" t="s">
        <v>70</v>
      </c>
      <c r="F832" s="67" t="s">
        <v>71</v>
      </c>
      <c r="G832" s="68">
        <v>1500.0</v>
      </c>
      <c r="H832" s="76">
        <v>19206.0</v>
      </c>
      <c r="I832" s="77">
        <v>2.8809E7</v>
      </c>
      <c r="J832" s="77">
        <v>2304720.0</v>
      </c>
      <c r="K832" s="77">
        <v>3.111372E7</v>
      </c>
      <c r="L832" s="131" t="s">
        <v>1093</v>
      </c>
      <c r="M832" s="65" t="str">
        <f>VLOOKUP(L832,'Đơn đặt'!$C$3:$E$275,2,0)</f>
        <v>04-08-TS</v>
      </c>
      <c r="N832" s="65" t="str">
        <f>VLOOKUP(L832,'Đơn đặt'!$C$3:$E$275,3,0)</f>
        <v>47-2026/TS-AVP/ĐĐH</v>
      </c>
      <c r="O832" s="66">
        <v>46183.0</v>
      </c>
      <c r="P832" s="67" t="s">
        <v>1386</v>
      </c>
      <c r="Q832" s="68">
        <v>1500.0</v>
      </c>
      <c r="R832" s="76">
        <v>17073.2</v>
      </c>
      <c r="S832" s="132">
        <f>Q832*R832</f>
        <v>25609800</v>
      </c>
      <c r="T832" s="132">
        <f>S832*0.08</f>
        <v>2048784</v>
      </c>
      <c r="U832" s="132">
        <f t="shared" si="172"/>
        <v>27658584</v>
      </c>
      <c r="V832" s="70"/>
    </row>
    <row r="833" ht="25.5" customHeight="1">
      <c r="A833" s="66">
        <v>46183.0</v>
      </c>
      <c r="B833" s="67" t="s">
        <v>903</v>
      </c>
      <c r="C833" s="67" t="s">
        <v>48</v>
      </c>
      <c r="D833" s="67" t="s">
        <v>47</v>
      </c>
      <c r="E833" s="58" t="s">
        <v>70</v>
      </c>
      <c r="F833" s="67" t="s">
        <v>71</v>
      </c>
      <c r="G833" s="68">
        <v>6720.0</v>
      </c>
      <c r="H833" s="76">
        <v>19206.0</v>
      </c>
      <c r="I833" s="77">
        <v>1.2906432E8</v>
      </c>
      <c r="J833" s="77">
        <v>1.0325146E7</v>
      </c>
      <c r="K833" s="77">
        <v>1.39389466E8</v>
      </c>
      <c r="L833" s="131" t="s">
        <v>1093</v>
      </c>
      <c r="M833" s="65" t="str">
        <f>VLOOKUP(L833,'Đơn đặt'!$C$3:$E$275,2,0)</f>
        <v>04-08-TS</v>
      </c>
      <c r="N833" s="65" t="str">
        <f>VLOOKUP(L833,'Đơn đặt'!$C$3:$E$275,3,0)</f>
        <v>47-2026/TS-AVP/ĐĐH</v>
      </c>
      <c r="O833" s="66">
        <v>46183.0</v>
      </c>
      <c r="P833" s="67" t="s">
        <v>1388</v>
      </c>
      <c r="Q833" s="68">
        <v>6720.0</v>
      </c>
      <c r="R833" s="68">
        <v>15209.2</v>
      </c>
      <c r="S833" s="68">
        <v>1.02205824E8</v>
      </c>
      <c r="T833" s="68">
        <v>8176466.0</v>
      </c>
      <c r="U833" s="132">
        <f t="shared" si="172"/>
        <v>110382290</v>
      </c>
      <c r="V833" s="70"/>
    </row>
    <row r="834" ht="25.5" customHeight="1">
      <c r="A834" s="66">
        <v>46184.0</v>
      </c>
      <c r="B834" s="67" t="s">
        <v>1389</v>
      </c>
      <c r="C834" s="67" t="s">
        <v>492</v>
      </c>
      <c r="D834" s="67" t="s">
        <v>493</v>
      </c>
      <c r="E834" s="58" t="s">
        <v>70</v>
      </c>
      <c r="F834" s="67" t="s">
        <v>819</v>
      </c>
      <c r="G834" s="68">
        <v>402.0</v>
      </c>
      <c r="H834" s="76">
        <v>319505.0</v>
      </c>
      <c r="I834" s="77">
        <v>1.2844101E8</v>
      </c>
      <c r="J834" s="77">
        <v>1.0275281E7</v>
      </c>
      <c r="K834" s="77">
        <v>1.38716291E8</v>
      </c>
      <c r="L834" s="131" t="s">
        <v>1390</v>
      </c>
      <c r="M834" s="65" t="str">
        <f>VLOOKUP(L834,'Đơn đặt'!$C$3:$E$275,2,0)</f>
        <v>05-08-TS</v>
      </c>
      <c r="N834" s="65" t="str">
        <f>VLOOKUP(L834,'Đơn đặt'!$C$3:$E$275,3,0)</f>
        <v>67-2026/TS-AVP/ĐĐH</v>
      </c>
      <c r="O834" s="66">
        <v>46184.0</v>
      </c>
      <c r="P834" s="67" t="s">
        <v>1391</v>
      </c>
      <c r="Q834" s="68">
        <v>402.0</v>
      </c>
      <c r="R834" s="76">
        <v>293221.0</v>
      </c>
      <c r="S834" s="77">
        <v>1.17874842E8</v>
      </c>
      <c r="T834" s="77">
        <v>9429987.0</v>
      </c>
      <c r="U834" s="132">
        <f t="shared" si="172"/>
        <v>127304829</v>
      </c>
      <c r="V834" s="70"/>
    </row>
    <row r="835" ht="25.5" customHeight="1">
      <c r="A835" s="66">
        <v>46184.0</v>
      </c>
      <c r="B835" s="67" t="s">
        <v>1392</v>
      </c>
      <c r="C835" s="67" t="s">
        <v>77</v>
      </c>
      <c r="D835" s="67" t="s">
        <v>78</v>
      </c>
      <c r="E835" s="58" t="s">
        <v>70</v>
      </c>
      <c r="F835" s="67" t="s">
        <v>71</v>
      </c>
      <c r="G835" s="68">
        <v>2000.0</v>
      </c>
      <c r="H835" s="76">
        <v>22866.0</v>
      </c>
      <c r="I835" s="77">
        <v>4.5732E7</v>
      </c>
      <c r="J835" s="77">
        <v>3658560.0</v>
      </c>
      <c r="K835" s="77">
        <v>4.939056E7</v>
      </c>
      <c r="L835" s="131" t="s">
        <v>1281</v>
      </c>
      <c r="M835" s="65" t="str">
        <f>VLOOKUP(L835,'Đơn đặt'!$C$3:$E$275,2,0)</f>
        <v>05-06-TS</v>
      </c>
      <c r="N835" s="65" t="str">
        <f>VLOOKUP(L835,'Đơn đặt'!$C$3:$E$275,3,0)</f>
        <v>64-2026/TS-AVP/ĐĐH</v>
      </c>
      <c r="O835" s="66">
        <v>46184.0</v>
      </c>
      <c r="P835" s="67" t="s">
        <v>1393</v>
      </c>
      <c r="Q835" s="68">
        <v>2000.0</v>
      </c>
      <c r="R835" s="76">
        <v>20709.2</v>
      </c>
      <c r="S835" s="77">
        <v>4.14184E7</v>
      </c>
      <c r="T835" s="77">
        <v>3313472.0</v>
      </c>
      <c r="U835" s="132">
        <f t="shared" si="172"/>
        <v>44731872</v>
      </c>
      <c r="V835" s="70"/>
    </row>
    <row r="836" ht="25.5" customHeight="1">
      <c r="A836" s="66">
        <v>46184.0</v>
      </c>
      <c r="B836" s="67" t="s">
        <v>1394</v>
      </c>
      <c r="C836" s="67" t="s">
        <v>48</v>
      </c>
      <c r="D836" s="67" t="s">
        <v>47</v>
      </c>
      <c r="E836" s="58" t="s">
        <v>70</v>
      </c>
      <c r="F836" s="67" t="s">
        <v>71</v>
      </c>
      <c r="G836" s="68">
        <v>2880.0</v>
      </c>
      <c r="H836" s="76">
        <v>19206.0</v>
      </c>
      <c r="I836" s="77">
        <v>5.531328E7</v>
      </c>
      <c r="J836" s="77">
        <v>4425062.0</v>
      </c>
      <c r="K836" s="77">
        <v>5.9738342E7</v>
      </c>
      <c r="L836" s="131" t="s">
        <v>1093</v>
      </c>
      <c r="M836" s="65" t="str">
        <f>VLOOKUP(L836,'Đơn đặt'!$C$3:$E$275,2,0)</f>
        <v>04-08-TS</v>
      </c>
      <c r="N836" s="65" t="str">
        <f>VLOOKUP(L836,'Đơn đặt'!$C$3:$E$275,3,0)</f>
        <v>47-2026/TS-AVP/ĐĐH</v>
      </c>
      <c r="O836" s="66">
        <v>46184.0</v>
      </c>
      <c r="P836" s="67" t="s">
        <v>1395</v>
      </c>
      <c r="Q836" s="68">
        <v>2880.0</v>
      </c>
      <c r="R836" s="68">
        <v>15209.2</v>
      </c>
      <c r="S836" s="132">
        <v>4.3802496E7</v>
      </c>
      <c r="T836" s="132">
        <v>3504199.0</v>
      </c>
      <c r="U836" s="132">
        <f t="shared" si="172"/>
        <v>47306695</v>
      </c>
      <c r="V836" s="70"/>
    </row>
    <row r="837" ht="25.5" customHeight="1">
      <c r="A837" s="66">
        <v>46184.0</v>
      </c>
      <c r="B837" s="67" t="s">
        <v>1394</v>
      </c>
      <c r="C837" s="67" t="s">
        <v>50</v>
      </c>
      <c r="D837" s="67" t="s">
        <v>49</v>
      </c>
      <c r="E837" s="58" t="s">
        <v>70</v>
      </c>
      <c r="F837" s="67" t="s">
        <v>71</v>
      </c>
      <c r="G837" s="68">
        <v>2000.0</v>
      </c>
      <c r="H837" s="76">
        <v>19206.0</v>
      </c>
      <c r="I837" s="77">
        <v>3.8412E7</v>
      </c>
      <c r="J837" s="77">
        <v>3072960.0</v>
      </c>
      <c r="K837" s="77">
        <v>4.148496E7</v>
      </c>
      <c r="L837" s="131" t="s">
        <v>1093</v>
      </c>
      <c r="M837" s="65" t="str">
        <f>VLOOKUP(L837,'Đơn đặt'!$C$3:$E$275,2,0)</f>
        <v>04-08-TS</v>
      </c>
      <c r="N837" s="65" t="str">
        <f>VLOOKUP(L837,'Đơn đặt'!$C$3:$E$275,3,0)</f>
        <v>47-2026/TS-AVP/ĐĐH</v>
      </c>
      <c r="O837" s="66">
        <v>46184.0</v>
      </c>
      <c r="P837" s="67" t="s">
        <v>1393</v>
      </c>
      <c r="Q837" s="68">
        <v>2000.0</v>
      </c>
      <c r="R837" s="76">
        <v>15209.2</v>
      </c>
      <c r="S837" s="77">
        <v>3.04184E7</v>
      </c>
      <c r="T837" s="77">
        <v>2433472.0</v>
      </c>
      <c r="U837" s="132">
        <f t="shared" si="172"/>
        <v>32851872</v>
      </c>
      <c r="V837" s="70"/>
    </row>
    <row r="838" ht="25.5" customHeight="1">
      <c r="A838" s="66">
        <v>46185.0</v>
      </c>
      <c r="B838" s="67" t="s">
        <v>918</v>
      </c>
      <c r="C838" s="67" t="s">
        <v>492</v>
      </c>
      <c r="D838" s="67" t="s">
        <v>493</v>
      </c>
      <c r="E838" s="58" t="s">
        <v>70</v>
      </c>
      <c r="F838" s="67" t="s">
        <v>819</v>
      </c>
      <c r="G838" s="68">
        <v>68.0</v>
      </c>
      <c r="H838" s="76">
        <v>319505.0</v>
      </c>
      <c r="I838" s="77">
        <v>2.172634E7</v>
      </c>
      <c r="J838" s="77">
        <v>1738107.0</v>
      </c>
      <c r="K838" s="77">
        <v>2.3464447E7</v>
      </c>
      <c r="L838" s="131" t="s">
        <v>1390</v>
      </c>
      <c r="M838" s="65" t="str">
        <f>VLOOKUP(L838,'Đơn đặt'!$C$3:$E$275,2,0)</f>
        <v>05-08-TS</v>
      </c>
      <c r="N838" s="65" t="str">
        <f>VLOOKUP(L838,'Đơn đặt'!$C$3:$E$275,3,0)</f>
        <v>67-2026/TS-AVP/ĐĐH</v>
      </c>
      <c r="O838" s="66">
        <v>46185.0</v>
      </c>
      <c r="P838" s="67" t="s">
        <v>1396</v>
      </c>
      <c r="Q838" s="68">
        <v>68.0</v>
      </c>
      <c r="R838" s="76">
        <v>293221.0</v>
      </c>
      <c r="S838" s="77">
        <v>1.9939028E7</v>
      </c>
      <c r="T838" s="77">
        <v>1595122.0</v>
      </c>
      <c r="U838" s="132">
        <f t="shared" si="172"/>
        <v>21534150</v>
      </c>
      <c r="V838" s="70"/>
    </row>
    <row r="839" ht="25.5" customHeight="1">
      <c r="A839" s="66">
        <v>46185.0</v>
      </c>
      <c r="B839" s="67" t="s">
        <v>918</v>
      </c>
      <c r="C839" s="67" t="s">
        <v>14</v>
      </c>
      <c r="D839" s="67" t="s">
        <v>13</v>
      </c>
      <c r="E839" s="58" t="s">
        <v>70</v>
      </c>
      <c r="F839" s="67" t="s">
        <v>71</v>
      </c>
      <c r="G839" s="68">
        <v>440.0</v>
      </c>
      <c r="H839" s="76">
        <v>20374.0</v>
      </c>
      <c r="I839" s="77">
        <f t="shared" ref="I839:I840" si="187">H839*G839</f>
        <v>8964560</v>
      </c>
      <c r="J839" s="77">
        <f t="shared" ref="J839:J840" si="188">I839*8%</f>
        <v>717164.8</v>
      </c>
      <c r="K839" s="77">
        <f t="shared" ref="K839:K840" si="189">I839+J839</f>
        <v>9681724.8</v>
      </c>
      <c r="L839" s="131" t="s">
        <v>854</v>
      </c>
      <c r="M839" s="65" t="str">
        <f>VLOOKUP(L839,'Đơn đặt'!$C$3:$E$275,2,0)</f>
        <v>03-12-TS</v>
      </c>
      <c r="N839" s="65" t="str">
        <f>VLOOKUP(L839,'Đơn đặt'!$C$3:$E$275,3,0)</f>
        <v>38-2026/TS-AVP/ĐĐH</v>
      </c>
      <c r="O839" s="66">
        <v>46185.0</v>
      </c>
      <c r="P839" s="67" t="s">
        <v>1396</v>
      </c>
      <c r="Q839" s="68">
        <f t="shared" ref="Q839:Q840" si="190">G839</f>
        <v>440</v>
      </c>
      <c r="R839" s="76">
        <v>18666.8</v>
      </c>
      <c r="S839" s="77">
        <f t="shared" ref="S839:S840" si="191">Q839*R839</f>
        <v>8213392</v>
      </c>
      <c r="T839" s="77">
        <f t="shared" ref="T839:T840" si="192">S839*8%</f>
        <v>657071.36</v>
      </c>
      <c r="U839" s="132">
        <f t="shared" si="172"/>
        <v>8870463.36</v>
      </c>
      <c r="V839" s="70"/>
    </row>
    <row r="840" ht="25.5" customHeight="1">
      <c r="A840" s="66">
        <v>46185.0</v>
      </c>
      <c r="B840" s="67" t="s">
        <v>918</v>
      </c>
      <c r="C840" s="67" t="s">
        <v>14</v>
      </c>
      <c r="D840" s="67" t="s">
        <v>13</v>
      </c>
      <c r="E840" s="58" t="s">
        <v>70</v>
      </c>
      <c r="F840" s="67" t="s">
        <v>71</v>
      </c>
      <c r="G840" s="68">
        <v>560.0</v>
      </c>
      <c r="H840" s="76">
        <v>20374.0</v>
      </c>
      <c r="I840" s="77">
        <f t="shared" si="187"/>
        <v>11409440</v>
      </c>
      <c r="J840" s="77">
        <f t="shared" si="188"/>
        <v>912755.2</v>
      </c>
      <c r="K840" s="77">
        <f t="shared" si="189"/>
        <v>12322195.2</v>
      </c>
      <c r="L840" s="131" t="s">
        <v>1093</v>
      </c>
      <c r="M840" s="65" t="str">
        <f>VLOOKUP(L840,'Đơn đặt'!$C$3:$E$275,2,0)</f>
        <v>04-08-TS</v>
      </c>
      <c r="N840" s="65" t="str">
        <f>VLOOKUP(L840,'Đơn đặt'!$C$3:$E$275,3,0)</f>
        <v>47-2026/TS-AVP/ĐĐH</v>
      </c>
      <c r="O840" s="66">
        <v>46185.0</v>
      </c>
      <c r="P840" s="67" t="s">
        <v>1396</v>
      </c>
      <c r="Q840" s="68">
        <f t="shared" si="190"/>
        <v>560</v>
      </c>
      <c r="R840" s="76">
        <v>18666.8</v>
      </c>
      <c r="S840" s="77">
        <f t="shared" si="191"/>
        <v>10453408</v>
      </c>
      <c r="T840" s="77">
        <f t="shared" si="192"/>
        <v>836272.64</v>
      </c>
      <c r="U840" s="132">
        <f t="shared" si="172"/>
        <v>11289680.64</v>
      </c>
      <c r="V840" s="70"/>
    </row>
    <row r="841" ht="25.5" customHeight="1">
      <c r="A841" s="66">
        <v>46185.0</v>
      </c>
      <c r="B841" s="67" t="s">
        <v>918</v>
      </c>
      <c r="C841" s="67" t="s">
        <v>119</v>
      </c>
      <c r="D841" s="67" t="s">
        <v>120</v>
      </c>
      <c r="E841" s="58" t="s">
        <v>70</v>
      </c>
      <c r="F841" s="67" t="s">
        <v>71</v>
      </c>
      <c r="G841" s="68">
        <v>2000.0</v>
      </c>
      <c r="H841" s="76">
        <v>20276.0</v>
      </c>
      <c r="I841" s="77">
        <v>4.0552E7</v>
      </c>
      <c r="J841" s="77">
        <v>3244160.0</v>
      </c>
      <c r="K841" s="77">
        <v>4.379616E7</v>
      </c>
      <c r="L841" s="131" t="s">
        <v>1220</v>
      </c>
      <c r="M841" s="65" t="str">
        <f>VLOOKUP(L841,'Đơn đặt'!$C$3:$E$275,2,0)</f>
        <v>02-11-TS</v>
      </c>
      <c r="N841" s="65" t="str">
        <f>VLOOKUP(L841,'Đơn đặt'!$C$3:$E$275,3,0)</f>
        <v>52-2026/TS-AVP/ĐĐH</v>
      </c>
      <c r="O841" s="66">
        <v>46185.0</v>
      </c>
      <c r="P841" s="67" t="s">
        <v>1396</v>
      </c>
      <c r="Q841" s="68">
        <v>2000.0</v>
      </c>
      <c r="R841" s="76">
        <v>18311.2</v>
      </c>
      <c r="S841" s="77">
        <v>3.66224E7</v>
      </c>
      <c r="T841" s="77">
        <v>2929792.0</v>
      </c>
      <c r="U841" s="132">
        <f t="shared" si="172"/>
        <v>39552192</v>
      </c>
      <c r="V841" s="70"/>
    </row>
    <row r="842" ht="25.5" customHeight="1">
      <c r="A842" s="66">
        <v>46185.0</v>
      </c>
      <c r="B842" s="67" t="s">
        <v>922</v>
      </c>
      <c r="C842" s="67" t="s">
        <v>59</v>
      </c>
      <c r="D842" s="67" t="s">
        <v>105</v>
      </c>
      <c r="E842" s="58" t="s">
        <v>70</v>
      </c>
      <c r="F842" s="67" t="s">
        <v>71</v>
      </c>
      <c r="G842" s="68">
        <v>4000.0</v>
      </c>
      <c r="H842" s="76">
        <v>19206.0</v>
      </c>
      <c r="I842" s="77">
        <v>7.6824E7</v>
      </c>
      <c r="J842" s="77">
        <v>6145920.0</v>
      </c>
      <c r="K842" s="77">
        <v>8.296992E7</v>
      </c>
      <c r="L842" s="131" t="s">
        <v>1093</v>
      </c>
      <c r="M842" s="65" t="str">
        <f>VLOOKUP(L842,'Đơn đặt'!$C$3:$E$275,2,0)</f>
        <v>04-08-TS</v>
      </c>
      <c r="N842" s="65" t="str">
        <f>VLOOKUP(L842,'Đơn đặt'!$C$3:$E$275,3,0)</f>
        <v>47-2026/TS-AVP/ĐĐH</v>
      </c>
      <c r="O842" s="66">
        <v>46185.0</v>
      </c>
      <c r="P842" s="67" t="s">
        <v>1396</v>
      </c>
      <c r="Q842" s="68">
        <v>4000.0</v>
      </c>
      <c r="R842" s="76">
        <v>17073.2</v>
      </c>
      <c r="S842" s="68">
        <v>6.82928E7</v>
      </c>
      <c r="T842" s="77">
        <v>5463424.0</v>
      </c>
      <c r="U842" s="132">
        <f t="shared" si="172"/>
        <v>73756224</v>
      </c>
      <c r="V842" s="70"/>
    </row>
    <row r="843" ht="25.5" customHeight="1">
      <c r="A843" s="66">
        <v>46186.0</v>
      </c>
      <c r="B843" s="67" t="s">
        <v>1397</v>
      </c>
      <c r="C843" s="67" t="s">
        <v>55</v>
      </c>
      <c r="D843" s="67" t="s">
        <v>53</v>
      </c>
      <c r="E843" s="58" t="s">
        <v>70</v>
      </c>
      <c r="F843" s="67" t="s">
        <v>71</v>
      </c>
      <c r="G843" s="68">
        <v>2000.0</v>
      </c>
      <c r="H843" s="76">
        <v>21025.0</v>
      </c>
      <c r="I843" s="77">
        <v>4.205E7</v>
      </c>
      <c r="J843" s="77">
        <v>3364000.0</v>
      </c>
      <c r="K843" s="77">
        <v>4.5414E7</v>
      </c>
      <c r="L843" s="131" t="s">
        <v>1093</v>
      </c>
      <c r="M843" s="65" t="str">
        <f>VLOOKUP(L843,'Đơn đặt'!$C$3:$E$275,2,0)</f>
        <v>04-08-TS</v>
      </c>
      <c r="N843" s="65" t="str">
        <f>VLOOKUP(L843,'Đơn đặt'!$C$3:$E$275,3,0)</f>
        <v>47-2026/TS-AVP/ĐĐH</v>
      </c>
      <c r="O843" s="66">
        <v>46186.0</v>
      </c>
      <c r="P843" s="67" t="s">
        <v>1398</v>
      </c>
      <c r="Q843" s="68">
        <v>2000.0</v>
      </c>
      <c r="R843" s="76">
        <v>17629.0</v>
      </c>
      <c r="S843" s="77">
        <v>3.5258E7</v>
      </c>
      <c r="T843" s="77">
        <v>2820640.0</v>
      </c>
      <c r="U843" s="132">
        <f t="shared" si="172"/>
        <v>38078640</v>
      </c>
      <c r="V843" s="70"/>
    </row>
    <row r="844" ht="25.5" customHeight="1">
      <c r="A844" s="66">
        <v>46186.0</v>
      </c>
      <c r="B844" s="67" t="s">
        <v>925</v>
      </c>
      <c r="C844" s="67" t="s">
        <v>59</v>
      </c>
      <c r="D844" s="67" t="s">
        <v>105</v>
      </c>
      <c r="E844" s="58" t="s">
        <v>70</v>
      </c>
      <c r="F844" s="67" t="s">
        <v>71</v>
      </c>
      <c r="G844" s="68">
        <v>1200.0</v>
      </c>
      <c r="H844" s="76">
        <v>19206.0</v>
      </c>
      <c r="I844" s="77">
        <v>2.30472E7</v>
      </c>
      <c r="J844" s="77">
        <v>1843776.0</v>
      </c>
      <c r="K844" s="77">
        <v>2.4890976E7</v>
      </c>
      <c r="L844" s="131" t="s">
        <v>1093</v>
      </c>
      <c r="M844" s="65" t="str">
        <f>VLOOKUP(L844,'Đơn đặt'!$C$3:$E$275,2,0)</f>
        <v>04-08-TS</v>
      </c>
      <c r="N844" s="65" t="str">
        <f>VLOOKUP(L844,'Đơn đặt'!$C$3:$E$275,3,0)</f>
        <v>47-2026/TS-AVP/ĐĐH</v>
      </c>
      <c r="O844" s="66">
        <v>46186.0</v>
      </c>
      <c r="P844" s="67" t="s">
        <v>1399</v>
      </c>
      <c r="Q844" s="68">
        <v>1200.0</v>
      </c>
      <c r="R844" s="76">
        <v>17073.2</v>
      </c>
      <c r="S844" s="68">
        <v>2.048784E7</v>
      </c>
      <c r="T844" s="77">
        <v>1639027.0</v>
      </c>
      <c r="U844" s="132">
        <f t="shared" si="172"/>
        <v>22126867</v>
      </c>
      <c r="V844" s="70"/>
    </row>
    <row r="845" ht="25.5" customHeight="1">
      <c r="A845" s="66">
        <v>46186.0</v>
      </c>
      <c r="B845" s="67" t="s">
        <v>925</v>
      </c>
      <c r="C845" s="67" t="s">
        <v>119</v>
      </c>
      <c r="D845" s="67" t="s">
        <v>120</v>
      </c>
      <c r="E845" s="58" t="s">
        <v>70</v>
      </c>
      <c r="F845" s="67" t="s">
        <v>71</v>
      </c>
      <c r="G845" s="68">
        <v>1500.0</v>
      </c>
      <c r="H845" s="76">
        <v>20276.0</v>
      </c>
      <c r="I845" s="77">
        <v>3.0414E7</v>
      </c>
      <c r="J845" s="77">
        <v>2433120.0</v>
      </c>
      <c r="K845" s="77">
        <v>3.284712E7</v>
      </c>
      <c r="L845" s="131" t="s">
        <v>1220</v>
      </c>
      <c r="M845" s="65" t="str">
        <f>VLOOKUP(L845,'Đơn đặt'!$C$3:$E$275,2,0)</f>
        <v>02-11-TS</v>
      </c>
      <c r="N845" s="65" t="str">
        <f>VLOOKUP(L845,'Đơn đặt'!$C$3:$E$275,3,0)</f>
        <v>52-2026/TS-AVP/ĐĐH</v>
      </c>
      <c r="O845" s="66">
        <v>46186.0</v>
      </c>
      <c r="P845" s="67" t="s">
        <v>1399</v>
      </c>
      <c r="Q845" s="68">
        <v>1500.0</v>
      </c>
      <c r="R845" s="76">
        <v>18311.2</v>
      </c>
      <c r="S845" s="77">
        <v>2.74668E7</v>
      </c>
      <c r="T845" s="77">
        <v>2197344.0</v>
      </c>
      <c r="U845" s="132">
        <f t="shared" si="172"/>
        <v>29664144</v>
      </c>
      <c r="V845" s="70"/>
    </row>
    <row r="846" ht="25.5" customHeight="1">
      <c r="A846" s="66">
        <v>46186.0</v>
      </c>
      <c r="B846" s="67" t="s">
        <v>925</v>
      </c>
      <c r="C846" s="67" t="s">
        <v>206</v>
      </c>
      <c r="D846" s="67" t="s">
        <v>207</v>
      </c>
      <c r="E846" s="58" t="s">
        <v>70</v>
      </c>
      <c r="F846" s="67" t="s">
        <v>71</v>
      </c>
      <c r="G846" s="68">
        <v>1200.0</v>
      </c>
      <c r="H846" s="76">
        <v>19041.0</v>
      </c>
      <c r="I846" s="77">
        <v>2.28492E7</v>
      </c>
      <c r="J846" s="77">
        <v>1827936.0</v>
      </c>
      <c r="K846" s="77">
        <v>2.4677136E7</v>
      </c>
      <c r="L846" s="131" t="s">
        <v>1220</v>
      </c>
      <c r="M846" s="65" t="str">
        <f>VLOOKUP(L846,'Đơn đặt'!$C$3:$E$275,2,0)</f>
        <v>02-11-TS</v>
      </c>
      <c r="N846" s="65" t="str">
        <f>VLOOKUP(L846,'Đơn đặt'!$C$3:$E$275,3,0)</f>
        <v>52-2026/TS-AVP/ĐĐH</v>
      </c>
      <c r="O846" s="66">
        <v>46186.0</v>
      </c>
      <c r="P846" s="67" t="s">
        <v>1399</v>
      </c>
      <c r="Q846" s="68">
        <v>1200.0</v>
      </c>
      <c r="R846" s="76">
        <v>18064.2</v>
      </c>
      <c r="S846" s="77">
        <v>2.167704E7</v>
      </c>
      <c r="T846" s="77">
        <v>1734163.0</v>
      </c>
      <c r="U846" s="132">
        <f t="shared" si="172"/>
        <v>23411203</v>
      </c>
      <c r="V846" s="70"/>
    </row>
    <row r="847" ht="25.5" customHeight="1">
      <c r="A847" s="66">
        <v>46186.0</v>
      </c>
      <c r="B847" s="67" t="s">
        <v>925</v>
      </c>
      <c r="C847" s="67" t="s">
        <v>38</v>
      </c>
      <c r="D847" s="67" t="s">
        <v>36</v>
      </c>
      <c r="E847" s="58" t="s">
        <v>70</v>
      </c>
      <c r="F847" s="67" t="s">
        <v>71</v>
      </c>
      <c r="G847" s="68">
        <v>290.0</v>
      </c>
      <c r="H847" s="76">
        <v>19901.0</v>
      </c>
      <c r="I847" s="77">
        <v>5771290.0</v>
      </c>
      <c r="J847" s="77">
        <v>461703.0</v>
      </c>
      <c r="K847" s="77">
        <v>6232993.0</v>
      </c>
      <c r="L847" s="131" t="s">
        <v>1400</v>
      </c>
      <c r="M847" s="65" t="str">
        <f>VLOOKUP(L847,'Đơn đặt'!$C$3:$E$275,2,0)</f>
        <v>05-09-TS</v>
      </c>
      <c r="N847" s="65" t="str">
        <f>VLOOKUP(L847,'Đơn đặt'!$C$3:$E$275,3,0)</f>
        <v>68-2026/TS-AVP/ĐĐH</v>
      </c>
      <c r="O847" s="66">
        <v>46186.0</v>
      </c>
      <c r="P847" s="67" t="s">
        <v>1399</v>
      </c>
      <c r="Q847" s="68">
        <v>290.0</v>
      </c>
      <c r="R847" s="76">
        <v>19156.2</v>
      </c>
      <c r="S847" s="77">
        <v>5555298.0</v>
      </c>
      <c r="T847" s="77">
        <v>444424.0</v>
      </c>
      <c r="U847" s="132">
        <f t="shared" si="172"/>
        <v>5999722</v>
      </c>
      <c r="V847" s="70"/>
    </row>
    <row r="848" ht="25.5" customHeight="1">
      <c r="A848" s="66">
        <v>46188.0</v>
      </c>
      <c r="B848" s="67" t="s">
        <v>935</v>
      </c>
      <c r="C848" s="67" t="s">
        <v>38</v>
      </c>
      <c r="D848" s="67" t="s">
        <v>36</v>
      </c>
      <c r="E848" s="58" t="s">
        <v>70</v>
      </c>
      <c r="F848" s="67" t="s">
        <v>71</v>
      </c>
      <c r="G848" s="68">
        <v>780.0</v>
      </c>
      <c r="H848" s="76">
        <v>19901.0</v>
      </c>
      <c r="I848" s="77">
        <v>1.552278E7</v>
      </c>
      <c r="J848" s="77">
        <v>1241822.0</v>
      </c>
      <c r="K848" s="77">
        <v>1.6764602E7</v>
      </c>
      <c r="L848" s="131" t="s">
        <v>1401</v>
      </c>
      <c r="M848" s="65" t="str">
        <f>VLOOKUP(L848,'Đơn đặt'!$C$3:$E$275,2,0)</f>
        <v>05-09-TS</v>
      </c>
      <c r="N848" s="65" t="str">
        <f>VLOOKUP(L848,'Đơn đặt'!$C$3:$E$275,3,0)</f>
        <v>68-2026/TS-AVP/ĐĐH</v>
      </c>
      <c r="O848" s="66">
        <v>46188.0</v>
      </c>
      <c r="P848" s="67" t="s">
        <v>1402</v>
      </c>
      <c r="Q848" s="68">
        <v>780.0</v>
      </c>
      <c r="R848" s="76">
        <v>19156.2</v>
      </c>
      <c r="S848" s="77">
        <v>1.4941836E7</v>
      </c>
      <c r="T848" s="77">
        <v>1195347.0</v>
      </c>
      <c r="U848" s="132">
        <f t="shared" si="172"/>
        <v>16137183</v>
      </c>
      <c r="V848" s="70"/>
    </row>
    <row r="849" ht="25.5" customHeight="1">
      <c r="A849" s="66">
        <v>46188.0</v>
      </c>
      <c r="B849" s="67" t="s">
        <v>935</v>
      </c>
      <c r="C849" s="67" t="s">
        <v>14</v>
      </c>
      <c r="D849" s="67" t="s">
        <v>13</v>
      </c>
      <c r="E849" s="58" t="s">
        <v>70</v>
      </c>
      <c r="F849" s="67" t="s">
        <v>71</v>
      </c>
      <c r="G849" s="68">
        <v>2450.0</v>
      </c>
      <c r="H849" s="76">
        <v>20374.0</v>
      </c>
      <c r="I849" s="77">
        <v>4.99163E7</v>
      </c>
      <c r="J849" s="77">
        <v>3993304.0</v>
      </c>
      <c r="K849" s="77">
        <v>5.3909604E7</v>
      </c>
      <c r="L849" s="131" t="s">
        <v>1093</v>
      </c>
      <c r="M849" s="65" t="str">
        <f>VLOOKUP(L849,'Đơn đặt'!$C$3:$E$275,2,0)</f>
        <v>04-08-TS</v>
      </c>
      <c r="N849" s="65" t="str">
        <f>VLOOKUP(L849,'Đơn đặt'!$C$3:$E$275,3,0)</f>
        <v>47-2026/TS-AVP/ĐĐH</v>
      </c>
      <c r="O849" s="66">
        <v>46188.0</v>
      </c>
      <c r="P849" s="67" t="s">
        <v>1402</v>
      </c>
      <c r="Q849" s="132">
        <f>G849</f>
        <v>2450</v>
      </c>
      <c r="R849" s="76">
        <v>18666.8</v>
      </c>
      <c r="S849" s="132">
        <f t="shared" ref="S849:S850" si="193">Q849*R849</f>
        <v>45733660</v>
      </c>
      <c r="T849" s="132">
        <f t="shared" ref="T849:T852" si="194">S849*0.08</f>
        <v>3658692.8</v>
      </c>
      <c r="U849" s="132">
        <f t="shared" si="172"/>
        <v>49392352.8</v>
      </c>
      <c r="V849" s="70"/>
    </row>
    <row r="850" ht="25.5" customHeight="1">
      <c r="A850" s="66">
        <v>46188.0</v>
      </c>
      <c r="B850" s="67" t="s">
        <v>927</v>
      </c>
      <c r="C850" s="67" t="s">
        <v>59</v>
      </c>
      <c r="D850" s="67" t="s">
        <v>105</v>
      </c>
      <c r="E850" s="58" t="s">
        <v>70</v>
      </c>
      <c r="F850" s="67" t="s">
        <v>71</v>
      </c>
      <c r="G850" s="68">
        <v>3560.0</v>
      </c>
      <c r="H850" s="76">
        <v>19206.0</v>
      </c>
      <c r="I850" s="77">
        <v>6.837336E7</v>
      </c>
      <c r="J850" s="77">
        <v>5469869.0</v>
      </c>
      <c r="K850" s="77">
        <v>7.3843229E7</v>
      </c>
      <c r="L850" s="131" t="s">
        <v>1093</v>
      </c>
      <c r="M850" s="65" t="str">
        <f>VLOOKUP(L850,'Đơn đặt'!$C$3:$E$275,2,0)</f>
        <v>04-08-TS</v>
      </c>
      <c r="N850" s="65" t="str">
        <f>VLOOKUP(L850,'Đơn đặt'!$C$3:$E$275,3,0)</f>
        <v>47-2026/TS-AVP/ĐĐH</v>
      </c>
      <c r="O850" s="66">
        <v>46188.0</v>
      </c>
      <c r="P850" s="67" t="s">
        <v>1402</v>
      </c>
      <c r="Q850" s="68">
        <v>3560.0</v>
      </c>
      <c r="R850" s="76">
        <v>17073.2</v>
      </c>
      <c r="S850" s="132">
        <f t="shared" si="193"/>
        <v>60780592</v>
      </c>
      <c r="T850" s="132">
        <f t="shared" si="194"/>
        <v>4862447.36</v>
      </c>
      <c r="U850" s="132">
        <f t="shared" si="172"/>
        <v>65643039.36</v>
      </c>
      <c r="V850" s="70"/>
    </row>
    <row r="851" ht="25.5" customHeight="1">
      <c r="A851" s="66">
        <v>46188.0</v>
      </c>
      <c r="B851" s="67" t="s">
        <v>1403</v>
      </c>
      <c r="C851" s="67" t="s">
        <v>1</v>
      </c>
      <c r="D851" s="67" t="s">
        <v>136</v>
      </c>
      <c r="E851" s="58" t="s">
        <v>70</v>
      </c>
      <c r="F851" s="67" t="s">
        <v>112</v>
      </c>
      <c r="G851" s="68">
        <v>2000.0</v>
      </c>
      <c r="H851" s="76">
        <v>42560.0</v>
      </c>
      <c r="I851" s="77">
        <v>8.512E7</v>
      </c>
      <c r="J851" s="77">
        <v>6809600.0</v>
      </c>
      <c r="K851" s="77">
        <v>9.19296E7</v>
      </c>
      <c r="L851" s="131" t="s">
        <v>1404</v>
      </c>
      <c r="M851" s="65" t="str">
        <f>VLOOKUP(L851,'Đơn đặt'!$C$3:$E$275,2,0)</f>
        <v>06-18/TS</v>
      </c>
      <c r="N851" s="65" t="str">
        <f>VLOOKUP(L851,'Đơn đặt'!$C$3:$E$275,3,0)</f>
        <v> 72-2026/TS-AVP/ĐĐH</v>
      </c>
      <c r="O851" s="66">
        <v>46188.0</v>
      </c>
      <c r="P851" s="67" t="s">
        <v>1405</v>
      </c>
      <c r="Q851" s="132">
        <f t="shared" ref="Q851:Q852" si="195">G851</f>
        <v>2000</v>
      </c>
      <c r="R851" s="76">
        <v>38912.0</v>
      </c>
      <c r="S851" s="133">
        <f t="shared" ref="S851:S852" si="196">R851*Q851</f>
        <v>77824000</v>
      </c>
      <c r="T851" s="133">
        <f t="shared" si="194"/>
        <v>6225920</v>
      </c>
      <c r="U851" s="132">
        <f t="shared" si="172"/>
        <v>84049920</v>
      </c>
      <c r="V851" s="70"/>
    </row>
    <row r="852" ht="25.5" customHeight="1">
      <c r="A852" s="66">
        <v>46188.0</v>
      </c>
      <c r="B852" s="67" t="s">
        <v>1403</v>
      </c>
      <c r="C852" s="67" t="s">
        <v>3</v>
      </c>
      <c r="D852" s="67" t="s">
        <v>164</v>
      </c>
      <c r="E852" s="58" t="s">
        <v>70</v>
      </c>
      <c r="F852" s="67" t="s">
        <v>112</v>
      </c>
      <c r="G852" s="68">
        <v>3000.0</v>
      </c>
      <c r="H852" s="76">
        <v>42560.0</v>
      </c>
      <c r="I852" s="77">
        <v>1.2768E8</v>
      </c>
      <c r="J852" s="77">
        <v>1.02144E7</v>
      </c>
      <c r="K852" s="77">
        <v>1.378944E8</v>
      </c>
      <c r="L852" s="131" t="s">
        <v>1404</v>
      </c>
      <c r="M852" s="65" t="str">
        <f>VLOOKUP(L852,'Đơn đặt'!$C$3:$E$275,2,0)</f>
        <v>06-18/TS</v>
      </c>
      <c r="N852" s="65" t="str">
        <f>VLOOKUP(L852,'Đơn đặt'!$C$3:$E$275,3,0)</f>
        <v> 72-2026/TS-AVP/ĐĐH</v>
      </c>
      <c r="O852" s="66">
        <v>46188.0</v>
      </c>
      <c r="P852" s="67" t="s">
        <v>1405</v>
      </c>
      <c r="Q852" s="132">
        <f t="shared" si="195"/>
        <v>3000</v>
      </c>
      <c r="R852" s="76">
        <v>38912.0</v>
      </c>
      <c r="S852" s="133">
        <f t="shared" si="196"/>
        <v>116736000</v>
      </c>
      <c r="T852" s="133">
        <f t="shared" si="194"/>
        <v>9338880</v>
      </c>
      <c r="U852" s="132">
        <f t="shared" si="172"/>
        <v>126074880</v>
      </c>
      <c r="V852" s="70"/>
    </row>
    <row r="853" ht="25.5" customHeight="1">
      <c r="A853" s="66">
        <v>46188.0</v>
      </c>
      <c r="B853" s="67" t="s">
        <v>1406</v>
      </c>
      <c r="C853" s="67" t="s">
        <v>48</v>
      </c>
      <c r="D853" s="67" t="s">
        <v>47</v>
      </c>
      <c r="E853" s="58" t="s">
        <v>70</v>
      </c>
      <c r="F853" s="67" t="s">
        <v>71</v>
      </c>
      <c r="G853" s="68">
        <v>6500.0</v>
      </c>
      <c r="H853" s="76">
        <v>19206.0</v>
      </c>
      <c r="I853" s="77">
        <v>1.24839E8</v>
      </c>
      <c r="J853" s="77">
        <v>9987120.0</v>
      </c>
      <c r="K853" s="77">
        <v>1.3482612E8</v>
      </c>
      <c r="L853" s="131" t="s">
        <v>1093</v>
      </c>
      <c r="M853" s="65" t="str">
        <f>VLOOKUP(L853,'Đơn đặt'!$C$3:$E$275,2,0)</f>
        <v>04-08-TS</v>
      </c>
      <c r="N853" s="65" t="str">
        <f>VLOOKUP(L853,'Đơn đặt'!$C$3:$E$275,3,0)</f>
        <v>47-2026/TS-AVP/ĐĐH</v>
      </c>
      <c r="O853" s="66">
        <v>46188.0</v>
      </c>
      <c r="P853" s="67" t="s">
        <v>1407</v>
      </c>
      <c r="Q853" s="68">
        <v>6500.0</v>
      </c>
      <c r="R853" s="76">
        <v>15209.2</v>
      </c>
      <c r="S853" s="77">
        <v>9.88598E7</v>
      </c>
      <c r="T853" s="77">
        <v>7908784.0</v>
      </c>
      <c r="U853" s="132">
        <f t="shared" si="172"/>
        <v>106768584</v>
      </c>
      <c r="V853" s="70"/>
    </row>
    <row r="854" ht="25.5" customHeight="1">
      <c r="A854" s="66">
        <v>46188.0</v>
      </c>
      <c r="B854" s="67" t="s">
        <v>1406</v>
      </c>
      <c r="C854" s="67" t="s">
        <v>50</v>
      </c>
      <c r="D854" s="67" t="s">
        <v>49</v>
      </c>
      <c r="E854" s="58" t="s">
        <v>70</v>
      </c>
      <c r="F854" s="67" t="s">
        <v>71</v>
      </c>
      <c r="G854" s="68">
        <v>1000.0</v>
      </c>
      <c r="H854" s="76">
        <v>19206.0</v>
      </c>
      <c r="I854" s="77">
        <v>1.9206E7</v>
      </c>
      <c r="J854" s="77">
        <v>1536480.0</v>
      </c>
      <c r="K854" s="77">
        <v>2.074248E7</v>
      </c>
      <c r="L854" s="131" t="s">
        <v>1093</v>
      </c>
      <c r="M854" s="65" t="str">
        <f>VLOOKUP(L854,'Đơn đặt'!$C$3:$E$275,2,0)</f>
        <v>04-08-TS</v>
      </c>
      <c r="N854" s="65" t="str">
        <f>VLOOKUP(L854,'Đơn đặt'!$C$3:$E$275,3,0)</f>
        <v>47-2026/TS-AVP/ĐĐH</v>
      </c>
      <c r="O854" s="66">
        <v>46188.0</v>
      </c>
      <c r="P854" s="67" t="s">
        <v>1407</v>
      </c>
      <c r="Q854" s="68">
        <v>1000.0</v>
      </c>
      <c r="R854" s="76">
        <v>15209.2</v>
      </c>
      <c r="S854" s="77">
        <v>1.52092E7</v>
      </c>
      <c r="T854" s="77">
        <v>1216736.0</v>
      </c>
      <c r="U854" s="132">
        <f t="shared" si="172"/>
        <v>16425936</v>
      </c>
      <c r="V854" s="70"/>
    </row>
    <row r="855" ht="25.5" customHeight="1">
      <c r="A855" s="66">
        <v>46188.0</v>
      </c>
      <c r="B855" s="67" t="s">
        <v>1408</v>
      </c>
      <c r="C855" s="67" t="s">
        <v>55</v>
      </c>
      <c r="D855" s="67" t="s">
        <v>53</v>
      </c>
      <c r="E855" s="58" t="s">
        <v>70</v>
      </c>
      <c r="F855" s="67" t="s">
        <v>71</v>
      </c>
      <c r="G855" s="68">
        <v>1500.0</v>
      </c>
      <c r="H855" s="76">
        <v>21025.0</v>
      </c>
      <c r="I855" s="77">
        <v>3.15375E7</v>
      </c>
      <c r="J855" s="77">
        <v>2523000.0</v>
      </c>
      <c r="K855" s="77">
        <v>3.40605E7</v>
      </c>
      <c r="L855" s="131" t="s">
        <v>1093</v>
      </c>
      <c r="M855" s="65" t="str">
        <f>VLOOKUP(L855,'Đơn đặt'!$C$3:$E$275,2,0)</f>
        <v>04-08-TS</v>
      </c>
      <c r="N855" s="65" t="str">
        <f>VLOOKUP(L855,'Đơn đặt'!$C$3:$E$275,3,0)</f>
        <v>47-2026/TS-AVP/ĐĐH</v>
      </c>
      <c r="O855" s="66">
        <v>46188.0</v>
      </c>
      <c r="P855" s="67" t="s">
        <v>1409</v>
      </c>
      <c r="Q855" s="68">
        <v>1500.0</v>
      </c>
      <c r="R855" s="76">
        <v>17629.0</v>
      </c>
      <c r="S855" s="77">
        <v>2.64435E7</v>
      </c>
      <c r="T855" s="77">
        <v>2115480.0</v>
      </c>
      <c r="U855" s="132">
        <f t="shared" si="172"/>
        <v>28558980</v>
      </c>
      <c r="V855" s="70"/>
    </row>
    <row r="856" ht="25.5" customHeight="1">
      <c r="A856" s="66">
        <v>46188.0</v>
      </c>
      <c r="B856" s="67" t="s">
        <v>1410</v>
      </c>
      <c r="C856" s="67" t="s">
        <v>59</v>
      </c>
      <c r="D856" s="67" t="s">
        <v>105</v>
      </c>
      <c r="E856" s="58" t="s">
        <v>70</v>
      </c>
      <c r="F856" s="67" t="s">
        <v>71</v>
      </c>
      <c r="G856" s="68">
        <v>440.0</v>
      </c>
      <c r="H856" s="76">
        <v>19206.0</v>
      </c>
      <c r="I856" s="77">
        <v>8450640.0</v>
      </c>
      <c r="J856" s="77">
        <v>676051.0</v>
      </c>
      <c r="K856" s="77">
        <v>9126691.0</v>
      </c>
      <c r="L856" s="131" t="s">
        <v>1093</v>
      </c>
      <c r="M856" s="65" t="str">
        <f>VLOOKUP(L856,'Đơn đặt'!$C$3:$E$275,2,0)</f>
        <v>04-08-TS</v>
      </c>
      <c r="N856" s="65" t="str">
        <f>VLOOKUP(L856,'Đơn đặt'!$C$3:$E$275,3,0)</f>
        <v>47-2026/TS-AVP/ĐĐH</v>
      </c>
      <c r="O856" s="66">
        <v>46188.0</v>
      </c>
      <c r="P856" s="67" t="s">
        <v>1402</v>
      </c>
      <c r="Q856" s="68">
        <v>440.0</v>
      </c>
      <c r="R856" s="76">
        <v>17073.2</v>
      </c>
      <c r="S856" s="132">
        <f t="shared" ref="S856:S857" si="197">Q856*R856</f>
        <v>7512208</v>
      </c>
      <c r="T856" s="132">
        <f t="shared" ref="T856:T857" si="198">S856*0.08</f>
        <v>600976.64</v>
      </c>
      <c r="U856" s="132">
        <f t="shared" si="172"/>
        <v>8113184.64</v>
      </c>
      <c r="V856" s="70"/>
    </row>
    <row r="857" ht="25.5" customHeight="1">
      <c r="A857" s="66">
        <v>46188.0</v>
      </c>
      <c r="B857" s="67" t="s">
        <v>1410</v>
      </c>
      <c r="C857" s="67" t="s">
        <v>14</v>
      </c>
      <c r="D857" s="67" t="s">
        <v>13</v>
      </c>
      <c r="E857" s="58" t="s">
        <v>70</v>
      </c>
      <c r="F857" s="67" t="s">
        <v>71</v>
      </c>
      <c r="G857" s="68">
        <v>1050.0</v>
      </c>
      <c r="H857" s="76">
        <v>20374.0</v>
      </c>
      <c r="I857" s="77">
        <v>2.13927E7</v>
      </c>
      <c r="J857" s="77">
        <v>1711416.0</v>
      </c>
      <c r="K857" s="77">
        <v>2.3104116E7</v>
      </c>
      <c r="L857" s="131" t="s">
        <v>1093</v>
      </c>
      <c r="M857" s="65" t="str">
        <f>VLOOKUP(L857,'Đơn đặt'!$C$3:$E$275,2,0)</f>
        <v>04-08-TS</v>
      </c>
      <c r="N857" s="65" t="str">
        <f>VLOOKUP(L857,'Đơn đặt'!$C$3:$E$275,3,0)</f>
        <v>47-2026/TS-AVP/ĐĐH</v>
      </c>
      <c r="O857" s="66">
        <v>46188.0</v>
      </c>
      <c r="P857" s="67" t="s">
        <v>1402</v>
      </c>
      <c r="Q857" s="132">
        <f>G857</f>
        <v>1050</v>
      </c>
      <c r="R857" s="76">
        <v>18666.8</v>
      </c>
      <c r="S857" s="132">
        <f t="shared" si="197"/>
        <v>19600140</v>
      </c>
      <c r="T857" s="132">
        <f t="shared" si="198"/>
        <v>1568011.2</v>
      </c>
      <c r="U857" s="132">
        <f t="shared" si="172"/>
        <v>21168151.2</v>
      </c>
      <c r="V857" s="70"/>
    </row>
    <row r="858" ht="25.5" customHeight="1">
      <c r="A858" s="66">
        <v>46188.0</v>
      </c>
      <c r="B858" s="67" t="s">
        <v>1411</v>
      </c>
      <c r="C858" s="67" t="s">
        <v>77</v>
      </c>
      <c r="D858" s="67" t="s">
        <v>78</v>
      </c>
      <c r="E858" s="58" t="s">
        <v>70</v>
      </c>
      <c r="F858" s="67" t="s">
        <v>71</v>
      </c>
      <c r="G858" s="68">
        <v>2500.0</v>
      </c>
      <c r="H858" s="76">
        <v>22866.0</v>
      </c>
      <c r="I858" s="77">
        <v>5.7165E7</v>
      </c>
      <c r="J858" s="77">
        <v>4573200.0</v>
      </c>
      <c r="K858" s="77">
        <v>6.17382E7</v>
      </c>
      <c r="L858" s="131" t="s">
        <v>1281</v>
      </c>
      <c r="M858" s="65" t="str">
        <f>VLOOKUP(L858,'Đơn đặt'!$C$3:$E$275,2,0)</f>
        <v>05-06-TS</v>
      </c>
      <c r="N858" s="65" t="str">
        <f>VLOOKUP(L858,'Đơn đặt'!$C$3:$E$275,3,0)</f>
        <v>64-2026/TS-AVP/ĐĐH</v>
      </c>
      <c r="O858" s="66">
        <v>46188.0</v>
      </c>
      <c r="P858" s="67" t="s">
        <v>1412</v>
      </c>
      <c r="Q858" s="68">
        <v>2500.0</v>
      </c>
      <c r="R858" s="76">
        <v>20709.2</v>
      </c>
      <c r="S858" s="132">
        <v>5.1773E7</v>
      </c>
      <c r="T858" s="132">
        <v>4141840.0</v>
      </c>
      <c r="U858" s="132">
        <f t="shared" si="172"/>
        <v>55914840</v>
      </c>
      <c r="V858" s="70"/>
    </row>
    <row r="859" ht="25.5" customHeight="1">
      <c r="A859" s="66">
        <v>46189.0</v>
      </c>
      <c r="B859" s="67" t="s">
        <v>1413</v>
      </c>
      <c r="C859" s="67" t="s">
        <v>48</v>
      </c>
      <c r="D859" s="67" t="s">
        <v>47</v>
      </c>
      <c r="E859" s="58" t="s">
        <v>70</v>
      </c>
      <c r="F859" s="67" t="s">
        <v>71</v>
      </c>
      <c r="G859" s="68">
        <v>2430.0</v>
      </c>
      <c r="H859" s="76">
        <v>19206.0</v>
      </c>
      <c r="I859" s="77">
        <v>4.667058E7</v>
      </c>
      <c r="J859" s="77">
        <v>3733646.0</v>
      </c>
      <c r="K859" s="77">
        <v>5.0404226E7</v>
      </c>
      <c r="L859" s="131" t="s">
        <v>1093</v>
      </c>
      <c r="M859" s="65" t="str">
        <f>VLOOKUP(L859,'Đơn đặt'!$C$3:$E$275,2,0)</f>
        <v>04-08-TS</v>
      </c>
      <c r="N859" s="65" t="str">
        <f>VLOOKUP(L859,'Đơn đặt'!$C$3:$E$275,3,0)</f>
        <v>47-2026/TS-AVP/ĐĐH</v>
      </c>
      <c r="O859" s="66">
        <v>46189.0</v>
      </c>
      <c r="P859" s="67" t="s">
        <v>1414</v>
      </c>
      <c r="Q859" s="68">
        <v>2430.0</v>
      </c>
      <c r="R859" s="76">
        <v>15209.2</v>
      </c>
      <c r="S859" s="77">
        <v>3.6958356E7</v>
      </c>
      <c r="T859" s="77">
        <v>2956668.0</v>
      </c>
      <c r="U859" s="132">
        <f t="shared" si="172"/>
        <v>39915024</v>
      </c>
      <c r="V859" s="70"/>
    </row>
    <row r="860" ht="25.5" customHeight="1">
      <c r="A860" s="66">
        <v>46189.0</v>
      </c>
      <c r="B860" s="67" t="s">
        <v>1415</v>
      </c>
      <c r="C860" s="67" t="s">
        <v>247</v>
      </c>
      <c r="D860" s="67" t="s">
        <v>380</v>
      </c>
      <c r="E860" s="58" t="s">
        <v>70</v>
      </c>
      <c r="F860" s="67" t="s">
        <v>71</v>
      </c>
      <c r="G860" s="68">
        <v>700.0</v>
      </c>
      <c r="H860" s="76">
        <v>19283.0</v>
      </c>
      <c r="I860" s="77">
        <v>1.34981E7</v>
      </c>
      <c r="J860" s="77">
        <v>1079848.0</v>
      </c>
      <c r="K860" s="77">
        <v>1.4577948E7</v>
      </c>
      <c r="L860" s="131" t="s">
        <v>1093</v>
      </c>
      <c r="M860" s="65" t="str">
        <f>VLOOKUP(L860,'Đơn đặt'!$C$3:$E$275,2,0)</f>
        <v>04-08-TS</v>
      </c>
      <c r="N860" s="65" t="str">
        <f>VLOOKUP(L860,'Đơn đặt'!$C$3:$E$275,3,0)</f>
        <v>47-2026/TS-AVP/ĐĐH</v>
      </c>
      <c r="O860" s="66">
        <v>46189.0</v>
      </c>
      <c r="P860" s="67" t="s">
        <v>1416</v>
      </c>
      <c r="Q860" s="68">
        <v>700.0</v>
      </c>
      <c r="R860" s="76">
        <v>18448.6</v>
      </c>
      <c r="S860" s="77">
        <v>1.291402E7</v>
      </c>
      <c r="T860" s="77">
        <v>1033122.0</v>
      </c>
      <c r="U860" s="132">
        <f t="shared" si="172"/>
        <v>13947142</v>
      </c>
      <c r="V860" s="70"/>
    </row>
    <row r="861" ht="25.5" customHeight="1">
      <c r="A861" s="66">
        <v>46189.0</v>
      </c>
      <c r="B861" s="67" t="s">
        <v>1415</v>
      </c>
      <c r="C861" s="67" t="s">
        <v>222</v>
      </c>
      <c r="D861" s="67" t="s">
        <v>223</v>
      </c>
      <c r="E861" s="58" t="s">
        <v>70</v>
      </c>
      <c r="F861" s="67" t="s">
        <v>71</v>
      </c>
      <c r="G861" s="68">
        <v>1500.0</v>
      </c>
      <c r="H861" s="76">
        <v>20276.0</v>
      </c>
      <c r="I861" s="77">
        <v>3.0414E7</v>
      </c>
      <c r="J861" s="77">
        <v>2433120.0</v>
      </c>
      <c r="K861" s="77">
        <v>3.284712E7</v>
      </c>
      <c r="L861" s="131" t="s">
        <v>1417</v>
      </c>
      <c r="M861" s="65" t="str">
        <f>VLOOKUP(L861,'Đơn đặt'!$C$3:$E$275,2,0)</f>
        <v>03-18-TS</v>
      </c>
      <c r="N861" s="65" t="str">
        <f>VLOOKUP(L861,'Đơn đặt'!$C$3:$E$275,3,0)</f>
        <v>55-2026/TS-AVP/ĐĐH</v>
      </c>
      <c r="O861" s="66">
        <v>46189.0</v>
      </c>
      <c r="P861" s="67" t="s">
        <v>1416</v>
      </c>
      <c r="Q861" s="68">
        <v>1500.0</v>
      </c>
      <c r="R861" s="76">
        <v>18311.2</v>
      </c>
      <c r="S861" s="77">
        <v>2.74668E7</v>
      </c>
      <c r="T861" s="77">
        <v>2197344.0</v>
      </c>
      <c r="U861" s="132">
        <f t="shared" si="172"/>
        <v>29664144</v>
      </c>
      <c r="V861" s="70"/>
    </row>
    <row r="862" ht="25.5" customHeight="1">
      <c r="A862" s="66">
        <v>46190.0</v>
      </c>
      <c r="B862" s="67" t="s">
        <v>1418</v>
      </c>
      <c r="C862" s="67" t="s">
        <v>48</v>
      </c>
      <c r="D862" s="67" t="s">
        <v>47</v>
      </c>
      <c r="E862" s="58" t="s">
        <v>70</v>
      </c>
      <c r="F862" s="67" t="s">
        <v>71</v>
      </c>
      <c r="G862" s="68">
        <v>6570.0</v>
      </c>
      <c r="H862" s="76">
        <v>19206.0</v>
      </c>
      <c r="I862" s="77">
        <v>1.2618342E8</v>
      </c>
      <c r="J862" s="77">
        <v>1.0094674E7</v>
      </c>
      <c r="K862" s="77">
        <v>1.36278094E8</v>
      </c>
      <c r="L862" s="131" t="s">
        <v>1093</v>
      </c>
      <c r="M862" s="65" t="str">
        <f>VLOOKUP(L862,'Đơn đặt'!$C$3:$E$275,2,0)</f>
        <v>04-08-TS</v>
      </c>
      <c r="N862" s="65" t="str">
        <f>VLOOKUP(L862,'Đơn đặt'!$C$3:$E$275,3,0)</f>
        <v>47-2026/TS-AVP/ĐĐH</v>
      </c>
      <c r="O862" s="66">
        <v>46190.0</v>
      </c>
      <c r="P862" s="67" t="s">
        <v>1419</v>
      </c>
      <c r="Q862" s="68">
        <f>G862</f>
        <v>6570</v>
      </c>
      <c r="R862" s="76">
        <v>15209.2</v>
      </c>
      <c r="S862" s="77">
        <f>Q862*R862</f>
        <v>99924444</v>
      </c>
      <c r="T862" s="77">
        <f>S862*0.08</f>
        <v>7993955.52</v>
      </c>
      <c r="U862" s="132">
        <f t="shared" si="172"/>
        <v>107918399.5</v>
      </c>
      <c r="V862" s="70"/>
    </row>
    <row r="863" ht="25.5" customHeight="1">
      <c r="A863" s="66">
        <v>46190.0</v>
      </c>
      <c r="B863" s="67" t="s">
        <v>1418</v>
      </c>
      <c r="C863" s="67" t="s">
        <v>50</v>
      </c>
      <c r="D863" s="67" t="s">
        <v>49</v>
      </c>
      <c r="E863" s="58" t="s">
        <v>70</v>
      </c>
      <c r="F863" s="67" t="s">
        <v>71</v>
      </c>
      <c r="G863" s="68">
        <v>2000.0</v>
      </c>
      <c r="H863" s="76">
        <v>19206.0</v>
      </c>
      <c r="I863" s="77">
        <v>3.8412E7</v>
      </c>
      <c r="J863" s="77">
        <v>3072960.0</v>
      </c>
      <c r="K863" s="77">
        <v>4.148496E7</v>
      </c>
      <c r="L863" s="131" t="s">
        <v>1093</v>
      </c>
      <c r="M863" s="65" t="str">
        <f>VLOOKUP(L863,'Đơn đặt'!$C$3:$E$275,2,0)</f>
        <v>04-08-TS</v>
      </c>
      <c r="N863" s="65" t="str">
        <f>VLOOKUP(L863,'Đơn đặt'!$C$3:$E$275,3,0)</f>
        <v>47-2026/TS-AVP/ĐĐH</v>
      </c>
      <c r="O863" s="66">
        <v>46190.0</v>
      </c>
      <c r="P863" s="67" t="s">
        <v>1420</v>
      </c>
      <c r="Q863" s="68">
        <v>2000.0</v>
      </c>
      <c r="R863" s="76">
        <v>15209.2</v>
      </c>
      <c r="S863" s="77">
        <v>3.04184E7</v>
      </c>
      <c r="T863" s="77">
        <v>2433472.0</v>
      </c>
      <c r="U863" s="132">
        <f t="shared" si="172"/>
        <v>32851872</v>
      </c>
      <c r="V863" s="70"/>
    </row>
    <row r="864" ht="25.5" customHeight="1">
      <c r="A864" s="66">
        <v>46190.0</v>
      </c>
      <c r="B864" s="67" t="s">
        <v>1421</v>
      </c>
      <c r="C864" s="67" t="s">
        <v>6</v>
      </c>
      <c r="D864" s="67" t="s">
        <v>499</v>
      </c>
      <c r="E864" s="58" t="s">
        <v>70</v>
      </c>
      <c r="F864" s="67" t="s">
        <v>500</v>
      </c>
      <c r="G864" s="68">
        <v>1000000.0</v>
      </c>
      <c r="H864" s="76">
        <v>82.0</v>
      </c>
      <c r="I864" s="77">
        <v>8.2E7</v>
      </c>
      <c r="J864" s="77">
        <v>6560000.0</v>
      </c>
      <c r="K864" s="77">
        <v>8.856E7</v>
      </c>
      <c r="L864" s="131" t="s">
        <v>1422</v>
      </c>
      <c r="M864" s="65" t="str">
        <f>VLOOKUP(L864,'Đơn đặt'!$C$3:$E$275,2,0)</f>
        <v>06-07/TS-LP</v>
      </c>
      <c r="N864" s="65" t="str">
        <f>VLOOKUP(L864,'Đơn đặt'!$C$3:$E$275,3,0)</f>
        <v>66-2026/TS-AVP/ĐĐH</v>
      </c>
      <c r="O864" s="66">
        <v>46190.0</v>
      </c>
      <c r="P864" s="67" t="s">
        <v>1423</v>
      </c>
      <c r="Q864" s="68">
        <v>1000000.0</v>
      </c>
      <c r="R864" s="76">
        <v>78.0</v>
      </c>
      <c r="S864" s="77">
        <v>7.8E7</v>
      </c>
      <c r="T864" s="77">
        <v>6240000.0</v>
      </c>
      <c r="U864" s="132">
        <f t="shared" si="172"/>
        <v>84240000</v>
      </c>
      <c r="V864" s="70"/>
    </row>
    <row r="865" ht="25.5" customHeight="1">
      <c r="A865" s="66">
        <v>46190.0</v>
      </c>
      <c r="B865" s="67" t="s">
        <v>1421</v>
      </c>
      <c r="C865" s="67" t="s">
        <v>9</v>
      </c>
      <c r="D865" s="67" t="s">
        <v>361</v>
      </c>
      <c r="E865" s="58" t="s">
        <v>70</v>
      </c>
      <c r="F865" s="67" t="s">
        <v>500</v>
      </c>
      <c r="G865" s="68">
        <v>600000.0</v>
      </c>
      <c r="H865" s="76">
        <v>85.0</v>
      </c>
      <c r="I865" s="77">
        <v>5.1E7</v>
      </c>
      <c r="J865" s="77">
        <v>4080000.0</v>
      </c>
      <c r="K865" s="77">
        <v>5.508E7</v>
      </c>
      <c r="L865" s="131" t="s">
        <v>1422</v>
      </c>
      <c r="M865" s="65" t="str">
        <f>VLOOKUP(L865,'Đơn đặt'!$C$3:$E$275,2,0)</f>
        <v>06-07/TS-LP</v>
      </c>
      <c r="N865" s="65" t="str">
        <f>VLOOKUP(L865,'Đơn đặt'!$C$3:$E$275,3,0)</f>
        <v>66-2026/TS-AVP/ĐĐH</v>
      </c>
      <c r="O865" s="66">
        <v>46190.0</v>
      </c>
      <c r="P865" s="67" t="s">
        <v>1423</v>
      </c>
      <c r="Q865" s="68">
        <v>600000.0</v>
      </c>
      <c r="R865" s="76">
        <v>78.6</v>
      </c>
      <c r="S865" s="77">
        <v>4.716E7</v>
      </c>
      <c r="T865" s="77">
        <v>3772800.0</v>
      </c>
      <c r="U865" s="132">
        <f t="shared" si="172"/>
        <v>50932800</v>
      </c>
      <c r="V865" s="70"/>
    </row>
    <row r="866" ht="25.5" customHeight="1">
      <c r="A866" s="66">
        <v>46190.0</v>
      </c>
      <c r="B866" s="67" t="s">
        <v>1424</v>
      </c>
      <c r="C866" s="67" t="s">
        <v>59</v>
      </c>
      <c r="D866" s="67" t="s">
        <v>105</v>
      </c>
      <c r="E866" s="58" t="s">
        <v>70</v>
      </c>
      <c r="F866" s="67" t="s">
        <v>71</v>
      </c>
      <c r="G866" s="68">
        <v>2600.0</v>
      </c>
      <c r="H866" s="76">
        <v>19206.0</v>
      </c>
      <c r="I866" s="77">
        <v>4.99356E7</v>
      </c>
      <c r="J866" s="77">
        <v>3994848.0</v>
      </c>
      <c r="K866" s="77">
        <v>5.3930448E7</v>
      </c>
      <c r="L866" s="131" t="s">
        <v>1093</v>
      </c>
      <c r="M866" s="65" t="str">
        <f>VLOOKUP(L866,'Đơn đặt'!$C$3:$E$275,2,0)</f>
        <v>04-08-TS</v>
      </c>
      <c r="N866" s="65" t="str">
        <f>VLOOKUP(L866,'Đơn đặt'!$C$3:$E$275,3,0)</f>
        <v>47-2026/TS-AVP/ĐĐH</v>
      </c>
      <c r="O866" s="66">
        <v>46190.0</v>
      </c>
      <c r="P866" s="67" t="s">
        <v>1425</v>
      </c>
      <c r="Q866" s="68">
        <v>2600.0</v>
      </c>
      <c r="R866" s="76">
        <v>17073.2</v>
      </c>
      <c r="S866" s="132">
        <f t="shared" ref="S866:S868" si="199">Q866*R866</f>
        <v>44390320</v>
      </c>
      <c r="T866" s="132">
        <f>S866*0.08</f>
        <v>3551225.6</v>
      </c>
      <c r="U866" s="132">
        <f t="shared" si="172"/>
        <v>47941545.6</v>
      </c>
      <c r="V866" s="70"/>
    </row>
    <row r="867" ht="25.5" customHeight="1">
      <c r="A867" s="66">
        <v>46190.0</v>
      </c>
      <c r="B867" s="67" t="s">
        <v>1424</v>
      </c>
      <c r="C867" s="67" t="s">
        <v>119</v>
      </c>
      <c r="D867" s="67" t="s">
        <v>120</v>
      </c>
      <c r="E867" s="58" t="s">
        <v>70</v>
      </c>
      <c r="F867" s="67" t="s">
        <v>71</v>
      </c>
      <c r="G867" s="68">
        <v>1105.0</v>
      </c>
      <c r="H867" s="76">
        <v>20276.0</v>
      </c>
      <c r="I867" s="77">
        <f t="shared" ref="I867:I868" si="200">G867*H867</f>
        <v>22404980</v>
      </c>
      <c r="J867" s="77">
        <f t="shared" ref="J867:J868" si="201">I867*8%</f>
        <v>1792398.4</v>
      </c>
      <c r="K867" s="77">
        <f t="shared" ref="K867:K868" si="202">I867+J867</f>
        <v>24197378.4</v>
      </c>
      <c r="L867" s="131" t="s">
        <v>1426</v>
      </c>
      <c r="M867" s="65" t="str">
        <f>VLOOKUP(L867,'Đơn đặt'!$C$3:$E$275,2,0)</f>
        <v>02-11-TS</v>
      </c>
      <c r="N867" s="65" t="str">
        <f>VLOOKUP(L867,'Đơn đặt'!$C$3:$E$275,3,0)</f>
        <v>52-2026/TS-AVP/ĐĐH</v>
      </c>
      <c r="O867" s="66">
        <v>46190.0</v>
      </c>
      <c r="P867" s="67" t="s">
        <v>1425</v>
      </c>
      <c r="Q867" s="68">
        <v>1105.0</v>
      </c>
      <c r="R867" s="76">
        <v>18311.2</v>
      </c>
      <c r="S867" s="77">
        <f t="shared" si="199"/>
        <v>20233876</v>
      </c>
      <c r="T867" s="77">
        <f t="shared" ref="T867:T868" si="203">S867*8%</f>
        <v>1618710.08</v>
      </c>
      <c r="U867" s="132">
        <f t="shared" si="172"/>
        <v>21852586.08</v>
      </c>
      <c r="V867" s="70"/>
    </row>
    <row r="868" ht="25.5" customHeight="1">
      <c r="A868" s="66">
        <v>46190.0</v>
      </c>
      <c r="B868" s="67" t="s">
        <v>1424</v>
      </c>
      <c r="C868" s="67" t="s">
        <v>119</v>
      </c>
      <c r="D868" s="67" t="s">
        <v>120</v>
      </c>
      <c r="E868" s="58" t="s">
        <v>70</v>
      </c>
      <c r="F868" s="67" t="s">
        <v>71</v>
      </c>
      <c r="G868" s="68">
        <v>195.0</v>
      </c>
      <c r="H868" s="76">
        <v>20276.0</v>
      </c>
      <c r="I868" s="77">
        <f t="shared" si="200"/>
        <v>3953820</v>
      </c>
      <c r="J868" s="77">
        <f t="shared" si="201"/>
        <v>316305.6</v>
      </c>
      <c r="K868" s="77">
        <f t="shared" si="202"/>
        <v>4270125.6</v>
      </c>
      <c r="L868" s="131" t="s">
        <v>1417</v>
      </c>
      <c r="M868" s="65" t="str">
        <f>VLOOKUP(L868,'Đơn đặt'!$C$3:$E$275,2,0)</f>
        <v>03-18-TS</v>
      </c>
      <c r="N868" s="65" t="str">
        <f>VLOOKUP(L868,'Đơn đặt'!$C$3:$E$275,3,0)</f>
        <v>55-2026/TS-AVP/ĐĐH</v>
      </c>
      <c r="O868" s="66">
        <v>46190.0</v>
      </c>
      <c r="P868" s="67" t="s">
        <v>1425</v>
      </c>
      <c r="Q868" s="68">
        <v>195.0</v>
      </c>
      <c r="R868" s="76">
        <v>18311.2</v>
      </c>
      <c r="S868" s="77">
        <f t="shared" si="199"/>
        <v>3570684</v>
      </c>
      <c r="T868" s="77">
        <f t="shared" si="203"/>
        <v>285654.72</v>
      </c>
      <c r="U868" s="132">
        <f t="shared" si="172"/>
        <v>3856338.72</v>
      </c>
      <c r="V868" s="70"/>
    </row>
    <row r="869" ht="25.5" customHeight="1">
      <c r="A869" s="66">
        <v>46190.0</v>
      </c>
      <c r="B869" s="67" t="s">
        <v>1424</v>
      </c>
      <c r="C869" s="67" t="s">
        <v>247</v>
      </c>
      <c r="D869" s="67" t="s">
        <v>380</v>
      </c>
      <c r="E869" s="58" t="s">
        <v>70</v>
      </c>
      <c r="F869" s="67" t="s">
        <v>71</v>
      </c>
      <c r="G869" s="68">
        <v>300.0</v>
      </c>
      <c r="H869" s="76">
        <v>19283.0</v>
      </c>
      <c r="I869" s="77">
        <v>5784900.0</v>
      </c>
      <c r="J869" s="77">
        <v>462792.0</v>
      </c>
      <c r="K869" s="77">
        <v>6247692.0</v>
      </c>
      <c r="L869" s="131" t="s">
        <v>1093</v>
      </c>
      <c r="M869" s="65" t="str">
        <f>VLOOKUP(L869,'Đơn đặt'!$C$3:$E$275,2,0)</f>
        <v>04-08-TS</v>
      </c>
      <c r="N869" s="65" t="str">
        <f>VLOOKUP(L869,'Đơn đặt'!$C$3:$E$275,3,0)</f>
        <v>47-2026/TS-AVP/ĐĐH</v>
      </c>
      <c r="O869" s="66">
        <v>46190.0</v>
      </c>
      <c r="P869" s="67" t="s">
        <v>1425</v>
      </c>
      <c r="Q869" s="68">
        <v>300.0</v>
      </c>
      <c r="R869" s="76">
        <v>18448.6</v>
      </c>
      <c r="S869" s="77">
        <v>5534580.0</v>
      </c>
      <c r="T869" s="77">
        <v>442766.0</v>
      </c>
      <c r="U869" s="132">
        <f t="shared" si="172"/>
        <v>5977346</v>
      </c>
      <c r="V869" s="70"/>
    </row>
    <row r="870" ht="25.5" customHeight="1">
      <c r="A870" s="66">
        <v>46190.0</v>
      </c>
      <c r="B870" s="67" t="s">
        <v>1427</v>
      </c>
      <c r="C870" s="67" t="s">
        <v>59</v>
      </c>
      <c r="D870" s="67" t="s">
        <v>105</v>
      </c>
      <c r="E870" s="58" t="s">
        <v>70</v>
      </c>
      <c r="F870" s="67" t="s">
        <v>71</v>
      </c>
      <c r="G870" s="68">
        <v>1800.0</v>
      </c>
      <c r="H870" s="76">
        <v>19206.0</v>
      </c>
      <c r="I870" s="77">
        <v>3.45708E7</v>
      </c>
      <c r="J870" s="77">
        <v>2765664.0</v>
      </c>
      <c r="K870" s="77">
        <v>3.7336464E7</v>
      </c>
      <c r="L870" s="131" t="s">
        <v>1093</v>
      </c>
      <c r="M870" s="65" t="str">
        <f>VLOOKUP(L870,'Đơn đặt'!$C$3:$E$275,2,0)</f>
        <v>04-08-TS</v>
      </c>
      <c r="N870" s="65" t="str">
        <f>VLOOKUP(L870,'Đơn đặt'!$C$3:$E$275,3,0)</f>
        <v>47-2026/TS-AVP/ĐĐH</v>
      </c>
      <c r="O870" s="66">
        <v>46190.0</v>
      </c>
      <c r="P870" s="67" t="s">
        <v>1425</v>
      </c>
      <c r="Q870" s="132">
        <v>1800.0</v>
      </c>
      <c r="R870" s="76">
        <v>17073.2</v>
      </c>
      <c r="S870" s="132">
        <f t="shared" ref="S870:S872" si="204">Q870*R870</f>
        <v>30731760</v>
      </c>
      <c r="T870" s="132">
        <f>S870*0.08</f>
        <v>2458540.8</v>
      </c>
      <c r="U870" s="132">
        <f t="shared" si="172"/>
        <v>33190300.8</v>
      </c>
      <c r="V870" s="70"/>
    </row>
    <row r="871" ht="25.5" customHeight="1">
      <c r="A871" s="66">
        <v>46190.0</v>
      </c>
      <c r="B871" s="67" t="s">
        <v>1427</v>
      </c>
      <c r="C871" s="67" t="s">
        <v>14</v>
      </c>
      <c r="D871" s="67" t="s">
        <v>13</v>
      </c>
      <c r="E871" s="58" t="s">
        <v>70</v>
      </c>
      <c r="F871" s="67" t="s">
        <v>71</v>
      </c>
      <c r="G871" s="68">
        <v>200.0</v>
      </c>
      <c r="H871" s="76">
        <v>20374.0</v>
      </c>
      <c r="I871" s="77">
        <f t="shared" ref="I871:I872" si="205">G871*H871</f>
        <v>4074800</v>
      </c>
      <c r="J871" s="77">
        <f t="shared" ref="J871:J872" si="206">I871*8%</f>
        <v>325984</v>
      </c>
      <c r="K871" s="77">
        <f t="shared" ref="K871:K872" si="207">I871+J871</f>
        <v>4400784</v>
      </c>
      <c r="L871" s="131" t="s">
        <v>1093</v>
      </c>
      <c r="M871" s="65" t="str">
        <f>VLOOKUP(L871,'Đơn đặt'!$C$3:$E$275,2,0)</f>
        <v>04-08-TS</v>
      </c>
      <c r="N871" s="65" t="str">
        <f>VLOOKUP(L871,'Đơn đặt'!$C$3:$E$275,3,0)</f>
        <v>47-2026/TS-AVP/ĐĐH</v>
      </c>
      <c r="O871" s="66">
        <v>46190.0</v>
      </c>
      <c r="P871" s="67" t="s">
        <v>1425</v>
      </c>
      <c r="Q871" s="68">
        <v>200.0</v>
      </c>
      <c r="R871" s="76">
        <v>18666.8</v>
      </c>
      <c r="S871" s="77">
        <f t="shared" si="204"/>
        <v>3733360</v>
      </c>
      <c r="T871" s="77">
        <f t="shared" ref="T871:T872" si="208">S871*8%</f>
        <v>298668.8</v>
      </c>
      <c r="U871" s="132">
        <f t="shared" si="172"/>
        <v>4032028.8</v>
      </c>
      <c r="V871" s="70"/>
    </row>
    <row r="872" ht="25.5" customHeight="1">
      <c r="A872" s="66">
        <v>46190.0</v>
      </c>
      <c r="B872" s="67" t="s">
        <v>1427</v>
      </c>
      <c r="C872" s="67" t="s">
        <v>14</v>
      </c>
      <c r="D872" s="67" t="s">
        <v>13</v>
      </c>
      <c r="E872" s="58" t="s">
        <v>70</v>
      </c>
      <c r="F872" s="67" t="s">
        <v>71</v>
      </c>
      <c r="G872" s="68">
        <v>1300.0</v>
      </c>
      <c r="H872" s="76">
        <v>20374.0</v>
      </c>
      <c r="I872" s="77">
        <f t="shared" si="205"/>
        <v>26486200</v>
      </c>
      <c r="J872" s="77">
        <f t="shared" si="206"/>
        <v>2118896</v>
      </c>
      <c r="K872" s="77">
        <f t="shared" si="207"/>
        <v>28605096</v>
      </c>
      <c r="L872" s="131" t="s">
        <v>1428</v>
      </c>
      <c r="M872" s="65" t="str">
        <f>VLOOKUP(L872,'Đơn đặt'!$C$3:$E$275,2,0)</f>
        <v>05-09-TS</v>
      </c>
      <c r="N872" s="65" t="str">
        <f>VLOOKUP(L872,'Đơn đặt'!$C$3:$E$275,3,0)</f>
        <v>70-2026/TS-AVP/ĐĐH</v>
      </c>
      <c r="O872" s="66">
        <v>46190.0</v>
      </c>
      <c r="P872" s="67" t="s">
        <v>1425</v>
      </c>
      <c r="Q872" s="68">
        <v>1300.0</v>
      </c>
      <c r="R872" s="76">
        <v>18666.8</v>
      </c>
      <c r="S872" s="77">
        <f t="shared" si="204"/>
        <v>24266840</v>
      </c>
      <c r="T872" s="77">
        <f t="shared" si="208"/>
        <v>1941347.2</v>
      </c>
      <c r="U872" s="132">
        <f t="shared" si="172"/>
        <v>26208187.2</v>
      </c>
      <c r="V872" s="70"/>
    </row>
    <row r="873" ht="25.5" customHeight="1">
      <c r="A873" s="66">
        <v>46202.0</v>
      </c>
      <c r="B873" s="67" t="s">
        <v>938</v>
      </c>
      <c r="C873" s="67" t="s">
        <v>48</v>
      </c>
      <c r="D873" s="67" t="s">
        <v>47</v>
      </c>
      <c r="E873" s="58" t="s">
        <v>70</v>
      </c>
      <c r="F873" s="67" t="s">
        <v>71</v>
      </c>
      <c r="G873" s="68">
        <v>4500.0</v>
      </c>
      <c r="H873" s="76">
        <v>19206.0</v>
      </c>
      <c r="I873" s="77">
        <v>8.6427E7</v>
      </c>
      <c r="J873" s="77">
        <v>6914160.0</v>
      </c>
      <c r="K873" s="77">
        <v>9.334116E7</v>
      </c>
      <c r="L873" s="131" t="s">
        <v>1093</v>
      </c>
      <c r="M873" s="65" t="str">
        <f>VLOOKUP(L873,'Đơn đặt'!$C$3:$E$275,2,0)</f>
        <v>04-08-TS</v>
      </c>
      <c r="N873" s="65" t="str">
        <f>VLOOKUP(L873,'Đơn đặt'!$C$3:$E$275,3,0)</f>
        <v>47-2026/TS-AVP/ĐĐH</v>
      </c>
      <c r="O873" s="66">
        <v>46191.0</v>
      </c>
      <c r="P873" s="67" t="s">
        <v>1429</v>
      </c>
      <c r="Q873" s="68">
        <v>4500.0</v>
      </c>
      <c r="R873" s="76">
        <v>15209.2</v>
      </c>
      <c r="S873" s="77">
        <v>6.84414E7</v>
      </c>
      <c r="T873" s="77">
        <v>5475312.0</v>
      </c>
      <c r="U873" s="132">
        <f t="shared" si="172"/>
        <v>73916712</v>
      </c>
      <c r="V873" s="70"/>
    </row>
    <row r="874" ht="25.5" customHeight="1">
      <c r="A874" s="66">
        <v>46202.0</v>
      </c>
      <c r="B874" s="67" t="s">
        <v>938</v>
      </c>
      <c r="C874" s="67" t="s">
        <v>50</v>
      </c>
      <c r="D874" s="67" t="s">
        <v>49</v>
      </c>
      <c r="E874" s="58" t="s">
        <v>70</v>
      </c>
      <c r="F874" s="67" t="s">
        <v>71</v>
      </c>
      <c r="G874" s="68">
        <v>1000.0</v>
      </c>
      <c r="H874" s="76">
        <v>19206.0</v>
      </c>
      <c r="I874" s="77">
        <v>1.9206E7</v>
      </c>
      <c r="J874" s="77">
        <v>1536480.0</v>
      </c>
      <c r="K874" s="77">
        <v>2.074248E7</v>
      </c>
      <c r="L874" s="131" t="s">
        <v>1093</v>
      </c>
      <c r="M874" s="65" t="str">
        <f>VLOOKUP(L874,'Đơn đặt'!$C$3:$E$275,2,0)</f>
        <v>04-08-TS</v>
      </c>
      <c r="N874" s="65" t="str">
        <f>VLOOKUP(L874,'Đơn đặt'!$C$3:$E$275,3,0)</f>
        <v>47-2026/TS-AVP/ĐĐH</v>
      </c>
      <c r="O874" s="66">
        <v>46191.0</v>
      </c>
      <c r="P874" s="67" t="s">
        <v>1429</v>
      </c>
      <c r="Q874" s="68">
        <v>1000.0</v>
      </c>
      <c r="R874" s="76">
        <v>15209.2</v>
      </c>
      <c r="S874" s="77">
        <v>1.52092E7</v>
      </c>
      <c r="T874" s="77">
        <v>1216736.0</v>
      </c>
      <c r="U874" s="132">
        <f t="shared" si="172"/>
        <v>16425936</v>
      </c>
      <c r="V874" s="70"/>
    </row>
    <row r="875" ht="25.5" customHeight="1">
      <c r="A875" s="66">
        <v>46202.0</v>
      </c>
      <c r="B875" s="67" t="s">
        <v>1430</v>
      </c>
      <c r="C875" s="67" t="s">
        <v>59</v>
      </c>
      <c r="D875" s="67" t="s">
        <v>105</v>
      </c>
      <c r="E875" s="58" t="s">
        <v>70</v>
      </c>
      <c r="F875" s="67" t="s">
        <v>71</v>
      </c>
      <c r="G875" s="68">
        <v>2600.0</v>
      </c>
      <c r="H875" s="76">
        <v>19206.0</v>
      </c>
      <c r="I875" s="77">
        <v>4.99356E7</v>
      </c>
      <c r="J875" s="77">
        <v>3994848.0</v>
      </c>
      <c r="K875" s="77">
        <v>5.3930448E7</v>
      </c>
      <c r="L875" s="131" t="s">
        <v>1093</v>
      </c>
      <c r="M875" s="65" t="str">
        <f>VLOOKUP(L875,'Đơn đặt'!$C$3:$E$275,2,0)</f>
        <v>04-08-TS</v>
      </c>
      <c r="N875" s="65" t="str">
        <f>VLOOKUP(L875,'Đơn đặt'!$C$3:$E$275,3,0)</f>
        <v>47-2026/TS-AVP/ĐĐH</v>
      </c>
      <c r="O875" s="66">
        <v>46195.0</v>
      </c>
      <c r="P875" s="67" t="s">
        <v>1431</v>
      </c>
      <c r="Q875" s="68">
        <v>2600.0</v>
      </c>
      <c r="R875" s="76">
        <v>17073.2</v>
      </c>
      <c r="S875" s="77">
        <v>4.439032E7</v>
      </c>
      <c r="T875" s="77">
        <v>3551226.0</v>
      </c>
      <c r="U875" s="132">
        <f t="shared" si="172"/>
        <v>47941546</v>
      </c>
      <c r="V875" s="70"/>
    </row>
    <row r="876" ht="25.5" customHeight="1">
      <c r="A876" s="66">
        <v>46202.0</v>
      </c>
      <c r="B876" s="67" t="s">
        <v>1430</v>
      </c>
      <c r="C876" s="67" t="s">
        <v>206</v>
      </c>
      <c r="D876" s="67" t="s">
        <v>207</v>
      </c>
      <c r="E876" s="58" t="s">
        <v>70</v>
      </c>
      <c r="F876" s="67" t="s">
        <v>71</v>
      </c>
      <c r="G876" s="68">
        <v>2000.0</v>
      </c>
      <c r="H876" s="76">
        <v>19041.0</v>
      </c>
      <c r="I876" s="77">
        <v>3.8082E7</v>
      </c>
      <c r="J876" s="77">
        <v>3046560.0</v>
      </c>
      <c r="K876" s="77">
        <v>4.112856E7</v>
      </c>
      <c r="L876" s="131" t="s">
        <v>1426</v>
      </c>
      <c r="M876" s="65" t="str">
        <f>VLOOKUP(L876,'Đơn đặt'!$C$3:$E$275,2,0)</f>
        <v>02-11-TS</v>
      </c>
      <c r="N876" s="65" t="str">
        <f>VLOOKUP(L876,'Đơn đặt'!$C$3:$E$275,3,0)</f>
        <v>52-2026/TS-AVP/ĐĐH</v>
      </c>
      <c r="O876" s="66">
        <v>46195.0</v>
      </c>
      <c r="P876" s="67" t="s">
        <v>1431</v>
      </c>
      <c r="Q876" s="68">
        <v>2000.0</v>
      </c>
      <c r="R876" s="76">
        <v>18064.2</v>
      </c>
      <c r="S876" s="77">
        <v>3.61284E7</v>
      </c>
      <c r="T876" s="77">
        <v>2890272.0</v>
      </c>
      <c r="U876" s="132">
        <f t="shared" si="172"/>
        <v>39018672</v>
      </c>
      <c r="V876" s="70"/>
    </row>
    <row r="877" ht="25.5" customHeight="1">
      <c r="A877" s="66">
        <v>46202.0</v>
      </c>
      <c r="B877" s="67" t="s">
        <v>1432</v>
      </c>
      <c r="C877" s="67" t="s">
        <v>55</v>
      </c>
      <c r="D877" s="67" t="s">
        <v>53</v>
      </c>
      <c r="E877" s="58" t="s">
        <v>70</v>
      </c>
      <c r="F877" s="67" t="s">
        <v>71</v>
      </c>
      <c r="G877" s="68">
        <v>2000.0</v>
      </c>
      <c r="H877" s="76">
        <v>21025.0</v>
      </c>
      <c r="I877" s="77">
        <v>4.205E7</v>
      </c>
      <c r="J877" s="77">
        <v>3364000.0</v>
      </c>
      <c r="K877" s="77">
        <v>4.5414E7</v>
      </c>
      <c r="L877" s="131" t="s">
        <v>1093</v>
      </c>
      <c r="M877" s="65" t="str">
        <f>VLOOKUP(L877,'Đơn đặt'!$C$3:$E$275,2,0)</f>
        <v>04-08-TS</v>
      </c>
      <c r="N877" s="65" t="str">
        <f>VLOOKUP(L877,'Đơn đặt'!$C$3:$E$275,3,0)</f>
        <v>47-2026/TS-AVP/ĐĐH</v>
      </c>
      <c r="O877" s="66">
        <v>46195.0</v>
      </c>
      <c r="P877" s="67" t="s">
        <v>1433</v>
      </c>
      <c r="Q877" s="68">
        <v>2000.0</v>
      </c>
      <c r="R877" s="76">
        <v>17629.0</v>
      </c>
      <c r="S877" s="77">
        <v>3.5258E7</v>
      </c>
      <c r="T877" s="77">
        <v>2820640.0</v>
      </c>
      <c r="U877" s="132">
        <f t="shared" si="172"/>
        <v>38078640</v>
      </c>
      <c r="V877" s="70"/>
    </row>
    <row r="878" ht="25.5" customHeight="1">
      <c r="A878" s="66">
        <v>46202.0</v>
      </c>
      <c r="B878" s="67" t="s">
        <v>1434</v>
      </c>
      <c r="C878" s="67" t="s">
        <v>38</v>
      </c>
      <c r="D878" s="67" t="s">
        <v>36</v>
      </c>
      <c r="E878" s="58" t="s">
        <v>70</v>
      </c>
      <c r="F878" s="67" t="s">
        <v>71</v>
      </c>
      <c r="G878" s="68">
        <v>1500.0</v>
      </c>
      <c r="H878" s="76">
        <v>19901.0</v>
      </c>
      <c r="I878" s="77">
        <v>2.98515E7</v>
      </c>
      <c r="J878" s="77">
        <v>2388120.0</v>
      </c>
      <c r="K878" s="77">
        <v>3.223962E7</v>
      </c>
      <c r="L878" s="131" t="s">
        <v>1428</v>
      </c>
      <c r="M878" s="65" t="str">
        <f>VLOOKUP(L878,'Đơn đặt'!$C$3:$E$275,2,0)</f>
        <v>05-09-TS</v>
      </c>
      <c r="N878" s="65" t="str">
        <f>VLOOKUP(L878,'Đơn đặt'!$C$3:$E$275,3,0)</f>
        <v>70-2026/TS-AVP/ĐĐH</v>
      </c>
      <c r="O878" s="66">
        <v>46195.0</v>
      </c>
      <c r="P878" s="67" t="s">
        <v>1435</v>
      </c>
      <c r="Q878" s="68">
        <v>1500.0</v>
      </c>
      <c r="R878" s="76">
        <v>19156.2</v>
      </c>
      <c r="S878" s="77">
        <v>2.87343E7</v>
      </c>
      <c r="T878" s="77">
        <v>2298744.0</v>
      </c>
      <c r="U878" s="132">
        <f t="shared" si="172"/>
        <v>31033044</v>
      </c>
      <c r="V878" s="70"/>
    </row>
    <row r="879" ht="25.5" customHeight="1">
      <c r="A879" s="66">
        <v>46202.0</v>
      </c>
      <c r="B879" s="67" t="s">
        <v>1434</v>
      </c>
      <c r="C879" s="67" t="s">
        <v>119</v>
      </c>
      <c r="D879" s="67" t="s">
        <v>120</v>
      </c>
      <c r="E879" s="58" t="s">
        <v>70</v>
      </c>
      <c r="F879" s="67" t="s">
        <v>71</v>
      </c>
      <c r="G879" s="68">
        <v>2500.0</v>
      </c>
      <c r="H879" s="76">
        <v>20276.0</v>
      </c>
      <c r="I879" s="77">
        <v>5.069E7</v>
      </c>
      <c r="J879" s="77">
        <v>4055200.0</v>
      </c>
      <c r="K879" s="77">
        <v>5.47452E7</v>
      </c>
      <c r="L879" s="131" t="s">
        <v>1436</v>
      </c>
      <c r="M879" s="65" t="str">
        <f>VLOOKUP(L879,'Đơn đặt'!$C$3:$E$275,2,0)</f>
        <v>03-18-TS</v>
      </c>
      <c r="N879" s="65" t="str">
        <f>VLOOKUP(L879,'Đơn đặt'!$C$3:$E$275,3,0)</f>
        <v>55-2026/TS-AVP/ĐĐH</v>
      </c>
      <c r="O879" s="66">
        <v>46195.0</v>
      </c>
      <c r="P879" s="67" t="s">
        <v>1435</v>
      </c>
      <c r="Q879" s="68">
        <v>2500.0</v>
      </c>
      <c r="R879" s="76">
        <v>18311.2</v>
      </c>
      <c r="S879" s="77">
        <v>4.5778E7</v>
      </c>
      <c r="T879" s="77">
        <v>3662240.0</v>
      </c>
      <c r="U879" s="132">
        <f t="shared" si="172"/>
        <v>49440240</v>
      </c>
      <c r="V879" s="70"/>
    </row>
    <row r="880" ht="25.5" customHeight="1">
      <c r="A880" s="66">
        <v>46202.0</v>
      </c>
      <c r="B880" s="67" t="s">
        <v>1437</v>
      </c>
      <c r="C880" s="67" t="s">
        <v>140</v>
      </c>
      <c r="D880" s="67" t="s">
        <v>141</v>
      </c>
      <c r="E880" s="58" t="s">
        <v>70</v>
      </c>
      <c r="F880" s="67" t="s">
        <v>112</v>
      </c>
      <c r="G880" s="68">
        <v>4000.0</v>
      </c>
      <c r="H880" s="76">
        <v>42560.0</v>
      </c>
      <c r="I880" s="77">
        <v>1.7024E8</v>
      </c>
      <c r="J880" s="77">
        <v>1.36192E7</v>
      </c>
      <c r="K880" s="77">
        <v>1.838592E8</v>
      </c>
      <c r="L880" s="131" t="s">
        <v>1404</v>
      </c>
      <c r="M880" s="65" t="str">
        <f>VLOOKUP(L880,'Đơn đặt'!$C$3:$E$275,2,0)</f>
        <v>06-18/TS</v>
      </c>
      <c r="N880" s="65" t="str">
        <f>VLOOKUP(L880,'Đơn đặt'!$C$3:$E$275,3,0)</f>
        <v> 72-2026/TS-AVP/ĐĐH</v>
      </c>
      <c r="O880" s="66">
        <v>46195.0</v>
      </c>
      <c r="P880" s="67" t="s">
        <v>1438</v>
      </c>
      <c r="Q880" s="68">
        <v>4000.0</v>
      </c>
      <c r="R880" s="76">
        <v>41312.0</v>
      </c>
      <c r="S880" s="77">
        <v>1.65248E8</v>
      </c>
      <c r="T880" s="77">
        <v>1.321984E7</v>
      </c>
      <c r="U880" s="132">
        <f t="shared" si="172"/>
        <v>178467840</v>
      </c>
      <c r="V880" s="70"/>
    </row>
    <row r="881" ht="25.5" customHeight="1">
      <c r="A881" s="66">
        <v>46202.0</v>
      </c>
      <c r="B881" s="67" t="s">
        <v>1439</v>
      </c>
      <c r="C881" s="67" t="s">
        <v>3</v>
      </c>
      <c r="D881" s="67" t="s">
        <v>164</v>
      </c>
      <c r="E881" s="58" t="s">
        <v>70</v>
      </c>
      <c r="F881" s="67" t="s">
        <v>112</v>
      </c>
      <c r="G881" s="68">
        <v>7000.0</v>
      </c>
      <c r="H881" s="76">
        <v>42560.0</v>
      </c>
      <c r="I881" s="77">
        <v>2.9792E8</v>
      </c>
      <c r="J881" s="77">
        <v>2.38336E7</v>
      </c>
      <c r="K881" s="77">
        <v>3.217536E8</v>
      </c>
      <c r="L881" s="131" t="s">
        <v>1404</v>
      </c>
      <c r="M881" s="65" t="str">
        <f>VLOOKUP(L881,'Đơn đặt'!$C$3:$E$275,2,0)</f>
        <v>06-18/TS</v>
      </c>
      <c r="N881" s="65" t="str">
        <f>VLOOKUP(L881,'Đơn đặt'!$C$3:$E$275,3,0)</f>
        <v> 72-2026/TS-AVP/ĐĐH</v>
      </c>
      <c r="O881" s="66">
        <v>46195.0</v>
      </c>
      <c r="P881" s="67" t="s">
        <v>1440</v>
      </c>
      <c r="Q881" s="68">
        <v>7000.0</v>
      </c>
      <c r="R881" s="76">
        <v>38912.0</v>
      </c>
      <c r="S881" s="77">
        <v>2.72384E8</v>
      </c>
      <c r="T881" s="77">
        <v>2.179072E7</v>
      </c>
      <c r="U881" s="132">
        <f t="shared" si="172"/>
        <v>294174720</v>
      </c>
      <c r="V881" s="70"/>
    </row>
    <row r="882" ht="25.5" customHeight="1">
      <c r="A882" s="66">
        <v>46202.0</v>
      </c>
      <c r="B882" s="67" t="s">
        <v>1441</v>
      </c>
      <c r="C882" s="67" t="s">
        <v>48</v>
      </c>
      <c r="D882" s="67" t="s">
        <v>47</v>
      </c>
      <c r="E882" s="58" t="s">
        <v>70</v>
      </c>
      <c r="F882" s="67" t="s">
        <v>71</v>
      </c>
      <c r="G882" s="68">
        <v>7000.0</v>
      </c>
      <c r="H882" s="76">
        <v>19206.0</v>
      </c>
      <c r="I882" s="77">
        <v>1.34442E8</v>
      </c>
      <c r="J882" s="77">
        <v>1.075536E7</v>
      </c>
      <c r="K882" s="77">
        <v>1.4519736E8</v>
      </c>
      <c r="L882" s="131" t="s">
        <v>1093</v>
      </c>
      <c r="M882" s="65" t="str">
        <f>VLOOKUP(L882,'Đơn đặt'!$C$3:$E$275,2,0)</f>
        <v>04-08-TS</v>
      </c>
      <c r="N882" s="65" t="str">
        <f>VLOOKUP(L882,'Đơn đặt'!$C$3:$E$275,3,0)</f>
        <v>47-2026/TS-AVP/ĐĐH</v>
      </c>
      <c r="O882" s="66">
        <v>46195.0</v>
      </c>
      <c r="P882" s="67" t="s">
        <v>1442</v>
      </c>
      <c r="Q882" s="68">
        <v>7000.0</v>
      </c>
      <c r="R882" s="76">
        <v>15209.2</v>
      </c>
      <c r="S882" s="77">
        <v>1.064644E8</v>
      </c>
      <c r="T882" s="77">
        <v>8517152.0</v>
      </c>
      <c r="U882" s="132">
        <f t="shared" si="172"/>
        <v>114981552</v>
      </c>
      <c r="V882" s="70"/>
    </row>
    <row r="883" ht="25.5" customHeight="1">
      <c r="A883" s="66">
        <v>46202.0</v>
      </c>
      <c r="B883" s="67" t="s">
        <v>1441</v>
      </c>
      <c r="C883" s="67" t="s">
        <v>50</v>
      </c>
      <c r="D883" s="67" t="s">
        <v>49</v>
      </c>
      <c r="E883" s="58" t="s">
        <v>70</v>
      </c>
      <c r="F883" s="67" t="s">
        <v>71</v>
      </c>
      <c r="G883" s="68">
        <v>2500.0</v>
      </c>
      <c r="H883" s="76">
        <v>19206.0</v>
      </c>
      <c r="I883" s="77">
        <v>4.8015E7</v>
      </c>
      <c r="J883" s="77">
        <v>3841200.0</v>
      </c>
      <c r="K883" s="77">
        <v>5.18562E7</v>
      </c>
      <c r="L883" s="131" t="s">
        <v>1093</v>
      </c>
      <c r="M883" s="65" t="str">
        <f>VLOOKUP(L883,'Đơn đặt'!$C$3:$E$275,2,0)</f>
        <v>04-08-TS</v>
      </c>
      <c r="N883" s="65" t="str">
        <f>VLOOKUP(L883,'Đơn đặt'!$C$3:$E$275,3,0)</f>
        <v>47-2026/TS-AVP/ĐĐH</v>
      </c>
      <c r="O883" s="66">
        <v>46195.0</v>
      </c>
      <c r="P883" s="67" t="s">
        <v>1443</v>
      </c>
      <c r="Q883" s="68">
        <v>2500.0</v>
      </c>
      <c r="R883" s="76">
        <v>15209.2</v>
      </c>
      <c r="S883" s="77">
        <v>3.8023E7</v>
      </c>
      <c r="T883" s="77">
        <v>3041840.0</v>
      </c>
      <c r="U883" s="132">
        <f t="shared" si="172"/>
        <v>41064840</v>
      </c>
      <c r="V883" s="70"/>
    </row>
    <row r="884" ht="25.5" customHeight="1">
      <c r="A884" s="66">
        <v>46202.0</v>
      </c>
      <c r="B884" s="67" t="s">
        <v>1444</v>
      </c>
      <c r="C884" s="67" t="s">
        <v>59</v>
      </c>
      <c r="D884" s="67" t="s">
        <v>105</v>
      </c>
      <c r="E884" s="58" t="s">
        <v>70</v>
      </c>
      <c r="F884" s="67" t="s">
        <v>71</v>
      </c>
      <c r="G884" s="68">
        <v>2000.0</v>
      </c>
      <c r="H884" s="76">
        <v>19206.0</v>
      </c>
      <c r="I884" s="77">
        <v>3.8412E7</v>
      </c>
      <c r="J884" s="77">
        <v>3072960.0</v>
      </c>
      <c r="K884" s="77">
        <v>4.148496E7</v>
      </c>
      <c r="L884" s="131" t="s">
        <v>1093</v>
      </c>
      <c r="M884" s="65" t="str">
        <f>VLOOKUP(L884,'Đơn đặt'!$C$3:$E$275,2,0)</f>
        <v>04-08-TS</v>
      </c>
      <c r="N884" s="65" t="str">
        <f>VLOOKUP(L884,'Đơn đặt'!$C$3:$E$275,3,0)</f>
        <v>47-2026/TS-AVP/ĐĐH</v>
      </c>
      <c r="O884" s="66">
        <v>46195.0</v>
      </c>
      <c r="P884" s="67" t="s">
        <v>1445</v>
      </c>
      <c r="Q884" s="68">
        <v>2000.0</v>
      </c>
      <c r="R884" s="76">
        <v>17073.2</v>
      </c>
      <c r="S884" s="77">
        <v>3.41464E7</v>
      </c>
      <c r="T884" s="77">
        <v>2731712.0</v>
      </c>
      <c r="U884" s="132">
        <f t="shared" si="172"/>
        <v>36878112</v>
      </c>
      <c r="V884" s="70"/>
    </row>
    <row r="885" ht="25.5" customHeight="1">
      <c r="A885" s="66">
        <v>46202.0</v>
      </c>
      <c r="B885" s="67" t="s">
        <v>1444</v>
      </c>
      <c r="C885" s="67" t="s">
        <v>196</v>
      </c>
      <c r="D885" s="67" t="s">
        <v>197</v>
      </c>
      <c r="E885" s="58" t="s">
        <v>70</v>
      </c>
      <c r="F885" s="67" t="s">
        <v>71</v>
      </c>
      <c r="G885" s="68">
        <v>2156.0</v>
      </c>
      <c r="H885" s="76">
        <v>20286.0</v>
      </c>
      <c r="I885" s="77">
        <v>4.3736616E7</v>
      </c>
      <c r="J885" s="77">
        <v>3498929.0</v>
      </c>
      <c r="K885" s="77">
        <v>4.7235545E7</v>
      </c>
      <c r="L885" s="131" t="s">
        <v>1446</v>
      </c>
      <c r="M885" s="65" t="str">
        <f>VLOOKUP(L885,'Đơn đặt'!$C$3:$E$275,2,0)</f>
        <v>05-02-TS</v>
      </c>
      <c r="N885" s="65" t="str">
        <f>VLOOKUP(L885,'Đơn đặt'!$C$3:$E$275,3,0)</f>
        <v>62-2026/TS-AVP/ĐĐH</v>
      </c>
      <c r="O885" s="66">
        <v>46195.0</v>
      </c>
      <c r="P885" s="67" t="s">
        <v>1445</v>
      </c>
      <c r="Q885" s="68">
        <v>2156.0</v>
      </c>
      <c r="R885" s="76">
        <v>18825.2</v>
      </c>
      <c r="S885" s="77">
        <v>4.0587131E7</v>
      </c>
      <c r="T885" s="77">
        <v>3246970.0</v>
      </c>
      <c r="U885" s="132">
        <f t="shared" si="172"/>
        <v>43834101</v>
      </c>
      <c r="V885" s="70"/>
    </row>
    <row r="886" ht="25.5" customHeight="1">
      <c r="A886" s="66">
        <v>46202.0</v>
      </c>
      <c r="B886" s="67" t="s">
        <v>1447</v>
      </c>
      <c r="C886" s="67" t="s">
        <v>206</v>
      </c>
      <c r="D886" s="67" t="s">
        <v>207</v>
      </c>
      <c r="E886" s="58" t="s">
        <v>70</v>
      </c>
      <c r="F886" s="67" t="s">
        <v>71</v>
      </c>
      <c r="G886" s="68">
        <v>1800.0</v>
      </c>
      <c r="H886" s="76">
        <v>19041.0</v>
      </c>
      <c r="I886" s="77">
        <f t="shared" ref="I886:I887" si="209">G886*H886</f>
        <v>34273800</v>
      </c>
      <c r="J886" s="77">
        <f t="shared" ref="J886:J887" si="210">I886*8%</f>
        <v>2741904</v>
      </c>
      <c r="K886" s="77">
        <f t="shared" ref="K886:K887" si="211">I886+J886</f>
        <v>37015704</v>
      </c>
      <c r="L886" s="131" t="s">
        <v>1426</v>
      </c>
      <c r="M886" s="65" t="str">
        <f>VLOOKUP(L886,'Đơn đặt'!$C$3:$E$275,2,0)</f>
        <v>02-11-TS</v>
      </c>
      <c r="N886" s="65" t="str">
        <f>VLOOKUP(L886,'Đơn đặt'!$C$3:$E$275,3,0)</f>
        <v>52-2026/TS-AVP/ĐĐH</v>
      </c>
      <c r="O886" s="66">
        <v>46196.0</v>
      </c>
      <c r="P886" s="67" t="s">
        <v>1448</v>
      </c>
      <c r="Q886" s="68">
        <v>1800.0</v>
      </c>
      <c r="R886" s="76">
        <v>18064.2</v>
      </c>
      <c r="S886" s="77">
        <f t="shared" ref="S886:S888" si="212">Q886*R886</f>
        <v>32515560</v>
      </c>
      <c r="T886" s="77">
        <f t="shared" ref="T886:T887" si="213">S886*8%</f>
        <v>2601244.8</v>
      </c>
      <c r="U886" s="132">
        <f t="shared" si="172"/>
        <v>35116804.8</v>
      </c>
      <c r="V886" s="70"/>
    </row>
    <row r="887" ht="25.5" customHeight="1">
      <c r="A887" s="66">
        <v>46202.0</v>
      </c>
      <c r="B887" s="67" t="s">
        <v>1447</v>
      </c>
      <c r="C887" s="67" t="s">
        <v>206</v>
      </c>
      <c r="D887" s="67" t="s">
        <v>207</v>
      </c>
      <c r="E887" s="58" t="s">
        <v>70</v>
      </c>
      <c r="F887" s="67" t="s">
        <v>71</v>
      </c>
      <c r="G887" s="68">
        <v>200.0</v>
      </c>
      <c r="H887" s="76">
        <v>19041.0</v>
      </c>
      <c r="I887" s="77">
        <f t="shared" si="209"/>
        <v>3808200</v>
      </c>
      <c r="J887" s="77">
        <f t="shared" si="210"/>
        <v>304656</v>
      </c>
      <c r="K887" s="77">
        <f t="shared" si="211"/>
        <v>4112856</v>
      </c>
      <c r="L887" s="131" t="s">
        <v>1417</v>
      </c>
      <c r="M887" s="65" t="str">
        <f>VLOOKUP(L887,'Đơn đặt'!$C$3:$E$275,2,0)</f>
        <v>03-18-TS</v>
      </c>
      <c r="N887" s="65" t="str">
        <f>VLOOKUP(L887,'Đơn đặt'!$C$3:$E$275,3,0)</f>
        <v>55-2026/TS-AVP/ĐĐH</v>
      </c>
      <c r="O887" s="66">
        <v>46196.0</v>
      </c>
      <c r="P887" s="67" t="s">
        <v>1448</v>
      </c>
      <c r="Q887" s="68">
        <v>200.0</v>
      </c>
      <c r="R887" s="76">
        <v>18064.2</v>
      </c>
      <c r="S887" s="77">
        <f t="shared" si="212"/>
        <v>3612840</v>
      </c>
      <c r="T887" s="77">
        <f t="shared" si="213"/>
        <v>289027.2</v>
      </c>
      <c r="U887" s="132">
        <f t="shared" si="172"/>
        <v>3901867.2</v>
      </c>
      <c r="V887" s="70"/>
    </row>
    <row r="888" ht="25.5" customHeight="1">
      <c r="A888" s="66">
        <v>46202.0</v>
      </c>
      <c r="B888" s="67" t="s">
        <v>1447</v>
      </c>
      <c r="C888" s="67" t="s">
        <v>119</v>
      </c>
      <c r="D888" s="67" t="s">
        <v>120</v>
      </c>
      <c r="E888" s="58" t="s">
        <v>70</v>
      </c>
      <c r="F888" s="67" t="s">
        <v>71</v>
      </c>
      <c r="G888" s="68">
        <v>1820.0</v>
      </c>
      <c r="H888" s="76">
        <v>20276.0</v>
      </c>
      <c r="I888" s="77">
        <v>3.690232E7</v>
      </c>
      <c r="J888" s="77">
        <v>2952186.0</v>
      </c>
      <c r="K888" s="77">
        <v>3.9854506E7</v>
      </c>
      <c r="L888" s="131" t="s">
        <v>1417</v>
      </c>
      <c r="M888" s="65" t="str">
        <f>VLOOKUP(L888,'Đơn đặt'!$C$3:$E$275,2,0)</f>
        <v>03-18-TS</v>
      </c>
      <c r="N888" s="65" t="str">
        <f>VLOOKUP(L888,'Đơn đặt'!$C$3:$E$275,3,0)</f>
        <v>55-2026/TS-AVP/ĐĐH</v>
      </c>
      <c r="O888" s="66">
        <v>46196.0</v>
      </c>
      <c r="P888" s="67" t="s">
        <v>1448</v>
      </c>
      <c r="Q888" s="132">
        <f>G888</f>
        <v>1820</v>
      </c>
      <c r="R888" s="76">
        <v>18311.2</v>
      </c>
      <c r="S888" s="133">
        <f t="shared" si="212"/>
        <v>33326384</v>
      </c>
      <c r="T888" s="133">
        <f>R888*0.08</f>
        <v>1464.896</v>
      </c>
      <c r="U888" s="132">
        <f t="shared" si="172"/>
        <v>33327848.9</v>
      </c>
      <c r="V888" s="70"/>
    </row>
    <row r="889" ht="25.5" customHeight="1">
      <c r="A889" s="66">
        <v>46202.0</v>
      </c>
      <c r="B889" s="67" t="s">
        <v>1447</v>
      </c>
      <c r="C889" s="67" t="s">
        <v>35</v>
      </c>
      <c r="D889" s="67" t="s">
        <v>34</v>
      </c>
      <c r="E889" s="58" t="s">
        <v>70</v>
      </c>
      <c r="F889" s="67" t="s">
        <v>71</v>
      </c>
      <c r="G889" s="68">
        <v>1000.0</v>
      </c>
      <c r="H889" s="76">
        <v>15645.0</v>
      </c>
      <c r="I889" s="77">
        <v>1.5645E7</v>
      </c>
      <c r="J889" s="77">
        <v>1251600.0</v>
      </c>
      <c r="K889" s="77">
        <v>1.68966E7</v>
      </c>
      <c r="L889" s="131" t="s">
        <v>1449</v>
      </c>
      <c r="M889" s="65" t="str">
        <f>VLOOKUP(L889,'Đơn đặt'!$C$3:$E$275,2,0)</f>
        <v>05-09-TS</v>
      </c>
      <c r="N889" s="65" t="str">
        <f>VLOOKUP(L889,'Đơn đặt'!$C$3:$E$275,3,0)</f>
        <v>68-2026/TS-AVP/ĐĐH</v>
      </c>
      <c r="O889" s="66">
        <v>46196.0</v>
      </c>
      <c r="P889" s="67" t="s">
        <v>1448</v>
      </c>
      <c r="Q889" s="68">
        <v>1000.0</v>
      </c>
      <c r="R889" s="76">
        <v>14849.0</v>
      </c>
      <c r="S889" s="77">
        <v>1.4849E7</v>
      </c>
      <c r="T889" s="77">
        <v>1187920.0</v>
      </c>
      <c r="U889" s="132">
        <f t="shared" si="172"/>
        <v>16036920</v>
      </c>
      <c r="V889" s="70"/>
    </row>
    <row r="890" ht="25.5" customHeight="1">
      <c r="A890" s="66">
        <v>46202.0</v>
      </c>
      <c r="B890" s="67" t="s">
        <v>1450</v>
      </c>
      <c r="C890" s="67" t="s">
        <v>14</v>
      </c>
      <c r="D890" s="67" t="s">
        <v>13</v>
      </c>
      <c r="E890" s="58" t="s">
        <v>70</v>
      </c>
      <c r="F890" s="67" t="s">
        <v>71</v>
      </c>
      <c r="G890" s="68">
        <v>1000.0</v>
      </c>
      <c r="H890" s="76">
        <v>20374.0</v>
      </c>
      <c r="I890" s="77">
        <v>2.0374E7</v>
      </c>
      <c r="J890" s="77">
        <v>1629920.0</v>
      </c>
      <c r="K890" s="77">
        <v>2.200392E7</v>
      </c>
      <c r="L890" s="131" t="s">
        <v>1449</v>
      </c>
      <c r="M890" s="65" t="str">
        <f>VLOOKUP(L890,'Đơn đặt'!$C$3:$E$275,2,0)</f>
        <v>05-09-TS</v>
      </c>
      <c r="N890" s="65" t="str">
        <f>VLOOKUP(L890,'Đơn đặt'!$C$3:$E$275,3,0)</f>
        <v>68-2026/TS-AVP/ĐĐH</v>
      </c>
      <c r="O890" s="66">
        <v>46196.0</v>
      </c>
      <c r="P890" s="67" t="s">
        <v>1448</v>
      </c>
      <c r="Q890" s="68">
        <v>1000.0</v>
      </c>
      <c r="R890" s="76">
        <v>18666.8</v>
      </c>
      <c r="S890" s="77">
        <v>1.86668E7</v>
      </c>
      <c r="T890" s="77">
        <v>1493344.0</v>
      </c>
      <c r="U890" s="132">
        <f t="shared" si="172"/>
        <v>20160144</v>
      </c>
      <c r="V890" s="70"/>
    </row>
    <row r="891" ht="25.5" customHeight="1">
      <c r="A891" s="66">
        <v>46202.0</v>
      </c>
      <c r="B891" s="67" t="s">
        <v>1450</v>
      </c>
      <c r="C891" s="67" t="s">
        <v>119</v>
      </c>
      <c r="D891" s="67" t="s">
        <v>120</v>
      </c>
      <c r="E891" s="58" t="s">
        <v>70</v>
      </c>
      <c r="F891" s="67" t="s">
        <v>71</v>
      </c>
      <c r="G891" s="68">
        <v>680.0</v>
      </c>
      <c r="H891" s="76">
        <v>20276.0</v>
      </c>
      <c r="I891" s="77">
        <v>1.378768E7</v>
      </c>
      <c r="J891" s="77">
        <v>1103014.0</v>
      </c>
      <c r="K891" s="77">
        <v>1.4890694E7</v>
      </c>
      <c r="L891" s="131" t="s">
        <v>1417</v>
      </c>
      <c r="M891" s="65" t="str">
        <f>VLOOKUP(L891,'Đơn đặt'!$C$3:$E$275,2,0)</f>
        <v>03-18-TS</v>
      </c>
      <c r="N891" s="65" t="str">
        <f>VLOOKUP(L891,'Đơn đặt'!$C$3:$E$275,3,0)</f>
        <v>55-2026/TS-AVP/ĐĐH</v>
      </c>
      <c r="O891" s="66">
        <v>46196.0</v>
      </c>
      <c r="P891" s="67" t="s">
        <v>1448</v>
      </c>
      <c r="Q891" s="132">
        <f>G891</f>
        <v>680</v>
      </c>
      <c r="R891" s="76">
        <v>18311.2</v>
      </c>
      <c r="S891" s="133">
        <f>Q891*R891</f>
        <v>12451616</v>
      </c>
      <c r="T891" s="133">
        <f>R891*0.08</f>
        <v>1464.896</v>
      </c>
      <c r="U891" s="132">
        <f t="shared" si="172"/>
        <v>12453080.9</v>
      </c>
      <c r="V891" s="70"/>
    </row>
    <row r="892" ht="25.5" customHeight="1">
      <c r="A892" s="66">
        <v>46202.0</v>
      </c>
      <c r="B892" s="67" t="s">
        <v>1451</v>
      </c>
      <c r="C892" s="67" t="s">
        <v>55</v>
      </c>
      <c r="D892" s="67" t="s">
        <v>53</v>
      </c>
      <c r="E892" s="58" t="s">
        <v>70</v>
      </c>
      <c r="F892" s="67" t="s">
        <v>71</v>
      </c>
      <c r="G892" s="68">
        <v>2000.0</v>
      </c>
      <c r="H892" s="76">
        <v>21025.0</v>
      </c>
      <c r="I892" s="77">
        <v>4.205E7</v>
      </c>
      <c r="J892" s="77">
        <v>3364000.0</v>
      </c>
      <c r="K892" s="77">
        <v>4.5414E7</v>
      </c>
      <c r="L892" s="131" t="s">
        <v>1093</v>
      </c>
      <c r="M892" s="65" t="str">
        <f>VLOOKUP(L892,'Đơn đặt'!$C$3:$E$275,2,0)</f>
        <v>04-08-TS</v>
      </c>
      <c r="N892" s="65" t="str">
        <f>VLOOKUP(L892,'Đơn đặt'!$C$3:$E$275,3,0)</f>
        <v>47-2026/TS-AVP/ĐĐH</v>
      </c>
      <c r="O892" s="66">
        <v>46196.0</v>
      </c>
      <c r="P892" s="67" t="s">
        <v>1452</v>
      </c>
      <c r="Q892" s="68">
        <v>2000.0</v>
      </c>
      <c r="R892" s="76">
        <v>17629.0</v>
      </c>
      <c r="S892" s="77">
        <v>3.5258E7</v>
      </c>
      <c r="T892" s="77">
        <v>2820640.0</v>
      </c>
      <c r="U892" s="132">
        <f t="shared" si="172"/>
        <v>38078640</v>
      </c>
      <c r="V892" s="70"/>
    </row>
    <row r="893" ht="25.5" customHeight="1">
      <c r="A893" s="66">
        <v>46202.0</v>
      </c>
      <c r="B893" s="67" t="s">
        <v>1453</v>
      </c>
      <c r="C893" s="67" t="s">
        <v>59</v>
      </c>
      <c r="D893" s="67" t="s">
        <v>105</v>
      </c>
      <c r="E893" s="58" t="s">
        <v>70</v>
      </c>
      <c r="F893" s="67" t="s">
        <v>71</v>
      </c>
      <c r="G893" s="68">
        <v>2000.0</v>
      </c>
      <c r="H893" s="76">
        <v>19206.0</v>
      </c>
      <c r="I893" s="77">
        <v>3.8412E7</v>
      </c>
      <c r="J893" s="77">
        <v>3072960.0</v>
      </c>
      <c r="K893" s="77">
        <v>4.148496E7</v>
      </c>
      <c r="L893" s="131" t="s">
        <v>1093</v>
      </c>
      <c r="M893" s="65" t="str">
        <f>VLOOKUP(L893,'Đơn đặt'!$C$3:$E$275,2,0)</f>
        <v>04-08-TS</v>
      </c>
      <c r="N893" s="65" t="str">
        <f>VLOOKUP(L893,'Đơn đặt'!$C$3:$E$275,3,0)</f>
        <v>47-2026/TS-AVP/ĐĐH</v>
      </c>
      <c r="O893" s="66">
        <v>46197.0</v>
      </c>
      <c r="P893" s="67" t="s">
        <v>1454</v>
      </c>
      <c r="Q893" s="132">
        <f>G893</f>
        <v>2000</v>
      </c>
      <c r="R893" s="76">
        <v>17073.2</v>
      </c>
      <c r="S893" s="77">
        <v>3.41464E7</v>
      </c>
      <c r="T893" s="77">
        <v>2731712.0</v>
      </c>
      <c r="U893" s="132">
        <f t="shared" si="172"/>
        <v>36878112</v>
      </c>
      <c r="V893" s="70"/>
    </row>
    <row r="894" ht="25.5" customHeight="1">
      <c r="A894" s="66">
        <v>46202.0</v>
      </c>
      <c r="B894" s="67" t="s">
        <v>1453</v>
      </c>
      <c r="C894" s="67" t="s">
        <v>119</v>
      </c>
      <c r="D894" s="67" t="s">
        <v>120</v>
      </c>
      <c r="E894" s="58" t="s">
        <v>70</v>
      </c>
      <c r="F894" s="67" t="s">
        <v>71</v>
      </c>
      <c r="G894" s="68">
        <v>2000.0</v>
      </c>
      <c r="H894" s="76">
        <v>20276.0</v>
      </c>
      <c r="I894" s="77">
        <v>4.0552E7</v>
      </c>
      <c r="J894" s="77">
        <v>3244160.0</v>
      </c>
      <c r="K894" s="77">
        <v>4.379616E7</v>
      </c>
      <c r="L894" s="131" t="s">
        <v>1417</v>
      </c>
      <c r="M894" s="65" t="str">
        <f>VLOOKUP(L894,'Đơn đặt'!$C$3:$E$275,2,0)</f>
        <v>03-18-TS</v>
      </c>
      <c r="N894" s="65" t="str">
        <f>VLOOKUP(L894,'Đơn đặt'!$C$3:$E$275,3,0)</f>
        <v>55-2026/TS-AVP/ĐĐH</v>
      </c>
      <c r="O894" s="66">
        <v>46197.0</v>
      </c>
      <c r="P894" s="67" t="s">
        <v>1454</v>
      </c>
      <c r="Q894" s="68">
        <v>2000.0</v>
      </c>
      <c r="R894" s="76">
        <v>18311.2</v>
      </c>
      <c r="S894" s="77">
        <v>3.66224E7</v>
      </c>
      <c r="T894" s="77">
        <v>2929792.0</v>
      </c>
      <c r="U894" s="132">
        <f t="shared" si="172"/>
        <v>39552192</v>
      </c>
      <c r="V894" s="70"/>
    </row>
    <row r="895" ht="25.5" customHeight="1">
      <c r="A895" s="66">
        <v>46202.0</v>
      </c>
      <c r="B895" s="67" t="s">
        <v>1453</v>
      </c>
      <c r="C895" s="67" t="s">
        <v>222</v>
      </c>
      <c r="D895" s="67" t="s">
        <v>223</v>
      </c>
      <c r="E895" s="58" t="s">
        <v>70</v>
      </c>
      <c r="F895" s="67" t="s">
        <v>71</v>
      </c>
      <c r="G895" s="68">
        <v>1000.0</v>
      </c>
      <c r="H895" s="76">
        <v>20276.0</v>
      </c>
      <c r="I895" s="77">
        <v>2.0276E7</v>
      </c>
      <c r="J895" s="77">
        <v>1622080.0</v>
      </c>
      <c r="K895" s="77">
        <v>2.189808E7</v>
      </c>
      <c r="L895" s="131" t="s">
        <v>1417</v>
      </c>
      <c r="M895" s="65" t="str">
        <f>VLOOKUP(L895,'Đơn đặt'!$C$3:$E$275,2,0)</f>
        <v>03-18-TS</v>
      </c>
      <c r="N895" s="65" t="str">
        <f>VLOOKUP(L895,'Đơn đặt'!$C$3:$E$275,3,0)</f>
        <v>55-2026/TS-AVP/ĐĐH</v>
      </c>
      <c r="O895" s="66">
        <v>46197.0</v>
      </c>
      <c r="P895" s="67" t="s">
        <v>1454</v>
      </c>
      <c r="Q895" s="68">
        <v>1000.0</v>
      </c>
      <c r="R895" s="76">
        <v>18311.2</v>
      </c>
      <c r="S895" s="77">
        <v>1.83112E7</v>
      </c>
      <c r="T895" s="77">
        <v>1464896.0</v>
      </c>
      <c r="U895" s="132">
        <f t="shared" si="172"/>
        <v>19776096</v>
      </c>
      <c r="V895" s="70"/>
    </row>
    <row r="896" ht="25.5" customHeight="1">
      <c r="A896" s="66">
        <v>46202.0</v>
      </c>
      <c r="B896" s="67" t="s">
        <v>960</v>
      </c>
      <c r="C896" s="67" t="s">
        <v>48</v>
      </c>
      <c r="D896" s="67" t="s">
        <v>47</v>
      </c>
      <c r="E896" s="58" t="s">
        <v>70</v>
      </c>
      <c r="F896" s="67" t="s">
        <v>71</v>
      </c>
      <c r="G896" s="68">
        <v>6000.0</v>
      </c>
      <c r="H896" s="76">
        <v>19206.0</v>
      </c>
      <c r="I896" s="77">
        <f t="shared" ref="I896:I897" si="214">G896*H896</f>
        <v>115236000</v>
      </c>
      <c r="J896" s="77">
        <f t="shared" ref="J896:J897" si="215">I896*8%</f>
        <v>9218880</v>
      </c>
      <c r="K896" s="77">
        <f t="shared" ref="K896:K897" si="216">I896+J896</f>
        <v>124454880</v>
      </c>
      <c r="L896" s="131" t="s">
        <v>1093</v>
      </c>
      <c r="M896" s="65" t="str">
        <f>VLOOKUP(L896,'Đơn đặt'!$C$3:$E$275,2,0)</f>
        <v>04-08-TS</v>
      </c>
      <c r="N896" s="65" t="str">
        <f>VLOOKUP(L896,'Đơn đặt'!$C$3:$E$275,3,0)</f>
        <v>47-2026/TS-AVP/ĐĐH</v>
      </c>
      <c r="O896" s="66">
        <v>46197.0</v>
      </c>
      <c r="P896" s="67" t="s">
        <v>1455</v>
      </c>
      <c r="Q896" s="68">
        <v>6000.0</v>
      </c>
      <c r="R896" s="76">
        <v>15209.2</v>
      </c>
      <c r="S896" s="77">
        <f t="shared" ref="S896:S897" si="217">Q896*R896</f>
        <v>91255200</v>
      </c>
      <c r="T896" s="77">
        <f t="shared" ref="T896:T897" si="218">S896*8%</f>
        <v>7300416</v>
      </c>
      <c r="U896" s="132">
        <f t="shared" si="172"/>
        <v>98555616</v>
      </c>
      <c r="V896" s="70"/>
    </row>
    <row r="897" ht="25.5" customHeight="1">
      <c r="A897" s="66">
        <v>46202.0</v>
      </c>
      <c r="B897" s="67" t="s">
        <v>960</v>
      </c>
      <c r="C897" s="67" t="s">
        <v>48</v>
      </c>
      <c r="D897" s="67" t="s">
        <v>47</v>
      </c>
      <c r="E897" s="58" t="s">
        <v>70</v>
      </c>
      <c r="F897" s="67" t="s">
        <v>71</v>
      </c>
      <c r="G897" s="68">
        <v>1000.0</v>
      </c>
      <c r="H897" s="76">
        <v>19206.0</v>
      </c>
      <c r="I897" s="77">
        <f t="shared" si="214"/>
        <v>19206000</v>
      </c>
      <c r="J897" s="77">
        <f t="shared" si="215"/>
        <v>1536480</v>
      </c>
      <c r="K897" s="77">
        <f t="shared" si="216"/>
        <v>20742480</v>
      </c>
      <c r="L897" s="131" t="s">
        <v>1456</v>
      </c>
      <c r="M897" s="65" t="str">
        <f>VLOOKUP(L897,'Đơn đặt'!$C$3:$E$275,2,0)</f>
        <v>05-09-TS</v>
      </c>
      <c r="N897" s="65" t="str">
        <f>VLOOKUP(L897,'Đơn đặt'!$C$3:$E$275,3,0)</f>
        <v>68-2026/TS-AVP/ĐĐH</v>
      </c>
      <c r="O897" s="66">
        <v>46197.0</v>
      </c>
      <c r="P897" s="67" t="s">
        <v>1455</v>
      </c>
      <c r="Q897" s="68">
        <v>1000.0</v>
      </c>
      <c r="R897" s="76">
        <v>15209.2</v>
      </c>
      <c r="S897" s="77">
        <f t="shared" si="217"/>
        <v>15209200</v>
      </c>
      <c r="T897" s="77">
        <f t="shared" si="218"/>
        <v>1216736</v>
      </c>
      <c r="U897" s="132">
        <f t="shared" si="172"/>
        <v>16425936</v>
      </c>
      <c r="V897" s="70"/>
    </row>
    <row r="898" ht="25.5" customHeight="1">
      <c r="A898" s="66">
        <v>46202.0</v>
      </c>
      <c r="B898" s="67" t="s">
        <v>960</v>
      </c>
      <c r="C898" s="67" t="s">
        <v>50</v>
      </c>
      <c r="D898" s="67" t="s">
        <v>49</v>
      </c>
      <c r="E898" s="58" t="s">
        <v>70</v>
      </c>
      <c r="F898" s="67" t="s">
        <v>71</v>
      </c>
      <c r="G898" s="68">
        <v>2000.0</v>
      </c>
      <c r="H898" s="76">
        <v>19206.0</v>
      </c>
      <c r="I898" s="77">
        <v>3.8412E7</v>
      </c>
      <c r="J898" s="77">
        <v>3072960.0</v>
      </c>
      <c r="K898" s="77">
        <v>4.148496E7</v>
      </c>
      <c r="L898" s="131" t="s">
        <v>1093</v>
      </c>
      <c r="M898" s="65" t="str">
        <f>VLOOKUP(L898,'Đơn đặt'!$C$3:$E$275,2,0)</f>
        <v>04-08-TS</v>
      </c>
      <c r="N898" s="65" t="str">
        <f>VLOOKUP(L898,'Đơn đặt'!$C$3:$E$275,3,0)</f>
        <v>47-2026/TS-AVP/ĐĐH</v>
      </c>
      <c r="O898" s="66">
        <v>46197.0</v>
      </c>
      <c r="P898" s="67" t="s">
        <v>1457</v>
      </c>
      <c r="Q898" s="68">
        <v>2000.0</v>
      </c>
      <c r="R898" s="76">
        <v>15209.2</v>
      </c>
      <c r="S898" s="77">
        <v>3.04184E7</v>
      </c>
      <c r="T898" s="77">
        <v>2433472.0</v>
      </c>
      <c r="U898" s="132">
        <f t="shared" si="172"/>
        <v>32851872</v>
      </c>
      <c r="V898" s="70"/>
    </row>
    <row r="899" ht="25.5" customHeight="1">
      <c r="A899" s="66">
        <v>46202.0</v>
      </c>
      <c r="B899" s="67" t="s">
        <v>963</v>
      </c>
      <c r="C899" s="67" t="s">
        <v>196</v>
      </c>
      <c r="D899" s="67" t="s">
        <v>197</v>
      </c>
      <c r="E899" s="58" t="s">
        <v>70</v>
      </c>
      <c r="F899" s="67" t="s">
        <v>71</v>
      </c>
      <c r="G899" s="68">
        <v>2200.0</v>
      </c>
      <c r="H899" s="76">
        <v>20286.0</v>
      </c>
      <c r="I899" s="77">
        <v>4.46292E7</v>
      </c>
      <c r="J899" s="77">
        <v>3570336.0</v>
      </c>
      <c r="K899" s="77">
        <v>4.8199536E7</v>
      </c>
      <c r="L899" s="131" t="s">
        <v>1458</v>
      </c>
      <c r="M899" s="65" t="str">
        <f>VLOOKUP(L899,'Đơn đặt'!$C$3:$E$275,2,0)</f>
        <v>05-10-TS</v>
      </c>
      <c r="N899" s="65" t="str">
        <f>VLOOKUP(L899,'Đơn đặt'!$C$3:$E$275,3,0)</f>
        <v>69-2026/TS-AVP/ĐĐH</v>
      </c>
      <c r="O899" s="66">
        <v>46198.0</v>
      </c>
      <c r="P899" s="67" t="s">
        <v>1459</v>
      </c>
      <c r="Q899" s="68">
        <v>2200.0</v>
      </c>
      <c r="R899" s="76">
        <v>18825.2</v>
      </c>
      <c r="S899" s="77">
        <v>4.141544E7</v>
      </c>
      <c r="T899" s="77">
        <v>3313235.0</v>
      </c>
      <c r="U899" s="132">
        <f t="shared" si="172"/>
        <v>44728675</v>
      </c>
      <c r="V899" s="70"/>
    </row>
    <row r="900" ht="25.5" customHeight="1">
      <c r="A900" s="66">
        <v>46202.0</v>
      </c>
      <c r="B900" s="67" t="s">
        <v>963</v>
      </c>
      <c r="C900" s="67" t="s">
        <v>119</v>
      </c>
      <c r="D900" s="67" t="s">
        <v>120</v>
      </c>
      <c r="E900" s="58" t="s">
        <v>70</v>
      </c>
      <c r="F900" s="67" t="s">
        <v>71</v>
      </c>
      <c r="G900" s="68">
        <v>470.0</v>
      </c>
      <c r="H900" s="76">
        <v>20276.0</v>
      </c>
      <c r="I900" s="77">
        <v>9529720.0</v>
      </c>
      <c r="J900" s="77">
        <v>762378.0</v>
      </c>
      <c r="K900" s="77">
        <v>1.0292098E7</v>
      </c>
      <c r="L900" s="131" t="s">
        <v>1417</v>
      </c>
      <c r="M900" s="65" t="str">
        <f>VLOOKUP(L900,'Đơn đặt'!$C$3:$E$275,2,0)</f>
        <v>03-18-TS</v>
      </c>
      <c r="N900" s="65" t="str">
        <f>VLOOKUP(L900,'Đơn đặt'!$C$3:$E$275,3,0)</f>
        <v>55-2026/TS-AVP/ĐĐH</v>
      </c>
      <c r="O900" s="66">
        <v>46198.0</v>
      </c>
      <c r="P900" s="67" t="s">
        <v>1459</v>
      </c>
      <c r="Q900" s="132">
        <f>G900</f>
        <v>470</v>
      </c>
      <c r="R900" s="76">
        <v>18311.2</v>
      </c>
      <c r="S900" s="77">
        <v>3.66224E7</v>
      </c>
      <c r="T900" s="133">
        <f>R900*0.08</f>
        <v>1464.896</v>
      </c>
      <c r="U900" s="132">
        <f t="shared" si="172"/>
        <v>36623864.9</v>
      </c>
      <c r="V900" s="70"/>
    </row>
    <row r="901" ht="25.5" customHeight="1">
      <c r="A901" s="66">
        <v>46202.0</v>
      </c>
      <c r="B901" s="67" t="s">
        <v>965</v>
      </c>
      <c r="C901" s="67" t="s">
        <v>38</v>
      </c>
      <c r="D901" s="67" t="s">
        <v>36</v>
      </c>
      <c r="E901" s="58" t="s">
        <v>70</v>
      </c>
      <c r="F901" s="67" t="s">
        <v>71</v>
      </c>
      <c r="G901" s="68">
        <v>1500.0</v>
      </c>
      <c r="H901" s="76">
        <v>19901.0</v>
      </c>
      <c r="I901" s="77">
        <v>2.98515E7</v>
      </c>
      <c r="J901" s="77">
        <v>2388120.0</v>
      </c>
      <c r="K901" s="77">
        <v>3.223962E7</v>
      </c>
      <c r="L901" s="131" t="s">
        <v>1456</v>
      </c>
      <c r="M901" s="65" t="str">
        <f>VLOOKUP(L901,'Đơn đặt'!$C$3:$E$275,2,0)</f>
        <v>05-09-TS</v>
      </c>
      <c r="N901" s="65" t="str">
        <f>VLOOKUP(L901,'Đơn đặt'!$C$3:$E$275,3,0)</f>
        <v>68-2026/TS-AVP/ĐĐH</v>
      </c>
      <c r="O901" s="66">
        <v>46198.0</v>
      </c>
      <c r="P901" s="67" t="s">
        <v>1459</v>
      </c>
      <c r="Q901" s="68">
        <v>1500.0</v>
      </c>
      <c r="R901" s="76">
        <v>19156.2</v>
      </c>
      <c r="S901" s="77">
        <v>2.87343E7</v>
      </c>
      <c r="T901" s="77">
        <v>2298744.0</v>
      </c>
      <c r="U901" s="132">
        <f t="shared" si="172"/>
        <v>31033044</v>
      </c>
      <c r="V901" s="70"/>
    </row>
    <row r="902" ht="25.5" customHeight="1">
      <c r="A902" s="66">
        <v>46202.0</v>
      </c>
      <c r="B902" s="67" t="s">
        <v>965</v>
      </c>
      <c r="C902" s="67" t="s">
        <v>206</v>
      </c>
      <c r="D902" s="67" t="s">
        <v>207</v>
      </c>
      <c r="E902" s="58" t="s">
        <v>70</v>
      </c>
      <c r="F902" s="67" t="s">
        <v>71</v>
      </c>
      <c r="G902" s="68">
        <v>2500.0</v>
      </c>
      <c r="H902" s="76">
        <v>19041.0</v>
      </c>
      <c r="I902" s="77">
        <v>4.76025E7</v>
      </c>
      <c r="J902" s="77">
        <v>3808200.0</v>
      </c>
      <c r="K902" s="77">
        <v>5.14107E7</v>
      </c>
      <c r="L902" s="131" t="s">
        <v>1417</v>
      </c>
      <c r="M902" s="65" t="str">
        <f>VLOOKUP(L902,'Đơn đặt'!$C$3:$E$275,2,0)</f>
        <v>03-18-TS</v>
      </c>
      <c r="N902" s="65" t="str">
        <f>VLOOKUP(L902,'Đơn đặt'!$C$3:$E$275,3,0)</f>
        <v>55-2026/TS-AVP/ĐĐH</v>
      </c>
      <c r="O902" s="66">
        <v>46198.0</v>
      </c>
      <c r="P902" s="67" t="s">
        <v>1459</v>
      </c>
      <c r="Q902" s="68">
        <v>2500.0</v>
      </c>
      <c r="R902" s="76">
        <v>18064.2</v>
      </c>
      <c r="S902" s="77">
        <v>4.51605E7</v>
      </c>
      <c r="T902" s="77">
        <v>3612840.0</v>
      </c>
      <c r="U902" s="132">
        <f t="shared" si="172"/>
        <v>48773340</v>
      </c>
      <c r="V902" s="70"/>
    </row>
    <row r="903" ht="25.5" customHeight="1">
      <c r="A903" s="66">
        <v>46202.0</v>
      </c>
      <c r="B903" s="67" t="s">
        <v>965</v>
      </c>
      <c r="C903" s="67" t="s">
        <v>119</v>
      </c>
      <c r="D903" s="67" t="s">
        <v>120</v>
      </c>
      <c r="E903" s="58" t="s">
        <v>70</v>
      </c>
      <c r="F903" s="67" t="s">
        <v>71</v>
      </c>
      <c r="G903" s="68">
        <v>30.0</v>
      </c>
      <c r="H903" s="76">
        <v>20276.0</v>
      </c>
      <c r="I903" s="77">
        <v>608280.0</v>
      </c>
      <c r="J903" s="77">
        <v>48662.0</v>
      </c>
      <c r="K903" s="77">
        <v>656942.0</v>
      </c>
      <c r="L903" s="131" t="s">
        <v>1417</v>
      </c>
      <c r="M903" s="65" t="str">
        <f>VLOOKUP(L903,'Đơn đặt'!$C$3:$E$275,2,0)</f>
        <v>03-18-TS</v>
      </c>
      <c r="N903" s="65" t="str">
        <f>VLOOKUP(L903,'Đơn đặt'!$C$3:$E$275,3,0)</f>
        <v>55-2026/TS-AVP/ĐĐH</v>
      </c>
      <c r="O903" s="66">
        <v>46198.0</v>
      </c>
      <c r="P903" s="67" t="s">
        <v>1459</v>
      </c>
      <c r="Q903" s="132">
        <f>G903</f>
        <v>30</v>
      </c>
      <c r="R903" s="76">
        <v>18311.2</v>
      </c>
      <c r="S903" s="77">
        <v>3.66224E7</v>
      </c>
      <c r="T903" s="133">
        <f>R903*0.08</f>
        <v>1464.896</v>
      </c>
      <c r="U903" s="132">
        <f t="shared" si="172"/>
        <v>36623864.9</v>
      </c>
      <c r="V903" s="70"/>
    </row>
    <row r="904" ht="25.5" customHeight="1">
      <c r="A904" s="66">
        <v>46202.0</v>
      </c>
      <c r="B904" s="67" t="s">
        <v>961</v>
      </c>
      <c r="C904" s="67" t="s">
        <v>48</v>
      </c>
      <c r="D904" s="67" t="s">
        <v>47</v>
      </c>
      <c r="E904" s="58" t="s">
        <v>70</v>
      </c>
      <c r="F904" s="67" t="s">
        <v>71</v>
      </c>
      <c r="G904" s="68">
        <v>3300.0</v>
      </c>
      <c r="H904" s="76">
        <v>19206.0</v>
      </c>
      <c r="I904" s="77">
        <f t="shared" ref="I904:I905" si="219">G904*H904</f>
        <v>63379800</v>
      </c>
      <c r="J904" s="77">
        <f t="shared" ref="J904:J905" si="220">I904*8%</f>
        <v>5070384</v>
      </c>
      <c r="K904" s="77">
        <f t="shared" ref="K904:K905" si="221">I904+J904</f>
        <v>68450184</v>
      </c>
      <c r="L904" s="131" t="s">
        <v>1093</v>
      </c>
      <c r="M904" s="65" t="str">
        <f>VLOOKUP(L904,'Đơn đặt'!$C$3:$E$275,2,0)</f>
        <v>04-08-TS</v>
      </c>
      <c r="N904" s="65" t="str">
        <f>VLOOKUP(L904,'Đơn đặt'!$C$3:$E$275,3,0)</f>
        <v>47-2026/TS-AVP/ĐĐH</v>
      </c>
      <c r="O904" s="66">
        <v>46199.0</v>
      </c>
      <c r="P904" s="67" t="s">
        <v>1460</v>
      </c>
      <c r="Q904" s="68">
        <v>3300.0</v>
      </c>
      <c r="R904" s="76">
        <v>15209.2</v>
      </c>
      <c r="S904" s="77">
        <f t="shared" ref="S904:S905" si="222">Q904*R904</f>
        <v>50190360</v>
      </c>
      <c r="T904" s="77">
        <f t="shared" ref="T904:T905" si="223">S904*8%</f>
        <v>4015228.8</v>
      </c>
      <c r="U904" s="132">
        <f t="shared" si="172"/>
        <v>54205588.8</v>
      </c>
      <c r="V904" s="70"/>
    </row>
    <row r="905" ht="25.5" customHeight="1">
      <c r="A905" s="66">
        <v>46202.0</v>
      </c>
      <c r="B905" s="67" t="s">
        <v>961</v>
      </c>
      <c r="C905" s="67" t="s">
        <v>48</v>
      </c>
      <c r="D905" s="67" t="s">
        <v>47</v>
      </c>
      <c r="E905" s="58" t="s">
        <v>70</v>
      </c>
      <c r="F905" s="67" t="s">
        <v>71</v>
      </c>
      <c r="G905" s="68">
        <v>1900.0</v>
      </c>
      <c r="H905" s="76">
        <v>19206.0</v>
      </c>
      <c r="I905" s="77">
        <f t="shared" si="219"/>
        <v>36491400</v>
      </c>
      <c r="J905" s="77">
        <f t="shared" si="220"/>
        <v>2919312</v>
      </c>
      <c r="K905" s="77">
        <f t="shared" si="221"/>
        <v>39410712</v>
      </c>
      <c r="L905" s="131" t="s">
        <v>1400</v>
      </c>
      <c r="M905" s="65" t="str">
        <f>VLOOKUP(L905,'Đơn đặt'!$C$3:$E$275,2,0)</f>
        <v>05-09-TS</v>
      </c>
      <c r="N905" s="65" t="str">
        <f>VLOOKUP(L905,'Đơn đặt'!$C$3:$E$275,3,0)</f>
        <v>68-2026/TS-AVP/ĐĐH</v>
      </c>
      <c r="O905" s="66">
        <v>46199.0</v>
      </c>
      <c r="P905" s="67" t="s">
        <v>1460</v>
      </c>
      <c r="Q905" s="68">
        <v>1900.0</v>
      </c>
      <c r="R905" s="76">
        <v>15209.2</v>
      </c>
      <c r="S905" s="77">
        <f t="shared" si="222"/>
        <v>28897480</v>
      </c>
      <c r="T905" s="77">
        <f t="shared" si="223"/>
        <v>2311798.4</v>
      </c>
      <c r="U905" s="132">
        <f t="shared" si="172"/>
        <v>31209278.4</v>
      </c>
      <c r="V905" s="70"/>
    </row>
    <row r="906" ht="25.5" customHeight="1">
      <c r="A906" s="66">
        <v>46202.0</v>
      </c>
      <c r="B906" s="67" t="s">
        <v>1461</v>
      </c>
      <c r="C906" s="67" t="s">
        <v>59</v>
      </c>
      <c r="D906" s="67" t="s">
        <v>105</v>
      </c>
      <c r="E906" s="58" t="s">
        <v>70</v>
      </c>
      <c r="F906" s="67" t="s">
        <v>71</v>
      </c>
      <c r="G906" s="68">
        <v>2000.0</v>
      </c>
      <c r="H906" s="76">
        <v>19206.0</v>
      </c>
      <c r="I906" s="77">
        <v>3.8412E7</v>
      </c>
      <c r="J906" s="77">
        <v>3072960.0</v>
      </c>
      <c r="K906" s="77">
        <v>4.148496E7</v>
      </c>
      <c r="L906" s="131" t="s">
        <v>1093</v>
      </c>
      <c r="M906" s="65" t="str">
        <f>VLOOKUP(L906,'Đơn đặt'!$C$3:$E$275,2,0)</f>
        <v>04-08-TS</v>
      </c>
      <c r="N906" s="65" t="str">
        <f>VLOOKUP(L906,'Đơn đặt'!$C$3:$E$275,3,0)</f>
        <v>47-2026/TS-AVP/ĐĐH</v>
      </c>
      <c r="O906" s="66">
        <v>46199.0</v>
      </c>
      <c r="P906" s="67" t="s">
        <v>1462</v>
      </c>
      <c r="Q906" s="132">
        <f>G906</f>
        <v>2000</v>
      </c>
      <c r="R906" s="76">
        <v>17073.2</v>
      </c>
      <c r="S906" s="77">
        <v>3.41464E7</v>
      </c>
      <c r="T906" s="77">
        <v>2731712.0</v>
      </c>
      <c r="U906" s="132">
        <f t="shared" si="172"/>
        <v>36878112</v>
      </c>
      <c r="V906" s="70"/>
    </row>
    <row r="907" ht="25.5" customHeight="1">
      <c r="A907" s="66">
        <v>46202.0</v>
      </c>
      <c r="B907" s="67" t="s">
        <v>1461</v>
      </c>
      <c r="C907" s="67" t="s">
        <v>14</v>
      </c>
      <c r="D907" s="67" t="s">
        <v>13</v>
      </c>
      <c r="E907" s="58" t="s">
        <v>70</v>
      </c>
      <c r="F907" s="67" t="s">
        <v>71</v>
      </c>
      <c r="G907" s="68">
        <v>1000.0</v>
      </c>
      <c r="H907" s="76">
        <v>20374.0</v>
      </c>
      <c r="I907" s="77">
        <v>2.0374E7</v>
      </c>
      <c r="J907" s="77">
        <v>1629920.0</v>
      </c>
      <c r="K907" s="77">
        <v>2.200392E7</v>
      </c>
      <c r="L907" s="131" t="s">
        <v>1093</v>
      </c>
      <c r="M907" s="65" t="str">
        <f>VLOOKUP(L907,'Đơn đặt'!$C$3:$E$275,2,0)</f>
        <v>04-08-TS</v>
      </c>
      <c r="N907" s="65" t="str">
        <f>VLOOKUP(L907,'Đơn đặt'!$C$3:$E$275,3,0)</f>
        <v>47-2026/TS-AVP/ĐĐH</v>
      </c>
      <c r="O907" s="66">
        <v>46199.0</v>
      </c>
      <c r="P907" s="67" t="s">
        <v>1462</v>
      </c>
      <c r="Q907" s="68">
        <v>1000.0</v>
      </c>
      <c r="R907" s="76">
        <v>18666.8</v>
      </c>
      <c r="S907" s="77">
        <v>1.86668E7</v>
      </c>
      <c r="T907" s="77">
        <v>1493344.0</v>
      </c>
      <c r="U907" s="132">
        <f t="shared" si="172"/>
        <v>20160144</v>
      </c>
      <c r="V907" s="70"/>
    </row>
    <row r="908" ht="25.5" customHeight="1">
      <c r="A908" s="66">
        <v>46202.0</v>
      </c>
      <c r="B908" s="67" t="s">
        <v>1461</v>
      </c>
      <c r="C908" s="67" t="s">
        <v>119</v>
      </c>
      <c r="D908" s="67" t="s">
        <v>120</v>
      </c>
      <c r="E908" s="58" t="s">
        <v>70</v>
      </c>
      <c r="F908" s="67" t="s">
        <v>71</v>
      </c>
      <c r="G908" s="68">
        <v>650.0</v>
      </c>
      <c r="H908" s="76">
        <v>20276.0</v>
      </c>
      <c r="I908" s="77">
        <v>1.31794E7</v>
      </c>
      <c r="J908" s="77">
        <v>1054352.0</v>
      </c>
      <c r="K908" s="77">
        <v>1.4233752E7</v>
      </c>
      <c r="L908" s="131" t="s">
        <v>1417</v>
      </c>
      <c r="M908" s="65" t="str">
        <f>VLOOKUP(L908,'Đơn đặt'!$C$3:$E$275,2,0)</f>
        <v>03-18-TS</v>
      </c>
      <c r="N908" s="65" t="str">
        <f>VLOOKUP(L908,'Đơn đặt'!$C$3:$E$275,3,0)</f>
        <v>55-2026/TS-AVP/ĐĐH</v>
      </c>
      <c r="O908" s="66">
        <v>46199.0</v>
      </c>
      <c r="P908" s="67" t="s">
        <v>1462</v>
      </c>
      <c r="Q908" s="68">
        <v>650.0</v>
      </c>
      <c r="R908" s="76">
        <v>18311.2</v>
      </c>
      <c r="S908" s="77">
        <v>1.190228E7</v>
      </c>
      <c r="T908" s="77">
        <v>952182.0</v>
      </c>
      <c r="U908" s="132">
        <f t="shared" si="172"/>
        <v>12854462</v>
      </c>
      <c r="V908" s="70"/>
    </row>
    <row r="909" ht="25.5" customHeight="1">
      <c r="A909" s="66">
        <v>46202.0</v>
      </c>
      <c r="B909" s="67" t="s">
        <v>1463</v>
      </c>
      <c r="C909" s="67" t="s">
        <v>3</v>
      </c>
      <c r="D909" s="67" t="s">
        <v>164</v>
      </c>
      <c r="E909" s="58" t="s">
        <v>70</v>
      </c>
      <c r="F909" s="67" t="s">
        <v>112</v>
      </c>
      <c r="G909" s="68">
        <v>7000.0</v>
      </c>
      <c r="H909" s="76">
        <v>42560.0</v>
      </c>
      <c r="I909" s="77">
        <v>2.9792E8</v>
      </c>
      <c r="J909" s="77">
        <v>2.38336E7</v>
      </c>
      <c r="K909" s="77">
        <v>3.217536E8</v>
      </c>
      <c r="L909" s="131" t="s">
        <v>1404</v>
      </c>
      <c r="M909" s="65" t="str">
        <f>VLOOKUP(L909,'Đơn đặt'!$C$3:$E$275,2,0)</f>
        <v>06-18/TS</v>
      </c>
      <c r="N909" s="65" t="str">
        <f>VLOOKUP(L909,'Đơn đặt'!$C$3:$E$275,3,0)</f>
        <v> 72-2026/TS-AVP/ĐĐH</v>
      </c>
      <c r="O909" s="66">
        <v>46199.0</v>
      </c>
      <c r="P909" s="67" t="s">
        <v>1464</v>
      </c>
      <c r="Q909" s="68">
        <v>7000.0</v>
      </c>
      <c r="R909" s="76">
        <v>38912.0</v>
      </c>
      <c r="S909" s="77">
        <v>2.72384E8</v>
      </c>
      <c r="T909" s="77">
        <v>2.179072E7</v>
      </c>
      <c r="U909" s="132">
        <f t="shared" si="172"/>
        <v>294174720</v>
      </c>
      <c r="V909" s="70"/>
    </row>
    <row r="910" ht="25.5" customHeight="1">
      <c r="A910" s="66">
        <v>46202.0</v>
      </c>
      <c r="B910" s="67" t="s">
        <v>1465</v>
      </c>
      <c r="C910" s="67" t="s">
        <v>48</v>
      </c>
      <c r="D910" s="67" t="s">
        <v>47</v>
      </c>
      <c r="E910" s="58" t="s">
        <v>70</v>
      </c>
      <c r="F910" s="67" t="s">
        <v>71</v>
      </c>
      <c r="G910" s="68">
        <v>1800.0</v>
      </c>
      <c r="H910" s="76">
        <v>19206.0</v>
      </c>
      <c r="I910" s="77">
        <v>3.45708E7</v>
      </c>
      <c r="J910" s="77">
        <v>2765664.0</v>
      </c>
      <c r="K910" s="77">
        <v>3.7336464E7</v>
      </c>
      <c r="L910" s="131" t="s">
        <v>1400</v>
      </c>
      <c r="M910" s="65" t="str">
        <f>VLOOKUP(L910,'Đơn đặt'!$C$3:$E$275,2,0)</f>
        <v>05-09-TS</v>
      </c>
      <c r="N910" s="65" t="str">
        <f>VLOOKUP(L910,'Đơn đặt'!$C$3:$E$275,3,0)</f>
        <v>68-2026/TS-AVP/ĐĐH</v>
      </c>
      <c r="O910" s="66">
        <v>46199.0</v>
      </c>
      <c r="P910" s="67" t="s">
        <v>1466</v>
      </c>
      <c r="Q910" s="68">
        <v>1800.0</v>
      </c>
      <c r="R910" s="76">
        <v>15209.2</v>
      </c>
      <c r="S910" s="77">
        <v>2.737656E7</v>
      </c>
      <c r="T910" s="77">
        <v>2190125.0</v>
      </c>
      <c r="U910" s="132">
        <f t="shared" si="172"/>
        <v>29566685</v>
      </c>
      <c r="V910" s="70"/>
    </row>
    <row r="911" ht="25.5" customHeight="1">
      <c r="A911" s="66">
        <v>46202.0</v>
      </c>
      <c r="B911" s="67" t="s">
        <v>1465</v>
      </c>
      <c r="C911" s="67" t="s">
        <v>50</v>
      </c>
      <c r="D911" s="67" t="s">
        <v>49</v>
      </c>
      <c r="E911" s="58" t="s">
        <v>70</v>
      </c>
      <c r="F911" s="67" t="s">
        <v>71</v>
      </c>
      <c r="G911" s="68">
        <v>2701.0</v>
      </c>
      <c r="H911" s="76">
        <v>19206.0</v>
      </c>
      <c r="I911" s="77">
        <v>5.1875406E7</v>
      </c>
      <c r="J911" s="77">
        <v>4150032.0</v>
      </c>
      <c r="K911" s="77">
        <v>5.6025438E7</v>
      </c>
      <c r="L911" s="131" t="s">
        <v>1093</v>
      </c>
      <c r="M911" s="65" t="str">
        <f>VLOOKUP(L911,'Đơn đặt'!$C$3:$E$275,2,0)</f>
        <v>04-08-TS</v>
      </c>
      <c r="N911" s="65" t="str">
        <f>VLOOKUP(L911,'Đơn đặt'!$C$3:$E$275,3,0)</f>
        <v>47-2026/TS-AVP/ĐĐH</v>
      </c>
      <c r="O911" s="66">
        <v>46199.0</v>
      </c>
      <c r="P911" s="67" t="s">
        <v>1466</v>
      </c>
      <c r="Q911" s="68">
        <v>2701.0</v>
      </c>
      <c r="R911" s="76">
        <v>15209.2</v>
      </c>
      <c r="S911" s="77">
        <v>4.1080049E7</v>
      </c>
      <c r="T911" s="77">
        <v>3286404.0</v>
      </c>
      <c r="U911" s="132">
        <f t="shared" si="172"/>
        <v>44366453</v>
      </c>
      <c r="V911" s="70"/>
    </row>
    <row r="912" ht="25.5" customHeight="1">
      <c r="A912" s="66">
        <v>46202.0</v>
      </c>
      <c r="B912" s="67" t="s">
        <v>1467</v>
      </c>
      <c r="C912" s="67" t="s">
        <v>14</v>
      </c>
      <c r="D912" s="67" t="s">
        <v>13</v>
      </c>
      <c r="E912" s="58" t="s">
        <v>70</v>
      </c>
      <c r="F912" s="67" t="s">
        <v>71</v>
      </c>
      <c r="G912" s="68">
        <v>400.0</v>
      </c>
      <c r="H912" s="76">
        <v>20374.0</v>
      </c>
      <c r="I912" s="77">
        <v>8149600.0</v>
      </c>
      <c r="J912" s="77">
        <v>651968.0</v>
      </c>
      <c r="K912" s="77">
        <v>8801568.0</v>
      </c>
      <c r="L912" s="131" t="s">
        <v>1093</v>
      </c>
      <c r="M912" s="65" t="str">
        <f>VLOOKUP(L912,'Đơn đặt'!$C$3:$E$275,2,0)</f>
        <v>04-08-TS</v>
      </c>
      <c r="N912" s="65" t="str">
        <f>VLOOKUP(L912,'Đơn đặt'!$C$3:$E$275,3,0)</f>
        <v>47-2026/TS-AVP/ĐĐH</v>
      </c>
      <c r="O912" s="66">
        <v>46200.0</v>
      </c>
      <c r="P912" s="67" t="s">
        <v>1468</v>
      </c>
      <c r="Q912" s="68">
        <v>400.0</v>
      </c>
      <c r="R912" s="76">
        <v>18666.8</v>
      </c>
      <c r="S912" s="77">
        <v>7466720.0</v>
      </c>
      <c r="T912" s="77">
        <v>597338.0</v>
      </c>
      <c r="U912" s="132">
        <f t="shared" si="172"/>
        <v>8064058</v>
      </c>
      <c r="V912" s="70"/>
    </row>
    <row r="913" ht="25.5" customHeight="1">
      <c r="A913" s="66">
        <v>46202.0</v>
      </c>
      <c r="B913" s="67" t="s">
        <v>1467</v>
      </c>
      <c r="C913" s="67" t="s">
        <v>119</v>
      </c>
      <c r="D913" s="67" t="s">
        <v>120</v>
      </c>
      <c r="E913" s="58" t="s">
        <v>70</v>
      </c>
      <c r="F913" s="67" t="s">
        <v>71</v>
      </c>
      <c r="G913" s="68">
        <v>350.0</v>
      </c>
      <c r="H913" s="76">
        <v>20276.0</v>
      </c>
      <c r="I913" s="77">
        <v>7096600.0</v>
      </c>
      <c r="J913" s="77">
        <v>567728.0</v>
      </c>
      <c r="K913" s="77">
        <v>7664328.0</v>
      </c>
      <c r="L913" s="131" t="s">
        <v>1417</v>
      </c>
      <c r="M913" s="65" t="str">
        <f>VLOOKUP(L913,'Đơn đặt'!$C$3:$E$275,2,0)</f>
        <v>03-18-TS</v>
      </c>
      <c r="N913" s="65" t="str">
        <f>VLOOKUP(L913,'Đơn đặt'!$C$3:$E$275,3,0)</f>
        <v>55-2026/TS-AVP/ĐĐH</v>
      </c>
      <c r="O913" s="66">
        <v>46200.0</v>
      </c>
      <c r="P913" s="67" t="s">
        <v>1468</v>
      </c>
      <c r="Q913" s="68">
        <v>350.0</v>
      </c>
      <c r="R913" s="76">
        <v>18311.2</v>
      </c>
      <c r="S913" s="77">
        <v>6408920.0</v>
      </c>
      <c r="T913" s="77">
        <v>512714.0</v>
      </c>
      <c r="U913" s="132">
        <f t="shared" si="172"/>
        <v>6921634</v>
      </c>
      <c r="V913" s="70"/>
    </row>
    <row r="914" ht="25.5" customHeight="1">
      <c r="A914" s="66">
        <v>46202.0</v>
      </c>
      <c r="B914" s="67" t="s">
        <v>1467</v>
      </c>
      <c r="C914" s="67" t="s">
        <v>222</v>
      </c>
      <c r="D914" s="67" t="s">
        <v>223</v>
      </c>
      <c r="E914" s="58" t="s">
        <v>70</v>
      </c>
      <c r="F914" s="67" t="s">
        <v>71</v>
      </c>
      <c r="G914" s="68">
        <v>1500.0</v>
      </c>
      <c r="H914" s="76">
        <v>20276.0</v>
      </c>
      <c r="I914" s="77">
        <v>3.0414E7</v>
      </c>
      <c r="J914" s="77">
        <v>2433120.0</v>
      </c>
      <c r="K914" s="77">
        <v>3.284712E7</v>
      </c>
      <c r="L914" s="131" t="s">
        <v>1417</v>
      </c>
      <c r="M914" s="65" t="str">
        <f>VLOOKUP(L914,'Đơn đặt'!$C$3:$E$275,2,0)</f>
        <v>03-18-TS</v>
      </c>
      <c r="N914" s="65" t="str">
        <f>VLOOKUP(L914,'Đơn đặt'!$C$3:$E$275,3,0)</f>
        <v>55-2026/TS-AVP/ĐĐH</v>
      </c>
      <c r="O914" s="66">
        <v>46200.0</v>
      </c>
      <c r="P914" s="67" t="s">
        <v>1468</v>
      </c>
      <c r="Q914" s="68">
        <v>1500.0</v>
      </c>
      <c r="R914" s="76">
        <v>18311.2</v>
      </c>
      <c r="S914" s="77">
        <v>2.74668E7</v>
      </c>
      <c r="T914" s="77">
        <v>2197343.0</v>
      </c>
      <c r="U914" s="132">
        <f t="shared" si="172"/>
        <v>29664143</v>
      </c>
      <c r="V914" s="70"/>
    </row>
    <row r="915" ht="25.5" customHeight="1">
      <c r="A915" s="66">
        <v>46202.0</v>
      </c>
      <c r="B915" s="67" t="s">
        <v>1469</v>
      </c>
      <c r="C915" s="67" t="s">
        <v>59</v>
      </c>
      <c r="D915" s="67" t="s">
        <v>105</v>
      </c>
      <c r="E915" s="58" t="s">
        <v>70</v>
      </c>
      <c r="F915" s="67" t="s">
        <v>71</v>
      </c>
      <c r="G915" s="68">
        <v>810.0</v>
      </c>
      <c r="H915" s="76">
        <v>19206.0</v>
      </c>
      <c r="I915" s="77">
        <v>1.555686E7</v>
      </c>
      <c r="J915" s="77">
        <v>1244549.0</v>
      </c>
      <c r="K915" s="77">
        <v>1.6801409E7</v>
      </c>
      <c r="L915" s="131" t="s">
        <v>1093</v>
      </c>
      <c r="M915" s="65" t="str">
        <f>VLOOKUP(L915,'Đơn đặt'!$C$3:$E$275,2,0)</f>
        <v>04-08-TS</v>
      </c>
      <c r="N915" s="65" t="str">
        <f>VLOOKUP(L915,'Đơn đặt'!$C$3:$E$275,3,0)</f>
        <v>47-2026/TS-AVP/ĐĐH</v>
      </c>
      <c r="O915" s="66">
        <v>46202.0</v>
      </c>
      <c r="P915" s="67" t="s">
        <v>1470</v>
      </c>
      <c r="Q915" s="132">
        <f>G915</f>
        <v>810</v>
      </c>
      <c r="R915" s="76">
        <v>17073.2</v>
      </c>
      <c r="S915" s="132">
        <f>Q915*R915</f>
        <v>13829292</v>
      </c>
      <c r="T915" s="132">
        <f>S915*0.08</f>
        <v>1106343.36</v>
      </c>
      <c r="U915" s="132">
        <f t="shared" si="172"/>
        <v>14935635.36</v>
      </c>
      <c r="V915" s="70"/>
    </row>
    <row r="916" ht="25.5" customHeight="1">
      <c r="A916" s="66">
        <v>46202.0</v>
      </c>
      <c r="B916" s="67" t="s">
        <v>1469</v>
      </c>
      <c r="C916" s="67" t="s">
        <v>14</v>
      </c>
      <c r="D916" s="67" t="s">
        <v>13</v>
      </c>
      <c r="E916" s="58" t="s">
        <v>70</v>
      </c>
      <c r="F916" s="67" t="s">
        <v>71</v>
      </c>
      <c r="G916" s="68">
        <v>1100.0</v>
      </c>
      <c r="H916" s="76">
        <v>20374.0</v>
      </c>
      <c r="I916" s="77">
        <v>2.24114E7</v>
      </c>
      <c r="J916" s="77">
        <v>1792912.0</v>
      </c>
      <c r="K916" s="77">
        <v>2.4204312E7</v>
      </c>
      <c r="L916" s="131" t="s">
        <v>1093</v>
      </c>
      <c r="M916" s="65" t="str">
        <f>VLOOKUP(L916,'Đơn đặt'!$C$3:$E$275,2,0)</f>
        <v>04-08-TS</v>
      </c>
      <c r="N916" s="65" t="str">
        <f>VLOOKUP(L916,'Đơn đặt'!$C$3:$E$275,3,0)</f>
        <v>47-2026/TS-AVP/ĐĐH</v>
      </c>
      <c r="O916" s="66">
        <v>46202.0</v>
      </c>
      <c r="P916" s="67" t="s">
        <v>1470</v>
      </c>
      <c r="Q916" s="68">
        <v>1100.0</v>
      </c>
      <c r="R916" s="76">
        <v>18666.8</v>
      </c>
      <c r="S916" s="77">
        <v>2.053348E7</v>
      </c>
      <c r="T916" s="77">
        <v>1642679.0</v>
      </c>
      <c r="U916" s="132">
        <f t="shared" si="172"/>
        <v>22176159</v>
      </c>
      <c r="V916" s="70"/>
    </row>
    <row r="917" ht="25.5" customHeight="1">
      <c r="A917" s="66">
        <v>46202.0</v>
      </c>
      <c r="B917" s="67" t="s">
        <v>1469</v>
      </c>
      <c r="C917" s="67" t="s">
        <v>402</v>
      </c>
      <c r="D917" s="67" t="s">
        <v>403</v>
      </c>
      <c r="E917" s="58" t="s">
        <v>70</v>
      </c>
      <c r="F917" s="67" t="s">
        <v>71</v>
      </c>
      <c r="G917" s="68">
        <v>330.0</v>
      </c>
      <c r="H917" s="76">
        <v>19901.0</v>
      </c>
      <c r="I917" s="77">
        <v>6567330.0</v>
      </c>
      <c r="J917" s="77">
        <v>525386.0</v>
      </c>
      <c r="K917" s="77">
        <v>7092716.0</v>
      </c>
      <c r="L917" s="131" t="s">
        <v>1093</v>
      </c>
      <c r="M917" s="65" t="str">
        <f>VLOOKUP(L917,'Đơn đặt'!$C$3:$E$275,2,0)</f>
        <v>04-08-TS</v>
      </c>
      <c r="N917" s="65" t="str">
        <f>VLOOKUP(L917,'Đơn đặt'!$C$3:$E$275,3,0)</f>
        <v>47-2026/TS-AVP/ĐĐH</v>
      </c>
      <c r="O917" s="66">
        <v>46202.0</v>
      </c>
      <c r="P917" s="67" t="s">
        <v>1470</v>
      </c>
      <c r="Q917" s="132">
        <f>G917</f>
        <v>330</v>
      </c>
      <c r="R917" s="76">
        <v>19156.2</v>
      </c>
      <c r="S917" s="133">
        <f>Q917*R917</f>
        <v>6321546</v>
      </c>
      <c r="T917" s="133">
        <f>S917*0.08</f>
        <v>505723.68</v>
      </c>
      <c r="U917" s="132">
        <f t="shared" si="172"/>
        <v>6827269.68</v>
      </c>
      <c r="V917" s="70"/>
    </row>
    <row r="918" ht="25.5" customHeight="1">
      <c r="A918" s="66">
        <v>46202.0</v>
      </c>
      <c r="B918" s="67" t="s">
        <v>1469</v>
      </c>
      <c r="C918" s="67" t="s">
        <v>29</v>
      </c>
      <c r="D918" s="67" t="s">
        <v>28</v>
      </c>
      <c r="E918" s="58" t="s">
        <v>70</v>
      </c>
      <c r="F918" s="67" t="s">
        <v>71</v>
      </c>
      <c r="G918" s="68">
        <v>620.0</v>
      </c>
      <c r="H918" s="76">
        <v>20110.0</v>
      </c>
      <c r="I918" s="77">
        <v>1.24682E7</v>
      </c>
      <c r="J918" s="77">
        <v>997456.0</v>
      </c>
      <c r="K918" s="77">
        <v>1.3465656E7</v>
      </c>
      <c r="L918" s="131" t="s">
        <v>1471</v>
      </c>
      <c r="M918" s="65" t="str">
        <f>VLOOKUP(L918,'Đơn đặt'!$C$3:$E$275,2,0)</f>
        <v>06-08/TS</v>
      </c>
      <c r="N918" s="65" t="str">
        <f>VLOOKUP(L918,'Đơn đặt'!$C$3:$E$275,3,0)</f>
        <v>75-2026/TS-AVP/ĐĐH</v>
      </c>
      <c r="O918" s="66">
        <v>46202.0</v>
      </c>
      <c r="P918" s="67" t="s">
        <v>1470</v>
      </c>
      <c r="Q918" s="68">
        <v>620.0</v>
      </c>
      <c r="R918" s="76">
        <v>20078.0</v>
      </c>
      <c r="S918" s="77">
        <v>1.244836E7</v>
      </c>
      <c r="T918" s="77">
        <v>995869.0</v>
      </c>
      <c r="U918" s="132">
        <f t="shared" si="172"/>
        <v>13444229</v>
      </c>
      <c r="V918" s="70"/>
    </row>
    <row r="919" ht="25.5" customHeight="1">
      <c r="A919" s="66">
        <v>46202.0</v>
      </c>
      <c r="B919" s="67" t="s">
        <v>1469</v>
      </c>
      <c r="C919" s="67" t="s">
        <v>17</v>
      </c>
      <c r="D919" s="67" t="s">
        <v>16</v>
      </c>
      <c r="E919" s="58" t="s">
        <v>70</v>
      </c>
      <c r="F919" s="67" t="s">
        <v>71</v>
      </c>
      <c r="G919" s="68">
        <v>520.0</v>
      </c>
      <c r="H919" s="76">
        <v>19283.0</v>
      </c>
      <c r="I919" s="77">
        <v>1.002716E7</v>
      </c>
      <c r="J919" s="77">
        <v>802173.0</v>
      </c>
      <c r="K919" s="77">
        <v>1.0829333E7</v>
      </c>
      <c r="L919" s="131" t="s">
        <v>1471</v>
      </c>
      <c r="M919" s="65" t="str">
        <f>VLOOKUP(L919,'Đơn đặt'!$C$3:$E$275,2,0)</f>
        <v>06-08/TS</v>
      </c>
      <c r="N919" s="65" t="str">
        <f>VLOOKUP(L919,'Đơn đặt'!$C$3:$E$275,3,0)</f>
        <v>75-2026/TS-AVP/ĐĐH</v>
      </c>
      <c r="O919" s="66">
        <v>46202.0</v>
      </c>
      <c r="P919" s="67" t="s">
        <v>1470</v>
      </c>
      <c r="Q919" s="132">
        <f>G919</f>
        <v>520</v>
      </c>
      <c r="R919" s="76">
        <v>18448.6</v>
      </c>
      <c r="S919" s="133">
        <f>Q919*R919</f>
        <v>9593272</v>
      </c>
      <c r="T919" s="133">
        <f>S919*0.08</f>
        <v>767461.76</v>
      </c>
      <c r="U919" s="132">
        <f t="shared" si="172"/>
        <v>10360733.76</v>
      </c>
      <c r="V919" s="70"/>
    </row>
    <row r="920" ht="25.5" customHeight="1">
      <c r="A920" s="66">
        <v>46202.0</v>
      </c>
      <c r="B920" s="67" t="s">
        <v>1472</v>
      </c>
      <c r="C920" s="67" t="s">
        <v>50</v>
      </c>
      <c r="D920" s="67" t="s">
        <v>49</v>
      </c>
      <c r="E920" s="58" t="s">
        <v>70</v>
      </c>
      <c r="F920" s="67" t="s">
        <v>71</v>
      </c>
      <c r="G920" s="68">
        <v>1300.0</v>
      </c>
      <c r="H920" s="76">
        <v>19206.0</v>
      </c>
      <c r="I920" s="77">
        <v>2.49678E7</v>
      </c>
      <c r="J920" s="77">
        <v>1997424.0</v>
      </c>
      <c r="K920" s="77">
        <v>2.6965224E7</v>
      </c>
      <c r="L920" s="131" t="s">
        <v>1093</v>
      </c>
      <c r="M920" s="65" t="str">
        <f>VLOOKUP(L920,'Đơn đặt'!$C$3:$E$275,2,0)</f>
        <v>04-08-TS</v>
      </c>
      <c r="N920" s="65" t="str">
        <f>VLOOKUP(L920,'Đơn đặt'!$C$3:$E$275,3,0)</f>
        <v>47-2026/TS-AVP/ĐĐH</v>
      </c>
      <c r="O920" s="66">
        <v>46202.0</v>
      </c>
      <c r="P920" s="67" t="s">
        <v>1473</v>
      </c>
      <c r="Q920" s="68">
        <v>1300.0</v>
      </c>
      <c r="R920" s="76">
        <v>15209.2</v>
      </c>
      <c r="S920" s="77">
        <v>1.977196E7</v>
      </c>
      <c r="T920" s="77">
        <v>1581757.0</v>
      </c>
      <c r="U920" s="132">
        <f t="shared" si="172"/>
        <v>21353717</v>
      </c>
      <c r="V920" s="70"/>
    </row>
    <row r="921" ht="25.5" customHeight="1">
      <c r="A921" s="66">
        <v>46202.0</v>
      </c>
      <c r="B921" s="67" t="s">
        <v>1474</v>
      </c>
      <c r="C921" s="67" t="s">
        <v>48</v>
      </c>
      <c r="D921" s="67" t="s">
        <v>47</v>
      </c>
      <c r="E921" s="58" t="s">
        <v>70</v>
      </c>
      <c r="F921" s="67" t="s">
        <v>71</v>
      </c>
      <c r="G921" s="68">
        <v>7500.0</v>
      </c>
      <c r="H921" s="76">
        <v>19206.0</v>
      </c>
      <c r="I921" s="77">
        <v>1.44045E8</v>
      </c>
      <c r="J921" s="77">
        <v>1.15236E7</v>
      </c>
      <c r="K921" s="77">
        <v>1.555686E8</v>
      </c>
      <c r="L921" s="131" t="s">
        <v>1400</v>
      </c>
      <c r="M921" s="65" t="str">
        <f>VLOOKUP(L921,'Đơn đặt'!$C$3:$E$275,2,0)</f>
        <v>05-09-TS</v>
      </c>
      <c r="N921" s="65" t="str">
        <f>VLOOKUP(L921,'Đơn đặt'!$C$3:$E$275,3,0)</f>
        <v>68-2026/TS-AVP/ĐĐH</v>
      </c>
      <c r="O921" s="66">
        <v>46202.0</v>
      </c>
      <c r="P921" s="67" t="s">
        <v>1475</v>
      </c>
      <c r="Q921" s="68">
        <v>7500.0</v>
      </c>
      <c r="R921" s="76">
        <v>15209.2</v>
      </c>
      <c r="S921" s="77">
        <v>1.14069E8</v>
      </c>
      <c r="T921" s="77">
        <v>9125520.0</v>
      </c>
      <c r="U921" s="132">
        <f t="shared" si="172"/>
        <v>123194520</v>
      </c>
      <c r="V921" s="70"/>
    </row>
    <row r="922" ht="25.5" customHeight="1">
      <c r="A922" s="66">
        <v>46202.0</v>
      </c>
      <c r="B922" s="67" t="s">
        <v>1474</v>
      </c>
      <c r="C922" s="67" t="s">
        <v>50</v>
      </c>
      <c r="D922" s="67" t="s">
        <v>49</v>
      </c>
      <c r="E922" s="58" t="s">
        <v>70</v>
      </c>
      <c r="F922" s="67" t="s">
        <v>71</v>
      </c>
      <c r="G922" s="68">
        <v>499.0</v>
      </c>
      <c r="H922" s="76">
        <v>19206.0</v>
      </c>
      <c r="I922" s="77">
        <v>9583794.0</v>
      </c>
      <c r="J922" s="77">
        <v>766704.0</v>
      </c>
      <c r="K922" s="77">
        <v>1.0350498E7</v>
      </c>
      <c r="L922" s="131" t="s">
        <v>1093</v>
      </c>
      <c r="M922" s="65" t="str">
        <f>VLOOKUP(L922,'Đơn đặt'!$C$3:$E$275,2,0)</f>
        <v>04-08-TS</v>
      </c>
      <c r="N922" s="65" t="str">
        <f>VLOOKUP(L922,'Đơn đặt'!$C$3:$E$275,3,0)</f>
        <v>47-2026/TS-AVP/ĐĐH</v>
      </c>
      <c r="O922" s="66">
        <v>46202.0</v>
      </c>
      <c r="P922" s="67" t="s">
        <v>1475</v>
      </c>
      <c r="Q922" s="68">
        <v>499.0</v>
      </c>
      <c r="R922" s="76">
        <v>15209.2</v>
      </c>
      <c r="S922" s="77">
        <v>7589391.0</v>
      </c>
      <c r="T922" s="77">
        <v>607151.0</v>
      </c>
      <c r="U922" s="132">
        <f t="shared" si="172"/>
        <v>8196542</v>
      </c>
      <c r="V922" s="70"/>
    </row>
    <row r="923" ht="25.5" customHeight="1">
      <c r="A923" s="66">
        <v>46202.0</v>
      </c>
      <c r="B923" s="67" t="s">
        <v>1476</v>
      </c>
      <c r="C923" s="67" t="s">
        <v>59</v>
      </c>
      <c r="D923" s="67" t="s">
        <v>105</v>
      </c>
      <c r="E923" s="58" t="s">
        <v>70</v>
      </c>
      <c r="F923" s="67" t="s">
        <v>71</v>
      </c>
      <c r="G923" s="68">
        <v>1690.0</v>
      </c>
      <c r="H923" s="76">
        <v>19206.0</v>
      </c>
      <c r="I923" s="77">
        <v>3.245814E7</v>
      </c>
      <c r="J923" s="77">
        <v>2596651.0</v>
      </c>
      <c r="K923" s="77">
        <v>3.5054791E7</v>
      </c>
      <c r="L923" s="131" t="s">
        <v>1093</v>
      </c>
      <c r="M923" s="65" t="str">
        <f>VLOOKUP(L923,'Đơn đặt'!$C$3:$E$275,2,0)</f>
        <v>04-08-TS</v>
      </c>
      <c r="N923" s="65" t="str">
        <f>VLOOKUP(L923,'Đơn đặt'!$C$3:$E$275,3,0)</f>
        <v>47-2026/TS-AVP/ĐĐH</v>
      </c>
      <c r="O923" s="66">
        <v>46202.0</v>
      </c>
      <c r="P923" s="67" t="s">
        <v>1470</v>
      </c>
      <c r="Q923" s="68">
        <v>1500.0</v>
      </c>
      <c r="R923" s="76">
        <v>19206.0</v>
      </c>
      <c r="S923" s="77">
        <v>2.8809E7</v>
      </c>
      <c r="T923" s="77">
        <v>2304720.0</v>
      </c>
      <c r="U923" s="132">
        <f t="shared" si="172"/>
        <v>31113720</v>
      </c>
      <c r="V923" s="70"/>
    </row>
    <row r="924" ht="25.5" customHeight="1">
      <c r="A924" s="66">
        <v>46202.0</v>
      </c>
      <c r="B924" s="67" t="s">
        <v>1476</v>
      </c>
      <c r="C924" s="67" t="s">
        <v>402</v>
      </c>
      <c r="D924" s="67" t="s">
        <v>403</v>
      </c>
      <c r="E924" s="58" t="s">
        <v>70</v>
      </c>
      <c r="F924" s="67" t="s">
        <v>71</v>
      </c>
      <c r="G924" s="68">
        <v>670.0</v>
      </c>
      <c r="H924" s="76">
        <v>19901.0</v>
      </c>
      <c r="I924" s="77">
        <v>1.333367E7</v>
      </c>
      <c r="J924" s="77">
        <v>1066694.0</v>
      </c>
      <c r="K924" s="77">
        <v>1.4400364E7</v>
      </c>
      <c r="L924" s="131" t="s">
        <v>1400</v>
      </c>
      <c r="M924" s="65" t="str">
        <f>VLOOKUP(L924,'Đơn đặt'!$C$3:$E$275,2,0)</f>
        <v>05-09-TS</v>
      </c>
      <c r="N924" s="65" t="str">
        <f>VLOOKUP(L924,'Đơn đặt'!$C$3:$E$275,3,0)</f>
        <v>68-2026/TS-AVP/ĐĐH</v>
      </c>
      <c r="O924" s="66">
        <v>46202.0</v>
      </c>
      <c r="P924" s="67" t="s">
        <v>1470</v>
      </c>
      <c r="Q924" s="132">
        <f t="shared" ref="Q924:Q925" si="224">G924</f>
        <v>670</v>
      </c>
      <c r="R924" s="76">
        <v>19156.2</v>
      </c>
      <c r="S924" s="133">
        <f t="shared" ref="S924:S925" si="225">Q924*R924</f>
        <v>12834654</v>
      </c>
      <c r="T924" s="133">
        <f t="shared" ref="T924:T925" si="226">S924*0.08</f>
        <v>1026772.32</v>
      </c>
      <c r="U924" s="132">
        <f t="shared" si="172"/>
        <v>13861426.32</v>
      </c>
      <c r="V924" s="70"/>
    </row>
    <row r="925" ht="25.5" customHeight="1">
      <c r="A925" s="66">
        <v>46202.0</v>
      </c>
      <c r="B925" s="67" t="s">
        <v>1476</v>
      </c>
      <c r="C925" s="67" t="s">
        <v>17</v>
      </c>
      <c r="D925" s="67" t="s">
        <v>16</v>
      </c>
      <c r="E925" s="58" t="s">
        <v>70</v>
      </c>
      <c r="F925" s="67" t="s">
        <v>71</v>
      </c>
      <c r="G925" s="68">
        <v>780.0</v>
      </c>
      <c r="H925" s="76">
        <v>19283.0</v>
      </c>
      <c r="I925" s="77">
        <v>1.504074E7</v>
      </c>
      <c r="J925" s="77">
        <v>1203259.0</v>
      </c>
      <c r="K925" s="77">
        <v>1.6243999E7</v>
      </c>
      <c r="L925" s="131" t="s">
        <v>1471</v>
      </c>
      <c r="M925" s="65" t="str">
        <f>VLOOKUP(L925,'Đơn đặt'!$C$3:$E$275,2,0)</f>
        <v>06-08/TS</v>
      </c>
      <c r="N925" s="65" t="str">
        <f>VLOOKUP(L925,'Đơn đặt'!$C$3:$E$275,3,0)</f>
        <v>75-2026/TS-AVP/ĐĐH</v>
      </c>
      <c r="O925" s="66">
        <v>46202.0</v>
      </c>
      <c r="P925" s="67" t="s">
        <v>1470</v>
      </c>
      <c r="Q925" s="132">
        <f t="shared" si="224"/>
        <v>780</v>
      </c>
      <c r="R925" s="76">
        <v>18448.6</v>
      </c>
      <c r="S925" s="133">
        <f t="shared" si="225"/>
        <v>14389908</v>
      </c>
      <c r="T925" s="133">
        <f t="shared" si="226"/>
        <v>1151192.64</v>
      </c>
      <c r="U925" s="132">
        <f t="shared" si="172"/>
        <v>15541100.64</v>
      </c>
      <c r="V925" s="70"/>
    </row>
    <row r="926" ht="25.5" customHeight="1">
      <c r="A926" s="66">
        <v>46203.0</v>
      </c>
      <c r="B926" s="67" t="s">
        <v>1477</v>
      </c>
      <c r="C926" s="67" t="s">
        <v>55</v>
      </c>
      <c r="D926" s="67" t="s">
        <v>53</v>
      </c>
      <c r="E926" s="58" t="s">
        <v>70</v>
      </c>
      <c r="F926" s="67" t="s">
        <v>71</v>
      </c>
      <c r="G926" s="68">
        <v>1996.0</v>
      </c>
      <c r="H926" s="76">
        <v>21025.0</v>
      </c>
      <c r="I926" s="77">
        <v>4.19659E7</v>
      </c>
      <c r="J926" s="77">
        <v>3357272.0</v>
      </c>
      <c r="K926" s="77">
        <v>4.5323172E7</v>
      </c>
      <c r="L926" s="131" t="s">
        <v>1093</v>
      </c>
      <c r="M926" s="65" t="str">
        <f>VLOOKUP(L926,'Đơn đặt'!$C$3:$E$275,2,0)</f>
        <v>04-08-TS</v>
      </c>
      <c r="N926" s="65" t="str">
        <f>VLOOKUP(L926,'Đơn đặt'!$C$3:$E$275,3,0)</f>
        <v>47-2026/TS-AVP/ĐĐH</v>
      </c>
      <c r="O926" s="66">
        <v>46203.0</v>
      </c>
      <c r="P926" s="67" t="s">
        <v>1478</v>
      </c>
      <c r="Q926" s="68">
        <v>1996.0</v>
      </c>
      <c r="R926" s="76">
        <v>17629.0</v>
      </c>
      <c r="S926" s="77">
        <v>3.5187484E7</v>
      </c>
      <c r="T926" s="77">
        <v>2814999.0</v>
      </c>
      <c r="U926" s="132">
        <f t="shared" si="172"/>
        <v>38002483</v>
      </c>
      <c r="V926" s="70"/>
    </row>
    <row r="927" ht="25.5" customHeight="1">
      <c r="A927" s="66">
        <v>46203.0</v>
      </c>
      <c r="B927" s="67" t="s">
        <v>1479</v>
      </c>
      <c r="C927" s="67" t="s">
        <v>38</v>
      </c>
      <c r="D927" s="67" t="s">
        <v>36</v>
      </c>
      <c r="E927" s="58" t="s">
        <v>70</v>
      </c>
      <c r="F927" s="67" t="s">
        <v>71</v>
      </c>
      <c r="G927" s="68">
        <v>1450.0</v>
      </c>
      <c r="H927" s="76">
        <v>19901.0</v>
      </c>
      <c r="I927" s="77">
        <v>2.885645E7</v>
      </c>
      <c r="J927" s="77">
        <v>2308516.0</v>
      </c>
      <c r="K927" s="77">
        <v>3.1164966E7</v>
      </c>
      <c r="L927" s="131" t="s">
        <v>1400</v>
      </c>
      <c r="M927" s="65" t="str">
        <f>VLOOKUP(L927,'Đơn đặt'!$C$3:$E$275,2,0)</f>
        <v>05-09-TS</v>
      </c>
      <c r="N927" s="65" t="str">
        <f>VLOOKUP(L927,'Đơn đặt'!$C$3:$E$275,3,0)</f>
        <v>68-2026/TS-AVP/ĐĐH</v>
      </c>
      <c r="O927" s="66">
        <v>46203.0</v>
      </c>
      <c r="P927" s="67" t="s">
        <v>1480</v>
      </c>
      <c r="Q927" s="132">
        <f>G927</f>
        <v>1450</v>
      </c>
      <c r="R927" s="76">
        <v>19156.2</v>
      </c>
      <c r="S927" s="133">
        <f>Q927*R927</f>
        <v>27776490</v>
      </c>
      <c r="T927" s="133">
        <f>S927*0.08</f>
        <v>2222119.2</v>
      </c>
      <c r="U927" s="132">
        <f t="shared" si="172"/>
        <v>29998609.2</v>
      </c>
      <c r="V927" s="70"/>
    </row>
    <row r="928" ht="25.5" customHeight="1">
      <c r="A928" s="66">
        <v>46203.0</v>
      </c>
      <c r="B928" s="67" t="s">
        <v>968</v>
      </c>
      <c r="C928" s="67" t="s">
        <v>244</v>
      </c>
      <c r="D928" s="67" t="s">
        <v>245</v>
      </c>
      <c r="E928" s="58" t="s">
        <v>70</v>
      </c>
      <c r="F928" s="67" t="s">
        <v>71</v>
      </c>
      <c r="G928" s="68">
        <v>1500.0</v>
      </c>
      <c r="H928" s="76">
        <v>19901.0</v>
      </c>
      <c r="I928" s="77">
        <v>2.98515E7</v>
      </c>
      <c r="J928" s="77">
        <v>2388120.0</v>
      </c>
      <c r="K928" s="77">
        <v>3.223962E7</v>
      </c>
      <c r="L928" s="131" t="s">
        <v>1400</v>
      </c>
      <c r="M928" s="65" t="str">
        <f>VLOOKUP(L928,'Đơn đặt'!$C$3:$E$275,2,0)</f>
        <v>05-09-TS</v>
      </c>
      <c r="N928" s="65" t="str">
        <f>VLOOKUP(L928,'Đơn đặt'!$C$3:$E$275,3,0)</f>
        <v>68-2026/TS-AVP/ĐĐH</v>
      </c>
      <c r="O928" s="66">
        <v>46203.0</v>
      </c>
      <c r="P928" s="67" t="s">
        <v>1480</v>
      </c>
      <c r="Q928" s="68">
        <v>1500.0</v>
      </c>
      <c r="R928" s="76">
        <v>19156.2</v>
      </c>
      <c r="S928" s="77">
        <v>2.87343E7</v>
      </c>
      <c r="T928" s="77">
        <v>2298744.0</v>
      </c>
      <c r="U928" s="132">
        <f t="shared" si="172"/>
        <v>31033044</v>
      </c>
      <c r="V928" s="70"/>
    </row>
    <row r="929" ht="25.5" customHeight="1">
      <c r="A929" s="66">
        <v>46203.0</v>
      </c>
      <c r="B929" s="67" t="s">
        <v>968</v>
      </c>
      <c r="C929" s="67" t="s">
        <v>206</v>
      </c>
      <c r="D929" s="67" t="s">
        <v>207</v>
      </c>
      <c r="E929" s="58" t="s">
        <v>70</v>
      </c>
      <c r="F929" s="67" t="s">
        <v>71</v>
      </c>
      <c r="G929" s="68">
        <v>2000.0</v>
      </c>
      <c r="H929" s="76">
        <v>19041.0</v>
      </c>
      <c r="I929" s="77">
        <v>3.8082E7</v>
      </c>
      <c r="J929" s="77">
        <v>3046560.0</v>
      </c>
      <c r="K929" s="77">
        <v>4.112856E7</v>
      </c>
      <c r="L929" s="131" t="s">
        <v>1417</v>
      </c>
      <c r="M929" s="65" t="str">
        <f>VLOOKUP(L929,'Đơn đặt'!$C$3:$E$275,2,0)</f>
        <v>03-18-TS</v>
      </c>
      <c r="N929" s="65" t="str">
        <f>VLOOKUP(L929,'Đơn đặt'!$C$3:$E$275,3,0)</f>
        <v>55-2026/TS-AVP/ĐĐH</v>
      </c>
      <c r="O929" s="66">
        <v>46203.0</v>
      </c>
      <c r="P929" s="67" t="s">
        <v>1480</v>
      </c>
      <c r="Q929" s="68">
        <v>2000.0</v>
      </c>
      <c r="R929" s="76">
        <v>18064.2</v>
      </c>
      <c r="S929" s="77">
        <v>3.61284E7</v>
      </c>
      <c r="T929" s="77">
        <v>2890272.0</v>
      </c>
      <c r="U929" s="132">
        <f t="shared" si="172"/>
        <v>39018672</v>
      </c>
      <c r="V929" s="70"/>
    </row>
    <row r="930" ht="25.5" customHeight="1">
      <c r="A930" s="66">
        <v>46203.0</v>
      </c>
      <c r="B930" s="67" t="s">
        <v>968</v>
      </c>
      <c r="C930" s="67" t="s">
        <v>38</v>
      </c>
      <c r="D930" s="67" t="s">
        <v>36</v>
      </c>
      <c r="E930" s="58" t="s">
        <v>70</v>
      </c>
      <c r="F930" s="67" t="s">
        <v>71</v>
      </c>
      <c r="G930" s="68">
        <v>550.0</v>
      </c>
      <c r="H930" s="76">
        <v>19901.0</v>
      </c>
      <c r="I930" s="77">
        <v>1.094555E7</v>
      </c>
      <c r="J930" s="77">
        <v>875644.0</v>
      </c>
      <c r="K930" s="77">
        <v>1.1821194E7</v>
      </c>
      <c r="L930" s="131" t="s">
        <v>1400</v>
      </c>
      <c r="M930" s="65" t="str">
        <f>VLOOKUP(L930,'Đơn đặt'!$C$3:$E$275,2,0)</f>
        <v>05-09-TS</v>
      </c>
      <c r="N930" s="65" t="str">
        <f>VLOOKUP(L930,'Đơn đặt'!$C$3:$E$275,3,0)</f>
        <v>68-2026/TS-AVP/ĐĐH</v>
      </c>
      <c r="O930" s="66">
        <v>46203.0</v>
      </c>
      <c r="P930" s="67" t="s">
        <v>1480</v>
      </c>
      <c r="Q930" s="132">
        <f>G930</f>
        <v>550</v>
      </c>
      <c r="R930" s="76">
        <v>19156.2</v>
      </c>
      <c r="S930" s="133">
        <f>Q930*R930</f>
        <v>10535910</v>
      </c>
      <c r="T930" s="133">
        <f>S930*0.08</f>
        <v>842872.8</v>
      </c>
      <c r="U930" s="132">
        <f t="shared" si="172"/>
        <v>11378782.8</v>
      </c>
      <c r="V930" s="70"/>
    </row>
    <row r="931" ht="25.5" customHeight="1">
      <c r="A931" s="66">
        <v>46203.0</v>
      </c>
      <c r="B931" s="67" t="s">
        <v>969</v>
      </c>
      <c r="C931" s="67" t="s">
        <v>48</v>
      </c>
      <c r="D931" s="67" t="s">
        <v>47</v>
      </c>
      <c r="E931" s="58" t="s">
        <v>70</v>
      </c>
      <c r="F931" s="67" t="s">
        <v>71</v>
      </c>
      <c r="G931" s="68">
        <v>2500.0</v>
      </c>
      <c r="H931" s="76">
        <v>19206.0</v>
      </c>
      <c r="I931" s="77">
        <v>4.8015E7</v>
      </c>
      <c r="J931" s="77">
        <v>3841200.0</v>
      </c>
      <c r="K931" s="77">
        <v>5.18562E7</v>
      </c>
      <c r="L931" s="131" t="s">
        <v>1400</v>
      </c>
      <c r="M931" s="65" t="str">
        <f>VLOOKUP(L931,'Đơn đặt'!$C$3:$E$275,2,0)</f>
        <v>05-09-TS</v>
      </c>
      <c r="N931" s="65" t="str">
        <f>VLOOKUP(L931,'Đơn đặt'!$C$3:$E$275,3,0)</f>
        <v>68-2026/TS-AVP/ĐĐH</v>
      </c>
      <c r="O931" s="66">
        <v>46203.0</v>
      </c>
      <c r="P931" s="67" t="s">
        <v>1481</v>
      </c>
      <c r="Q931" s="68">
        <v>2500.0</v>
      </c>
      <c r="R931" s="76">
        <v>15209.2</v>
      </c>
      <c r="S931" s="77">
        <v>3.8023E7</v>
      </c>
      <c r="T931" s="77">
        <v>3041840.0</v>
      </c>
      <c r="U931" s="132">
        <f t="shared" si="172"/>
        <v>41064840</v>
      </c>
      <c r="V931" s="70"/>
    </row>
    <row r="932" ht="25.5" customHeight="1">
      <c r="A932" s="66">
        <v>46203.0</v>
      </c>
      <c r="B932" s="67" t="s">
        <v>969</v>
      </c>
      <c r="C932" s="67" t="s">
        <v>50</v>
      </c>
      <c r="D932" s="67" t="s">
        <v>49</v>
      </c>
      <c r="E932" s="58" t="s">
        <v>70</v>
      </c>
      <c r="F932" s="67" t="s">
        <v>71</v>
      </c>
      <c r="G932" s="68">
        <v>1500.0</v>
      </c>
      <c r="H932" s="76">
        <v>19206.0</v>
      </c>
      <c r="I932" s="77">
        <v>2.8809E7</v>
      </c>
      <c r="J932" s="77">
        <v>2304720.0</v>
      </c>
      <c r="K932" s="77">
        <v>3.111372E7</v>
      </c>
      <c r="L932" s="131" t="s">
        <v>991</v>
      </c>
      <c r="M932" s="65" t="str">
        <f>VLOOKUP(L932,'Đơn đặt'!$C$3:$E$275,2,0)</f>
        <v>03-12-TS</v>
      </c>
      <c r="N932" s="65" t="str">
        <f>VLOOKUP(L932,'Đơn đặt'!$C$3:$E$275,3,0)</f>
        <v>38-2026/TS-AVP/ĐĐH</v>
      </c>
      <c r="O932" s="66">
        <v>46203.0</v>
      </c>
      <c r="P932" s="67" t="s">
        <v>1481</v>
      </c>
      <c r="Q932" s="68">
        <v>1500.0</v>
      </c>
      <c r="R932" s="76">
        <v>15209.2</v>
      </c>
      <c r="S932" s="77">
        <v>2.28138E7</v>
      </c>
      <c r="T932" s="77">
        <v>1825104.0</v>
      </c>
      <c r="U932" s="132">
        <f t="shared" si="172"/>
        <v>24638904</v>
      </c>
      <c r="V932" s="70"/>
    </row>
    <row r="933" ht="25.5" customHeight="1">
      <c r="A933" s="134"/>
      <c r="B933" s="135"/>
      <c r="C933" s="135"/>
      <c r="D933" s="135"/>
      <c r="E933" s="135"/>
      <c r="F933" s="135"/>
      <c r="G933" s="136"/>
      <c r="H933" s="137"/>
      <c r="I933" s="138"/>
      <c r="J933" s="138"/>
      <c r="K933" s="138"/>
      <c r="L933" s="139"/>
      <c r="M933" s="140"/>
      <c r="N933" s="140"/>
      <c r="O933" s="141"/>
      <c r="P933" s="141"/>
      <c r="Q933" s="142"/>
      <c r="R933" s="141"/>
      <c r="S933" s="141"/>
      <c r="T933" s="141"/>
      <c r="U933" s="142"/>
      <c r="V933" s="143"/>
      <c r="W933" s="144"/>
      <c r="X933" s="144"/>
      <c r="Y933" s="144"/>
      <c r="Z933" s="144"/>
      <c r="AA933" s="144"/>
      <c r="AB933" s="144"/>
      <c r="AC933" s="144"/>
      <c r="AD933" s="144"/>
      <c r="AE933" s="144"/>
      <c r="AF933" s="144"/>
      <c r="AG933" s="144"/>
      <c r="AH933" s="144"/>
      <c r="AI933" s="144"/>
      <c r="AJ933" s="144"/>
      <c r="AK933" s="144"/>
      <c r="AL933" s="144"/>
      <c r="AM933" s="144"/>
      <c r="AN933" s="144"/>
      <c r="AO933" s="144"/>
    </row>
    <row r="934" ht="25.5" customHeight="1">
      <c r="A934" s="55">
        <v>46217.0</v>
      </c>
      <c r="B934" s="124" t="s">
        <v>1482</v>
      </c>
      <c r="C934" s="56" t="s">
        <v>92</v>
      </c>
      <c r="D934" s="58" t="s">
        <v>93</v>
      </c>
      <c r="E934" s="58" t="s">
        <v>94</v>
      </c>
      <c r="F934" s="56" t="s">
        <v>95</v>
      </c>
      <c r="G934" s="60">
        <v>312.0</v>
      </c>
      <c r="H934" s="62">
        <v>502740.0</v>
      </c>
      <c r="I934" s="64">
        <f>G934*H934</f>
        <v>156854880</v>
      </c>
      <c r="J934" s="64">
        <v>1.254839E7</v>
      </c>
      <c r="K934" s="64">
        <v>1.6940327E8</v>
      </c>
      <c r="L934" s="65" t="s">
        <v>96</v>
      </c>
      <c r="M934" s="65" t="str">
        <f>VLOOKUP(L934,'Đơn đặt'!$C$3:$E$275,2,0)</f>
        <v>13-12/2025</v>
      </c>
      <c r="N934" s="65" t="str">
        <f>VLOOKUP(L934,'Đơn đặt'!$C$3:$E$275,3,0)</f>
        <v>Hàng SX</v>
      </c>
      <c r="O934" s="55" t="s">
        <v>98</v>
      </c>
      <c r="P934" s="56"/>
      <c r="Q934" s="60">
        <f>G934</f>
        <v>312</v>
      </c>
      <c r="R934" s="62"/>
      <c r="S934" s="64">
        <f>ROUND(Q934*R934,0)</f>
        <v>0</v>
      </c>
      <c r="T934" s="64">
        <f>ROUND(S934*0.08,0)</f>
        <v>0</v>
      </c>
      <c r="U934" s="60">
        <f t="shared" ref="U934:U939" si="227">S934+T934</f>
        <v>0</v>
      </c>
      <c r="V934" s="70"/>
      <c r="W934" s="23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</row>
    <row r="935" ht="25.5" customHeight="1">
      <c r="A935" s="66">
        <v>46205.0</v>
      </c>
      <c r="B935" s="67" t="s">
        <v>971</v>
      </c>
      <c r="C935" s="67" t="s">
        <v>178</v>
      </c>
      <c r="D935" s="67" t="s">
        <v>179</v>
      </c>
      <c r="E935" s="67" t="s">
        <v>248</v>
      </c>
      <c r="F935" s="67" t="s">
        <v>819</v>
      </c>
      <c r="G935" s="68">
        <v>400.0</v>
      </c>
      <c r="H935" s="76">
        <v>288766.0</v>
      </c>
      <c r="I935" s="77">
        <v>1.155064E8</v>
      </c>
      <c r="J935" s="77">
        <v>9240512.0</v>
      </c>
      <c r="K935" s="77">
        <f t="shared" ref="K935:K941" si="228">I935+J935</f>
        <v>124746912</v>
      </c>
      <c r="L935" s="131" t="s">
        <v>1483</v>
      </c>
      <c r="M935" s="65">
        <f>VLOOKUP(L935,'Đơn đặt'!$C$3:$E$3000,2,0)</f>
        <v>600</v>
      </c>
      <c r="N935" s="65" t="str">
        <f>VLOOKUP(L935,'Đơn đặt'!$C$3:$E$3000,3,0)</f>
        <v>26/THP/04</v>
      </c>
      <c r="O935" s="66">
        <v>46205.0</v>
      </c>
      <c r="P935" s="67" t="s">
        <v>1484</v>
      </c>
      <c r="Q935" s="76">
        <v>400.0</v>
      </c>
      <c r="R935" s="76">
        <v>251353.2</v>
      </c>
      <c r="S935" s="77">
        <v>1.0054128E8</v>
      </c>
      <c r="T935" s="77">
        <v>8043302.0</v>
      </c>
      <c r="U935" s="132">
        <f t="shared" si="227"/>
        <v>108584582</v>
      </c>
    </row>
    <row r="936" ht="25.5" customHeight="1">
      <c r="A936" s="66">
        <v>46207.0</v>
      </c>
      <c r="B936" s="67" t="s">
        <v>978</v>
      </c>
      <c r="C936" s="67" t="s">
        <v>178</v>
      </c>
      <c r="D936" s="67" t="s">
        <v>179</v>
      </c>
      <c r="E936" s="67" t="s">
        <v>248</v>
      </c>
      <c r="F936" s="67" t="s">
        <v>819</v>
      </c>
      <c r="G936" s="68">
        <v>400.0</v>
      </c>
      <c r="H936" s="76">
        <v>288766.0</v>
      </c>
      <c r="I936" s="77">
        <v>1.155064E8</v>
      </c>
      <c r="J936" s="77">
        <v>9240512.0</v>
      </c>
      <c r="K936" s="77">
        <f t="shared" si="228"/>
        <v>124746912</v>
      </c>
      <c r="L936" s="131" t="s">
        <v>1483</v>
      </c>
      <c r="M936" s="65">
        <f>VLOOKUP(L936,'Đơn đặt'!$C$3:$E$3000,2,0)</f>
        <v>600</v>
      </c>
      <c r="N936" s="65" t="str">
        <f>VLOOKUP(L936,'Đơn đặt'!$C$3:$E$3000,3,0)</f>
        <v>26/THP/04</v>
      </c>
      <c r="O936" s="66">
        <v>46207.0</v>
      </c>
      <c r="P936" s="67" t="s">
        <v>1485</v>
      </c>
      <c r="Q936" s="76">
        <v>400.0</v>
      </c>
      <c r="R936" s="76">
        <v>251353.2</v>
      </c>
      <c r="S936" s="77">
        <v>1.0054128E8</v>
      </c>
      <c r="T936" s="77">
        <v>8043302.0</v>
      </c>
      <c r="U936" s="132">
        <f t="shared" si="227"/>
        <v>108584582</v>
      </c>
    </row>
    <row r="937" ht="25.5" customHeight="1">
      <c r="A937" s="66">
        <v>46213.0</v>
      </c>
      <c r="B937" s="67" t="s">
        <v>1486</v>
      </c>
      <c r="C937" s="67" t="s">
        <v>178</v>
      </c>
      <c r="D937" s="67" t="s">
        <v>179</v>
      </c>
      <c r="E937" s="67" t="s">
        <v>248</v>
      </c>
      <c r="F937" s="67" t="s">
        <v>819</v>
      </c>
      <c r="G937" s="68">
        <v>397.0</v>
      </c>
      <c r="H937" s="76">
        <v>288766.0</v>
      </c>
      <c r="I937" s="77">
        <v>1.14640102E8</v>
      </c>
      <c r="J937" s="77">
        <v>9171208.0</v>
      </c>
      <c r="K937" s="77">
        <f t="shared" si="228"/>
        <v>123811310</v>
      </c>
      <c r="L937" s="131" t="s">
        <v>1483</v>
      </c>
      <c r="M937" s="65">
        <f>VLOOKUP(L937,'Đơn đặt'!$C$3:$E$3000,2,0)</f>
        <v>600</v>
      </c>
      <c r="N937" s="65" t="str">
        <f>VLOOKUP(L937,'Đơn đặt'!$C$3:$E$3000,3,0)</f>
        <v>26/THP/04</v>
      </c>
      <c r="O937" s="66">
        <v>46213.0</v>
      </c>
      <c r="P937" s="67" t="s">
        <v>1487</v>
      </c>
      <c r="Q937" s="76">
        <v>397.0</v>
      </c>
      <c r="R937" s="76">
        <v>251353.2</v>
      </c>
      <c r="S937" s="77">
        <v>9.978722E7</v>
      </c>
      <c r="T937" s="77">
        <v>7982978.0</v>
      </c>
      <c r="U937" s="132">
        <f t="shared" si="227"/>
        <v>107770198</v>
      </c>
    </row>
    <row r="938" ht="25.5" customHeight="1">
      <c r="A938" s="145">
        <v>46214.0</v>
      </c>
      <c r="B938" s="146" t="s">
        <v>1005</v>
      </c>
      <c r="C938" s="146" t="s">
        <v>178</v>
      </c>
      <c r="D938" s="146" t="s">
        <v>179</v>
      </c>
      <c r="E938" s="146" t="s">
        <v>248</v>
      </c>
      <c r="F938" s="146" t="s">
        <v>819</v>
      </c>
      <c r="G938" s="147">
        <v>403.0</v>
      </c>
      <c r="H938" s="148">
        <v>288766.0</v>
      </c>
      <c r="I938" s="149">
        <v>1.16372698E8</v>
      </c>
      <c r="J938" s="149">
        <v>9309816.0</v>
      </c>
      <c r="K938" s="149">
        <f t="shared" si="228"/>
        <v>125682514</v>
      </c>
      <c r="L938" s="150" t="s">
        <v>1483</v>
      </c>
      <c r="M938" s="151">
        <f>VLOOKUP(L938,'Đơn đặt'!$C$3:$E$3000,2,0)</f>
        <v>600</v>
      </c>
      <c r="N938" s="151" t="str">
        <f>VLOOKUP(L938,'Đơn đặt'!$C$3:$E$3000,3,0)</f>
        <v>26/THP/04</v>
      </c>
      <c r="O938" s="145">
        <v>46214.0</v>
      </c>
      <c r="P938" s="146" t="s">
        <v>1488</v>
      </c>
      <c r="Q938" s="148">
        <v>403.0</v>
      </c>
      <c r="R938" s="148">
        <v>251353.2</v>
      </c>
      <c r="S938" s="149">
        <v>1.0129534E8</v>
      </c>
      <c r="T938" s="149">
        <v>8103627.0</v>
      </c>
      <c r="U938" s="152">
        <f t="shared" si="227"/>
        <v>109398967</v>
      </c>
      <c r="V938" s="153"/>
      <c r="W938" s="153"/>
      <c r="X938" s="153"/>
      <c r="Y938" s="153"/>
      <c r="Z938" s="153"/>
      <c r="AA938" s="153"/>
      <c r="AB938" s="153"/>
      <c r="AC938" s="153"/>
      <c r="AD938" s="153"/>
      <c r="AE938" s="153"/>
      <c r="AF938" s="153"/>
      <c r="AG938" s="153"/>
      <c r="AH938" s="153"/>
      <c r="AI938" s="153"/>
      <c r="AJ938" s="153"/>
      <c r="AK938" s="153"/>
      <c r="AL938" s="153"/>
      <c r="AM938" s="153"/>
      <c r="AN938" s="153"/>
      <c r="AO938" s="153"/>
    </row>
    <row r="939" ht="25.5" customHeight="1">
      <c r="A939" s="145">
        <v>46227.0</v>
      </c>
      <c r="B939" s="146" t="s">
        <v>1489</v>
      </c>
      <c r="C939" s="146" t="s">
        <v>178</v>
      </c>
      <c r="D939" s="146" t="s">
        <v>179</v>
      </c>
      <c r="E939" s="146" t="s">
        <v>248</v>
      </c>
      <c r="F939" s="146" t="s">
        <v>819</v>
      </c>
      <c r="G939" s="147">
        <v>400.0</v>
      </c>
      <c r="H939" s="148">
        <v>288766.0</v>
      </c>
      <c r="I939" s="149">
        <v>1.155064E8</v>
      </c>
      <c r="J939" s="149">
        <v>9240512.0</v>
      </c>
      <c r="K939" s="149">
        <f t="shared" si="228"/>
        <v>124746912</v>
      </c>
      <c r="L939" s="150" t="s">
        <v>1483</v>
      </c>
      <c r="M939" s="151">
        <f>VLOOKUP(L939,'Đơn đặt'!$C$3:$E$3000,2,0)</f>
        <v>600</v>
      </c>
      <c r="N939" s="151" t="str">
        <f>VLOOKUP(L939,'Đơn đặt'!$C$3:$E$3000,3,0)</f>
        <v>26/THP/04</v>
      </c>
      <c r="O939" s="145">
        <v>46227.0</v>
      </c>
      <c r="P939" s="146" t="s">
        <v>1490</v>
      </c>
      <c r="Q939" s="148">
        <v>400.0</v>
      </c>
      <c r="R939" s="148">
        <v>251353.2</v>
      </c>
      <c r="S939" s="149">
        <v>1.0054128E8</v>
      </c>
      <c r="T939" s="149">
        <v>8043302.0</v>
      </c>
      <c r="U939" s="152">
        <f t="shared" si="227"/>
        <v>108584582</v>
      </c>
      <c r="V939" s="153"/>
      <c r="W939" s="153"/>
      <c r="X939" s="153"/>
      <c r="Y939" s="153"/>
      <c r="Z939" s="153"/>
      <c r="AA939" s="153"/>
      <c r="AB939" s="153"/>
      <c r="AC939" s="153"/>
      <c r="AD939" s="153"/>
      <c r="AE939" s="153"/>
      <c r="AF939" s="153"/>
      <c r="AG939" s="153"/>
      <c r="AH939" s="153"/>
      <c r="AI939" s="153"/>
      <c r="AJ939" s="153"/>
      <c r="AK939" s="153"/>
      <c r="AL939" s="153"/>
      <c r="AM939" s="153"/>
      <c r="AN939" s="153"/>
      <c r="AO939" s="153"/>
    </row>
    <row r="940" ht="25.5" customHeight="1">
      <c r="A940" s="145">
        <v>46231.0</v>
      </c>
      <c r="B940" s="146" t="s">
        <v>1491</v>
      </c>
      <c r="C940" s="146" t="s">
        <v>148</v>
      </c>
      <c r="D940" s="146" t="s">
        <v>149</v>
      </c>
      <c r="E940" s="146" t="s">
        <v>248</v>
      </c>
      <c r="F940" s="146" t="s">
        <v>95</v>
      </c>
      <c r="G940" s="147">
        <v>600.0</v>
      </c>
      <c r="H940" s="148">
        <v>359045.0</v>
      </c>
      <c r="I940" s="149">
        <v>2.15427E8</v>
      </c>
      <c r="J940" s="149">
        <v>1.723416E7</v>
      </c>
      <c r="K940" s="149">
        <f t="shared" si="228"/>
        <v>232661160</v>
      </c>
      <c r="L940" s="150" t="s">
        <v>1492</v>
      </c>
      <c r="M940" s="151">
        <f>VLOOKUP(L940,'Đơn đặt'!$C$3:$E$3000,2,0)</f>
        <v>547</v>
      </c>
      <c r="N940" s="151" t="str">
        <f>VLOOKUP(L940,'Đơn đặt'!$C$3:$E$3000,3,0)</f>
        <v>Hàng SX</v>
      </c>
      <c r="O940" s="154" t="s">
        <v>98</v>
      </c>
      <c r="P940" s="155"/>
      <c r="Q940" s="156">
        <f t="shared" ref="Q940:Q941" si="229">G940</f>
        <v>600</v>
      </c>
      <c r="R940" s="152"/>
      <c r="S940" s="152"/>
      <c r="T940" s="152"/>
      <c r="U940" s="152"/>
      <c r="V940" s="153"/>
      <c r="W940" s="153"/>
      <c r="X940" s="153"/>
      <c r="Y940" s="153"/>
      <c r="Z940" s="153"/>
      <c r="AA940" s="153"/>
      <c r="AB940" s="153"/>
      <c r="AC940" s="153"/>
      <c r="AD940" s="153"/>
      <c r="AE940" s="153"/>
      <c r="AF940" s="153"/>
      <c r="AG940" s="153"/>
      <c r="AH940" s="153"/>
      <c r="AI940" s="153"/>
      <c r="AJ940" s="153"/>
      <c r="AK940" s="153"/>
      <c r="AL940" s="153"/>
      <c r="AM940" s="153"/>
      <c r="AN940" s="153"/>
      <c r="AO940" s="153"/>
    </row>
    <row r="941" ht="25.5" customHeight="1">
      <c r="A941" s="145">
        <v>46233.0</v>
      </c>
      <c r="B941" s="146" t="s">
        <v>1493</v>
      </c>
      <c r="C941" s="146" t="s">
        <v>148</v>
      </c>
      <c r="D941" s="146" t="s">
        <v>149</v>
      </c>
      <c r="E941" s="146" t="s">
        <v>248</v>
      </c>
      <c r="F941" s="146" t="s">
        <v>95</v>
      </c>
      <c r="G941" s="147">
        <v>480.0</v>
      </c>
      <c r="H941" s="148">
        <v>359045.0</v>
      </c>
      <c r="I941" s="149">
        <v>1.723416E8</v>
      </c>
      <c r="J941" s="149">
        <v>1.3787328E7</v>
      </c>
      <c r="K941" s="149">
        <f t="shared" si="228"/>
        <v>186128928</v>
      </c>
      <c r="L941" s="150" t="s">
        <v>1492</v>
      </c>
      <c r="M941" s="151">
        <f>VLOOKUP(L941,'Đơn đặt'!$C$3:$E$3000,2,0)</f>
        <v>547</v>
      </c>
      <c r="N941" s="151" t="str">
        <f>VLOOKUP(L941,'Đơn đặt'!$C$3:$E$3000,3,0)</f>
        <v>Hàng SX</v>
      </c>
      <c r="O941" s="154" t="s">
        <v>98</v>
      </c>
      <c r="P941" s="155"/>
      <c r="Q941" s="156">
        <f t="shared" si="229"/>
        <v>480</v>
      </c>
      <c r="R941" s="152"/>
      <c r="S941" s="152"/>
      <c r="T941" s="152"/>
      <c r="U941" s="152"/>
      <c r="V941" s="153"/>
      <c r="W941" s="153"/>
      <c r="X941" s="153"/>
      <c r="Y941" s="153"/>
      <c r="Z941" s="153"/>
      <c r="AA941" s="153"/>
      <c r="AB941" s="153"/>
      <c r="AC941" s="153"/>
      <c r="AD941" s="153"/>
      <c r="AE941" s="153"/>
      <c r="AF941" s="153"/>
      <c r="AG941" s="153"/>
      <c r="AH941" s="153"/>
      <c r="AI941" s="153"/>
      <c r="AJ941" s="153"/>
      <c r="AK941" s="153"/>
      <c r="AL941" s="153"/>
      <c r="AM941" s="153"/>
      <c r="AN941" s="153"/>
      <c r="AO941" s="153"/>
    </row>
    <row r="942" ht="25.5" customHeight="1">
      <c r="A942" s="154">
        <v>46188.0</v>
      </c>
      <c r="B942" s="157" t="s">
        <v>931</v>
      </c>
      <c r="C942" s="158" t="s">
        <v>125</v>
      </c>
      <c r="D942" s="159" t="s">
        <v>126</v>
      </c>
      <c r="E942" s="159" t="s">
        <v>242</v>
      </c>
      <c r="F942" s="158" t="s">
        <v>112</v>
      </c>
      <c r="G942" s="156">
        <v>5244.0</v>
      </c>
      <c r="H942" s="160">
        <v>30400.0</v>
      </c>
      <c r="I942" s="161">
        <v>1.594176E8</v>
      </c>
      <c r="J942" s="161">
        <v>1.2753408E7</v>
      </c>
      <c r="K942" s="161">
        <v>1.72171008E8</v>
      </c>
      <c r="L942" s="162" t="s">
        <v>1330</v>
      </c>
      <c r="M942" s="151" t="str">
        <f>VLOOKUP(L942,'Đơn đặt'!$C$3:$E$3000,2,0)</f>
        <v>05/TS/26</v>
      </c>
      <c r="N942" s="151" t="str">
        <f>VLOOKUP(L942,'Đơn đặt'!$C$3:$E$3000,3,0)</f>
        <v>Hàng SX</v>
      </c>
      <c r="O942" s="154" t="s">
        <v>98</v>
      </c>
      <c r="P942" s="160"/>
      <c r="Q942" s="156">
        <v>5244.0</v>
      </c>
      <c r="R942" s="161">
        <v>0.0</v>
      </c>
      <c r="S942" s="161">
        <v>0.0</v>
      </c>
      <c r="T942" s="161">
        <v>0.0</v>
      </c>
      <c r="U942" s="156">
        <f t="shared" ref="U942:U1083" si="230">S942+T942</f>
        <v>0</v>
      </c>
      <c r="V942" s="163"/>
      <c r="W942" s="164"/>
      <c r="X942" s="164"/>
      <c r="Y942" s="164"/>
      <c r="Z942" s="164"/>
      <c r="AA942" s="164"/>
      <c r="AB942" s="164"/>
      <c r="AC942" s="164"/>
      <c r="AD942" s="164"/>
      <c r="AE942" s="164"/>
      <c r="AF942" s="164"/>
      <c r="AG942" s="164"/>
      <c r="AH942" s="164"/>
      <c r="AI942" s="164"/>
      <c r="AJ942" s="164"/>
      <c r="AK942" s="164"/>
      <c r="AL942" s="164"/>
      <c r="AM942" s="164"/>
      <c r="AN942" s="164"/>
      <c r="AO942" s="164"/>
    </row>
    <row r="943" ht="25.5" customHeight="1">
      <c r="A943" s="145">
        <v>46204.0</v>
      </c>
      <c r="B943" s="146" t="s">
        <v>1494</v>
      </c>
      <c r="C943" s="146" t="s">
        <v>48</v>
      </c>
      <c r="D943" s="146" t="s">
        <v>47</v>
      </c>
      <c r="E943" s="159" t="s">
        <v>70</v>
      </c>
      <c r="F943" s="146" t="s">
        <v>71</v>
      </c>
      <c r="G943" s="147">
        <v>4000.0</v>
      </c>
      <c r="H943" s="148">
        <v>19206.0</v>
      </c>
      <c r="I943" s="149">
        <v>7.6824E7</v>
      </c>
      <c r="J943" s="149">
        <v>6145920.0</v>
      </c>
      <c r="K943" s="149">
        <v>8.296992E7</v>
      </c>
      <c r="L943" s="150" t="s">
        <v>1400</v>
      </c>
      <c r="M943" s="151" t="str">
        <f>VLOOKUP(L943,'Đơn đặt'!$C$3:$E$3000,2,0)</f>
        <v>05-09-TS</v>
      </c>
      <c r="N943" s="151" t="str">
        <f>VLOOKUP(L943,'Đơn đặt'!$C$3:$E$3000,3,0)</f>
        <v>68-2026/TS-AVP/ĐĐH</v>
      </c>
      <c r="O943" s="145">
        <v>46204.0</v>
      </c>
      <c r="P943" s="146" t="s">
        <v>1495</v>
      </c>
      <c r="Q943" s="148">
        <v>4000.0</v>
      </c>
      <c r="R943" s="148">
        <v>15209.2</v>
      </c>
      <c r="S943" s="149">
        <v>6.08368E7</v>
      </c>
      <c r="T943" s="149">
        <v>4866944.0</v>
      </c>
      <c r="U943" s="149">
        <f t="shared" si="230"/>
        <v>65703744</v>
      </c>
      <c r="V943" s="153"/>
      <c r="W943" s="153"/>
      <c r="X943" s="153"/>
      <c r="Y943" s="153"/>
      <c r="Z943" s="153"/>
      <c r="AA943" s="153"/>
      <c r="AB943" s="153"/>
      <c r="AC943" s="153"/>
      <c r="AD943" s="153"/>
      <c r="AE943" s="153"/>
      <c r="AF943" s="153"/>
      <c r="AG943" s="153"/>
      <c r="AH943" s="153"/>
      <c r="AI943" s="153"/>
      <c r="AJ943" s="153"/>
      <c r="AK943" s="153"/>
      <c r="AL943" s="153"/>
      <c r="AM943" s="153"/>
      <c r="AN943" s="153"/>
      <c r="AO943" s="153"/>
    </row>
    <row r="944" ht="25.5" customHeight="1">
      <c r="A944" s="145">
        <v>46204.0</v>
      </c>
      <c r="B944" s="146" t="s">
        <v>1496</v>
      </c>
      <c r="C944" s="146" t="s">
        <v>14</v>
      </c>
      <c r="D944" s="146" t="s">
        <v>13</v>
      </c>
      <c r="E944" s="159" t="s">
        <v>70</v>
      </c>
      <c r="F944" s="146" t="s">
        <v>71</v>
      </c>
      <c r="G944" s="147">
        <v>1040.0</v>
      </c>
      <c r="H944" s="148">
        <v>20374.0</v>
      </c>
      <c r="I944" s="149">
        <v>2.118896E7</v>
      </c>
      <c r="J944" s="149">
        <v>1695117.0</v>
      </c>
      <c r="K944" s="149">
        <v>2.2884077E7</v>
      </c>
      <c r="L944" s="150" t="s">
        <v>1130</v>
      </c>
      <c r="M944" s="151" t="str">
        <f>VLOOKUP(L944,'Đơn đặt'!$C$3:$E$275,2,0)</f>
        <v>04-08-TS</v>
      </c>
      <c r="N944" s="151" t="str">
        <f>VLOOKUP(L944,'Đơn đặt'!$C$3:$E$275,3,0)</f>
        <v>47-2026/TS-AVP/ĐĐH</v>
      </c>
      <c r="O944" s="145">
        <v>46204.0</v>
      </c>
      <c r="P944" s="146" t="s">
        <v>1497</v>
      </c>
      <c r="Q944" s="148">
        <v>1040.0</v>
      </c>
      <c r="R944" s="148">
        <v>18666.8</v>
      </c>
      <c r="S944" s="149">
        <v>1.9413472E7</v>
      </c>
      <c r="T944" s="149">
        <v>1553078.0</v>
      </c>
      <c r="U944" s="149">
        <f t="shared" si="230"/>
        <v>20966550</v>
      </c>
      <c r="V944" s="153"/>
      <c r="W944" s="153"/>
      <c r="X944" s="153"/>
      <c r="Y944" s="153"/>
      <c r="Z944" s="153"/>
      <c r="AA944" s="153"/>
      <c r="AB944" s="153"/>
      <c r="AC944" s="153"/>
      <c r="AD944" s="153"/>
      <c r="AE944" s="153"/>
      <c r="AF944" s="153"/>
      <c r="AG944" s="153"/>
      <c r="AH944" s="153"/>
      <c r="AI944" s="153"/>
      <c r="AJ944" s="153"/>
      <c r="AK944" s="153"/>
      <c r="AL944" s="153"/>
      <c r="AM944" s="153"/>
      <c r="AN944" s="153"/>
      <c r="AO944" s="153"/>
    </row>
    <row r="945" ht="25.5" customHeight="1">
      <c r="A945" s="145">
        <v>46204.0</v>
      </c>
      <c r="B945" s="146" t="s">
        <v>1496</v>
      </c>
      <c r="C945" s="146" t="s">
        <v>244</v>
      </c>
      <c r="D945" s="146" t="s">
        <v>245</v>
      </c>
      <c r="E945" s="159" t="s">
        <v>70</v>
      </c>
      <c r="F945" s="146" t="s">
        <v>71</v>
      </c>
      <c r="G945" s="147">
        <v>400.0</v>
      </c>
      <c r="H945" s="148">
        <v>19901.0</v>
      </c>
      <c r="I945" s="149">
        <v>7960400.0</v>
      </c>
      <c r="J945" s="149">
        <v>636832.0</v>
      </c>
      <c r="K945" s="149">
        <v>8597232.0</v>
      </c>
      <c r="L945" s="150" t="s">
        <v>1400</v>
      </c>
      <c r="M945" s="151" t="str">
        <f>VLOOKUP(L945,'Đơn đặt'!$C$3:$E$275,2,0)</f>
        <v>05-09-TS</v>
      </c>
      <c r="N945" s="151" t="str">
        <f>VLOOKUP(L945,'Đơn đặt'!$C$3:$E$275,3,0)</f>
        <v>68-2026/TS-AVP/ĐĐH</v>
      </c>
      <c r="O945" s="145">
        <v>46204.0</v>
      </c>
      <c r="P945" s="146" t="s">
        <v>1497</v>
      </c>
      <c r="Q945" s="148">
        <v>400.0</v>
      </c>
      <c r="R945" s="148">
        <v>19156.2</v>
      </c>
      <c r="S945" s="149">
        <v>7662480.0</v>
      </c>
      <c r="T945" s="149">
        <v>612998.0</v>
      </c>
      <c r="U945" s="149">
        <f t="shared" si="230"/>
        <v>8275478</v>
      </c>
      <c r="V945" s="153"/>
      <c r="W945" s="153"/>
      <c r="X945" s="153"/>
      <c r="Y945" s="153"/>
      <c r="Z945" s="153"/>
      <c r="AA945" s="153"/>
      <c r="AB945" s="153"/>
      <c r="AC945" s="153"/>
      <c r="AD945" s="153"/>
      <c r="AE945" s="153"/>
      <c r="AF945" s="153"/>
      <c r="AG945" s="153"/>
      <c r="AH945" s="153"/>
      <c r="AI945" s="153"/>
      <c r="AJ945" s="153"/>
      <c r="AK945" s="153"/>
      <c r="AL945" s="153"/>
      <c r="AM945" s="153"/>
      <c r="AN945" s="153"/>
      <c r="AO945" s="153"/>
    </row>
    <row r="946" ht="25.5" customHeight="1">
      <c r="A946" s="145">
        <v>46204.0</v>
      </c>
      <c r="B946" s="146" t="s">
        <v>1498</v>
      </c>
      <c r="C946" s="146" t="s">
        <v>59</v>
      </c>
      <c r="D946" s="146" t="s">
        <v>105</v>
      </c>
      <c r="E946" s="159" t="s">
        <v>70</v>
      </c>
      <c r="F946" s="146" t="s">
        <v>71</v>
      </c>
      <c r="G946" s="147">
        <v>1490.0</v>
      </c>
      <c r="H946" s="148">
        <v>19206.0</v>
      </c>
      <c r="I946" s="149">
        <f t="shared" ref="I946:I947" si="231">G946*H946</f>
        <v>28616940</v>
      </c>
      <c r="J946" s="149">
        <f t="shared" ref="J946:J947" si="232">I946*8%</f>
        <v>2289355.2</v>
      </c>
      <c r="K946" s="149">
        <f t="shared" ref="K946:K947" si="233">I946+J946</f>
        <v>30906295.2</v>
      </c>
      <c r="L946" s="150" t="s">
        <v>1130</v>
      </c>
      <c r="M946" s="151" t="str">
        <f>VLOOKUP(L946,'Đơn đặt'!$C$3:$E$275,2,0)</f>
        <v>04-08-TS</v>
      </c>
      <c r="N946" s="151" t="str">
        <f>VLOOKUP(L946,'Đơn đặt'!$C$3:$E$275,3,0)</f>
        <v>47-2026/TS-AVP/ĐĐH</v>
      </c>
      <c r="O946" s="145">
        <v>46204.0</v>
      </c>
      <c r="P946" s="146" t="s">
        <v>1497</v>
      </c>
      <c r="Q946" s="148">
        <f t="shared" ref="Q946:Q947" si="234">G946</f>
        <v>1490</v>
      </c>
      <c r="R946" s="148">
        <v>17073.2</v>
      </c>
      <c r="S946" s="149">
        <f t="shared" ref="S946:S947" si="235">Q946*R946</f>
        <v>25439068</v>
      </c>
      <c r="T946" s="149">
        <f t="shared" ref="T946:T947" si="236">S946*8%</f>
        <v>2035125.44</v>
      </c>
      <c r="U946" s="149">
        <f t="shared" si="230"/>
        <v>27474193.44</v>
      </c>
      <c r="V946" s="153"/>
      <c r="W946" s="153"/>
      <c r="X946" s="153"/>
      <c r="Y946" s="153"/>
      <c r="Z946" s="153"/>
      <c r="AA946" s="153"/>
      <c r="AB946" s="153"/>
      <c r="AC946" s="153"/>
      <c r="AD946" s="153"/>
      <c r="AE946" s="153"/>
      <c r="AF946" s="153"/>
      <c r="AG946" s="153"/>
      <c r="AH946" s="153"/>
      <c r="AI946" s="153"/>
      <c r="AJ946" s="153"/>
      <c r="AK946" s="153"/>
      <c r="AL946" s="153"/>
      <c r="AM946" s="153"/>
      <c r="AN946" s="153"/>
      <c r="AO946" s="153"/>
    </row>
    <row r="947" ht="25.5" customHeight="1">
      <c r="A947" s="145">
        <v>46204.0</v>
      </c>
      <c r="B947" s="146" t="s">
        <v>1498</v>
      </c>
      <c r="C947" s="146" t="s">
        <v>59</v>
      </c>
      <c r="D947" s="146" t="s">
        <v>105</v>
      </c>
      <c r="E947" s="159" t="s">
        <v>70</v>
      </c>
      <c r="F947" s="146" t="s">
        <v>71</v>
      </c>
      <c r="G947" s="147">
        <v>2010.0</v>
      </c>
      <c r="H947" s="148">
        <v>19206.0</v>
      </c>
      <c r="I947" s="149">
        <f t="shared" si="231"/>
        <v>38604060</v>
      </c>
      <c r="J947" s="149">
        <f t="shared" si="232"/>
        <v>3088324.8</v>
      </c>
      <c r="K947" s="149">
        <f t="shared" si="233"/>
        <v>41692384.8</v>
      </c>
      <c r="L947" s="150" t="s">
        <v>1400</v>
      </c>
      <c r="M947" s="151" t="str">
        <f>VLOOKUP(L947,'Đơn đặt'!$C$3:$E$275,2,0)</f>
        <v>05-09-TS</v>
      </c>
      <c r="N947" s="151" t="str">
        <f>VLOOKUP(L947,'Đơn đặt'!$C$3:$E$275,3,0)</f>
        <v>68-2026/TS-AVP/ĐĐH</v>
      </c>
      <c r="O947" s="145">
        <v>46204.0</v>
      </c>
      <c r="P947" s="146" t="s">
        <v>1497</v>
      </c>
      <c r="Q947" s="148">
        <f t="shared" si="234"/>
        <v>2010</v>
      </c>
      <c r="R947" s="148">
        <v>17073.2</v>
      </c>
      <c r="S947" s="149">
        <f t="shared" si="235"/>
        <v>34317132</v>
      </c>
      <c r="T947" s="149">
        <f t="shared" si="236"/>
        <v>2745370.56</v>
      </c>
      <c r="U947" s="149">
        <f t="shared" si="230"/>
        <v>37062502.56</v>
      </c>
      <c r="V947" s="153"/>
      <c r="W947" s="153"/>
      <c r="X947" s="153"/>
      <c r="Y947" s="153"/>
      <c r="Z947" s="153"/>
      <c r="AA947" s="153"/>
      <c r="AB947" s="153"/>
      <c r="AC947" s="153"/>
      <c r="AD947" s="153"/>
      <c r="AE947" s="153"/>
      <c r="AF947" s="153"/>
      <c r="AG947" s="153"/>
      <c r="AH947" s="153"/>
      <c r="AI947" s="153"/>
      <c r="AJ947" s="153"/>
      <c r="AK947" s="153"/>
      <c r="AL947" s="153"/>
      <c r="AM947" s="153"/>
      <c r="AN947" s="153"/>
      <c r="AO947" s="153"/>
    </row>
    <row r="948" ht="25.5" customHeight="1">
      <c r="A948" s="145">
        <v>46205.0</v>
      </c>
      <c r="B948" s="146" t="s">
        <v>1499</v>
      </c>
      <c r="C948" s="146" t="s">
        <v>206</v>
      </c>
      <c r="D948" s="146" t="s">
        <v>207</v>
      </c>
      <c r="E948" s="159" t="s">
        <v>70</v>
      </c>
      <c r="F948" s="146" t="s">
        <v>71</v>
      </c>
      <c r="G948" s="147">
        <v>2000.0</v>
      </c>
      <c r="H948" s="148">
        <v>19041.0</v>
      </c>
      <c r="I948" s="149">
        <v>3.8082E7</v>
      </c>
      <c r="J948" s="149">
        <v>3046560.0</v>
      </c>
      <c r="K948" s="149">
        <v>4.112856E7</v>
      </c>
      <c r="L948" s="150" t="s">
        <v>1417</v>
      </c>
      <c r="M948" s="151" t="str">
        <f>VLOOKUP(L948,'Đơn đặt'!$C$3:$E$275,2,0)</f>
        <v>03-18-TS</v>
      </c>
      <c r="N948" s="151" t="str">
        <f>VLOOKUP(L948,'Đơn đặt'!$C$3:$E$275,3,0)</f>
        <v>55-2026/TS-AVP/ĐĐH</v>
      </c>
      <c r="O948" s="145">
        <v>46205.0</v>
      </c>
      <c r="P948" s="146" t="s">
        <v>1500</v>
      </c>
      <c r="Q948" s="148">
        <v>2000.0</v>
      </c>
      <c r="R948" s="148">
        <v>18064.2</v>
      </c>
      <c r="S948" s="149">
        <v>3.61284E7</v>
      </c>
      <c r="T948" s="149">
        <v>2890272.0</v>
      </c>
      <c r="U948" s="149">
        <f t="shared" si="230"/>
        <v>39018672</v>
      </c>
      <c r="V948" s="153"/>
      <c r="W948" s="153"/>
      <c r="X948" s="153"/>
      <c r="Y948" s="153"/>
      <c r="Z948" s="153"/>
      <c r="AA948" s="153"/>
      <c r="AB948" s="153"/>
      <c r="AC948" s="153"/>
      <c r="AD948" s="153"/>
      <c r="AE948" s="153"/>
      <c r="AF948" s="153"/>
      <c r="AG948" s="153"/>
      <c r="AH948" s="153"/>
      <c r="AI948" s="153"/>
      <c r="AJ948" s="153"/>
      <c r="AK948" s="153"/>
      <c r="AL948" s="153"/>
      <c r="AM948" s="153"/>
      <c r="AN948" s="153"/>
      <c r="AO948" s="153"/>
    </row>
    <row r="949" ht="25.5" customHeight="1">
      <c r="A949" s="145">
        <v>46205.0</v>
      </c>
      <c r="B949" s="146" t="s">
        <v>1499</v>
      </c>
      <c r="C949" s="146" t="s">
        <v>35</v>
      </c>
      <c r="D949" s="146" t="s">
        <v>34</v>
      </c>
      <c r="E949" s="159" t="s">
        <v>70</v>
      </c>
      <c r="F949" s="146" t="s">
        <v>71</v>
      </c>
      <c r="G949" s="147">
        <v>2500.0</v>
      </c>
      <c r="H949" s="148">
        <v>15645.0</v>
      </c>
      <c r="I949" s="149">
        <v>3.91125E7</v>
      </c>
      <c r="J949" s="149">
        <v>3129000.0</v>
      </c>
      <c r="K949" s="149">
        <v>4.22415E7</v>
      </c>
      <c r="L949" s="150" t="s">
        <v>1400</v>
      </c>
      <c r="M949" s="151" t="str">
        <f>VLOOKUP(L949,'Đơn đặt'!$C$3:$E$275,2,0)</f>
        <v>05-09-TS</v>
      </c>
      <c r="N949" s="151" t="str">
        <f>VLOOKUP(L949,'Đơn đặt'!$C$3:$E$275,3,0)</f>
        <v>68-2026/TS-AVP/ĐĐH</v>
      </c>
      <c r="O949" s="145">
        <v>46205.0</v>
      </c>
      <c r="P949" s="146" t="s">
        <v>1500</v>
      </c>
      <c r="Q949" s="148">
        <v>2500.0</v>
      </c>
      <c r="R949" s="148">
        <v>14849.0</v>
      </c>
      <c r="S949" s="149">
        <v>3.71225E7</v>
      </c>
      <c r="T949" s="149">
        <v>2969800.0</v>
      </c>
      <c r="U949" s="149">
        <f t="shared" si="230"/>
        <v>40092300</v>
      </c>
      <c r="V949" s="153"/>
      <c r="W949" s="153"/>
      <c r="X949" s="153"/>
      <c r="Y949" s="153"/>
      <c r="Z949" s="153"/>
      <c r="AA949" s="153"/>
      <c r="AB949" s="153"/>
      <c r="AC949" s="153"/>
      <c r="AD949" s="153"/>
      <c r="AE949" s="153"/>
      <c r="AF949" s="153"/>
      <c r="AG949" s="153"/>
      <c r="AH949" s="153"/>
      <c r="AI949" s="153"/>
      <c r="AJ949" s="153"/>
      <c r="AK949" s="153"/>
      <c r="AL949" s="153"/>
      <c r="AM949" s="153"/>
      <c r="AN949" s="153"/>
      <c r="AO949" s="153"/>
    </row>
    <row r="950" ht="25.5" customHeight="1">
      <c r="A950" s="145">
        <v>46205.0</v>
      </c>
      <c r="B950" s="146" t="s">
        <v>1499</v>
      </c>
      <c r="C950" s="146" t="s">
        <v>222</v>
      </c>
      <c r="D950" s="146" t="s">
        <v>223</v>
      </c>
      <c r="E950" s="159" t="s">
        <v>70</v>
      </c>
      <c r="F950" s="146" t="s">
        <v>71</v>
      </c>
      <c r="G950" s="147">
        <v>1260.0</v>
      </c>
      <c r="H950" s="148">
        <v>20276.0</v>
      </c>
      <c r="I950" s="149">
        <v>2.554776E7</v>
      </c>
      <c r="J950" s="149">
        <v>2043821.0</v>
      </c>
      <c r="K950" s="149">
        <v>2.7591581E7</v>
      </c>
      <c r="L950" s="150" t="s">
        <v>1417</v>
      </c>
      <c r="M950" s="151" t="str">
        <f>VLOOKUP(L950,'Đơn đặt'!$C$3:$E$275,2,0)</f>
        <v>03-18-TS</v>
      </c>
      <c r="N950" s="151" t="str">
        <f>VLOOKUP(L950,'Đơn đặt'!$C$3:$E$275,3,0)</f>
        <v>55-2026/TS-AVP/ĐĐH</v>
      </c>
      <c r="O950" s="145">
        <v>46205.0</v>
      </c>
      <c r="P950" s="146" t="s">
        <v>1500</v>
      </c>
      <c r="Q950" s="152">
        <f>G950</f>
        <v>1260</v>
      </c>
      <c r="R950" s="148">
        <v>18311.2</v>
      </c>
      <c r="S950" s="152">
        <f>Q950*R950</f>
        <v>23072112</v>
      </c>
      <c r="T950" s="152">
        <f>S950*8%</f>
        <v>1845768.96</v>
      </c>
      <c r="U950" s="149">
        <f t="shared" si="230"/>
        <v>24917880.96</v>
      </c>
      <c r="V950" s="153"/>
      <c r="W950" s="153"/>
      <c r="X950" s="153"/>
      <c r="Y950" s="153"/>
      <c r="Z950" s="153"/>
      <c r="AA950" s="153"/>
      <c r="AB950" s="153"/>
      <c r="AC950" s="153"/>
      <c r="AD950" s="153"/>
      <c r="AE950" s="153"/>
      <c r="AF950" s="153"/>
      <c r="AG950" s="153"/>
      <c r="AH950" s="153"/>
      <c r="AI950" s="153"/>
      <c r="AJ950" s="153"/>
      <c r="AK950" s="153"/>
      <c r="AL950" s="153"/>
      <c r="AM950" s="153"/>
      <c r="AN950" s="153"/>
      <c r="AO950" s="153"/>
    </row>
    <row r="951" ht="25.5" customHeight="1">
      <c r="A951" s="145">
        <v>46205.0</v>
      </c>
      <c r="B951" s="146" t="s">
        <v>1499</v>
      </c>
      <c r="C951" s="146" t="s">
        <v>244</v>
      </c>
      <c r="D951" s="146" t="s">
        <v>245</v>
      </c>
      <c r="E951" s="159" t="s">
        <v>70</v>
      </c>
      <c r="F951" s="146" t="s">
        <v>71</v>
      </c>
      <c r="G951" s="147">
        <v>98.0</v>
      </c>
      <c r="H951" s="148">
        <v>19901.0</v>
      </c>
      <c r="I951" s="149">
        <v>1950298.0</v>
      </c>
      <c r="J951" s="149">
        <v>156024.0</v>
      </c>
      <c r="K951" s="149">
        <v>2106322.0</v>
      </c>
      <c r="L951" s="150" t="s">
        <v>1400</v>
      </c>
      <c r="M951" s="151" t="str">
        <f>VLOOKUP(L951,'Đơn đặt'!$C$3:$E$275,2,0)</f>
        <v>05-09-TS</v>
      </c>
      <c r="N951" s="151" t="str">
        <f>VLOOKUP(L951,'Đơn đặt'!$C$3:$E$275,3,0)</f>
        <v>68-2026/TS-AVP/ĐĐH</v>
      </c>
      <c r="O951" s="145">
        <v>46205.0</v>
      </c>
      <c r="P951" s="146" t="s">
        <v>1500</v>
      </c>
      <c r="Q951" s="148">
        <v>98.0</v>
      </c>
      <c r="R951" s="148">
        <v>19156.2</v>
      </c>
      <c r="S951" s="149">
        <v>1877308.0</v>
      </c>
      <c r="T951" s="149">
        <v>150185.0</v>
      </c>
      <c r="U951" s="149">
        <f t="shared" si="230"/>
        <v>2027493</v>
      </c>
      <c r="V951" s="153"/>
      <c r="W951" s="153"/>
      <c r="X951" s="153"/>
      <c r="Y951" s="153"/>
      <c r="Z951" s="153"/>
      <c r="AA951" s="153"/>
      <c r="AB951" s="153"/>
      <c r="AC951" s="153"/>
      <c r="AD951" s="153"/>
      <c r="AE951" s="153"/>
      <c r="AF951" s="153"/>
      <c r="AG951" s="153"/>
      <c r="AH951" s="153"/>
      <c r="AI951" s="153"/>
      <c r="AJ951" s="153"/>
      <c r="AK951" s="153"/>
      <c r="AL951" s="153"/>
      <c r="AM951" s="153"/>
      <c r="AN951" s="153"/>
      <c r="AO951" s="153"/>
    </row>
    <row r="952" ht="25.5" customHeight="1">
      <c r="A952" s="145">
        <v>46205.0</v>
      </c>
      <c r="B952" s="146" t="s">
        <v>976</v>
      </c>
      <c r="C952" s="146" t="s">
        <v>222</v>
      </c>
      <c r="D952" s="146" t="s">
        <v>223</v>
      </c>
      <c r="E952" s="159" t="s">
        <v>70</v>
      </c>
      <c r="F952" s="146" t="s">
        <v>71</v>
      </c>
      <c r="G952" s="147">
        <v>1240.0</v>
      </c>
      <c r="H952" s="148">
        <v>20276.0</v>
      </c>
      <c r="I952" s="149">
        <v>2.514224E7</v>
      </c>
      <c r="J952" s="149">
        <v>2011379.0</v>
      </c>
      <c r="K952" s="149">
        <v>2.7153619E7</v>
      </c>
      <c r="L952" s="150" t="s">
        <v>1417</v>
      </c>
      <c r="M952" s="151" t="str">
        <f>VLOOKUP(L952,'Đơn đặt'!$C$3:$E$275,2,0)</f>
        <v>03-18-TS</v>
      </c>
      <c r="N952" s="151" t="str">
        <f>VLOOKUP(L952,'Đơn đặt'!$C$3:$E$275,3,0)</f>
        <v>55-2026/TS-AVP/ĐĐH</v>
      </c>
      <c r="O952" s="145">
        <v>46205.0</v>
      </c>
      <c r="P952" s="146" t="s">
        <v>1500</v>
      </c>
      <c r="Q952" s="152">
        <f>G952</f>
        <v>1240</v>
      </c>
      <c r="R952" s="148">
        <v>18311.2</v>
      </c>
      <c r="S952" s="152">
        <f>Q952*R952</f>
        <v>22705888</v>
      </c>
      <c r="T952" s="152">
        <f>S952*8%</f>
        <v>1816471.04</v>
      </c>
      <c r="U952" s="149">
        <f t="shared" si="230"/>
        <v>24522359.04</v>
      </c>
      <c r="V952" s="153"/>
      <c r="W952" s="153"/>
      <c r="X952" s="153"/>
      <c r="Y952" s="153"/>
      <c r="Z952" s="153"/>
      <c r="AA952" s="153"/>
      <c r="AB952" s="153"/>
      <c r="AC952" s="153"/>
      <c r="AD952" s="153"/>
      <c r="AE952" s="153"/>
      <c r="AF952" s="153"/>
      <c r="AG952" s="153"/>
      <c r="AH952" s="153"/>
      <c r="AI952" s="153"/>
      <c r="AJ952" s="153"/>
      <c r="AK952" s="153"/>
      <c r="AL952" s="153"/>
      <c r="AM952" s="153"/>
      <c r="AN952" s="153"/>
      <c r="AO952" s="153"/>
    </row>
    <row r="953" ht="25.5" customHeight="1">
      <c r="A953" s="145">
        <v>46205.0</v>
      </c>
      <c r="B953" s="146" t="s">
        <v>976</v>
      </c>
      <c r="C953" s="146" t="s">
        <v>329</v>
      </c>
      <c r="D953" s="146" t="s">
        <v>461</v>
      </c>
      <c r="E953" s="159" t="s">
        <v>70</v>
      </c>
      <c r="F953" s="146" t="s">
        <v>71</v>
      </c>
      <c r="G953" s="147">
        <v>740.0</v>
      </c>
      <c r="H953" s="148">
        <v>21025.0</v>
      </c>
      <c r="I953" s="149">
        <v>1.55585E7</v>
      </c>
      <c r="J953" s="149">
        <v>1244680.0</v>
      </c>
      <c r="K953" s="149">
        <v>1.680318E7</v>
      </c>
      <c r="L953" s="150" t="s">
        <v>1400</v>
      </c>
      <c r="M953" s="151" t="str">
        <f>VLOOKUP(L953,'Đơn đặt'!$C$3:$E$275,2,0)</f>
        <v>05-09-TS</v>
      </c>
      <c r="N953" s="151" t="str">
        <f>VLOOKUP(L953,'Đơn đặt'!$C$3:$E$275,3,0)</f>
        <v>68-2026/TS-AVP/ĐĐH</v>
      </c>
      <c r="O953" s="145">
        <v>46205.0</v>
      </c>
      <c r="P953" s="146" t="s">
        <v>1500</v>
      </c>
      <c r="Q953" s="148">
        <v>740.0</v>
      </c>
      <c r="R953" s="148">
        <v>18797.0</v>
      </c>
      <c r="S953" s="149">
        <v>1.390978E7</v>
      </c>
      <c r="T953" s="149">
        <v>1112782.0</v>
      </c>
      <c r="U953" s="149">
        <f t="shared" si="230"/>
        <v>15022562</v>
      </c>
      <c r="V953" s="153"/>
      <c r="W953" s="153"/>
      <c r="X953" s="153"/>
      <c r="Y953" s="153"/>
      <c r="Z953" s="153"/>
      <c r="AA953" s="153"/>
      <c r="AB953" s="153"/>
      <c r="AC953" s="153"/>
      <c r="AD953" s="153"/>
      <c r="AE953" s="153"/>
      <c r="AF953" s="153"/>
      <c r="AG953" s="153"/>
      <c r="AH953" s="153"/>
      <c r="AI953" s="153"/>
      <c r="AJ953" s="153"/>
      <c r="AK953" s="153"/>
      <c r="AL953" s="153"/>
      <c r="AM953" s="153"/>
      <c r="AN953" s="153"/>
      <c r="AO953" s="153"/>
    </row>
    <row r="954" ht="25.5" customHeight="1">
      <c r="A954" s="145">
        <v>46205.0</v>
      </c>
      <c r="B954" s="146" t="s">
        <v>973</v>
      </c>
      <c r="C954" s="146" t="s">
        <v>48</v>
      </c>
      <c r="D954" s="146" t="s">
        <v>47</v>
      </c>
      <c r="E954" s="159" t="s">
        <v>70</v>
      </c>
      <c r="F954" s="146" t="s">
        <v>71</v>
      </c>
      <c r="G954" s="147">
        <v>1150.0</v>
      </c>
      <c r="H954" s="148">
        <v>19206.0</v>
      </c>
      <c r="I954" s="149">
        <v>2.20869E7</v>
      </c>
      <c r="J954" s="149">
        <v>1766952.0</v>
      </c>
      <c r="K954" s="149">
        <v>2.3853852E7</v>
      </c>
      <c r="L954" s="150" t="s">
        <v>1400</v>
      </c>
      <c r="M954" s="151" t="str">
        <f>VLOOKUP(L954,'Đơn đặt'!$C$3:$E$275,2,0)</f>
        <v>05-09-TS</v>
      </c>
      <c r="N954" s="151" t="str">
        <f>VLOOKUP(L954,'Đơn đặt'!$C$3:$E$275,3,0)</f>
        <v>68-2026/TS-AVP/ĐĐH</v>
      </c>
      <c r="O954" s="145">
        <v>46205.0</v>
      </c>
      <c r="P954" s="146" t="s">
        <v>1501</v>
      </c>
      <c r="Q954" s="148">
        <v>1150.0</v>
      </c>
      <c r="R954" s="148">
        <v>15209.2</v>
      </c>
      <c r="S954" s="149">
        <v>1.749058E7</v>
      </c>
      <c r="T954" s="149">
        <v>1399247.0</v>
      </c>
      <c r="U954" s="149">
        <f t="shared" si="230"/>
        <v>18889827</v>
      </c>
      <c r="V954" s="153"/>
      <c r="W954" s="153"/>
      <c r="X954" s="153"/>
      <c r="Y954" s="153"/>
      <c r="Z954" s="153"/>
      <c r="AA954" s="153"/>
      <c r="AB954" s="153"/>
      <c r="AC954" s="153"/>
      <c r="AD954" s="153"/>
      <c r="AE954" s="153"/>
      <c r="AF954" s="153"/>
      <c r="AG954" s="153"/>
      <c r="AH954" s="153"/>
      <c r="AI954" s="153"/>
      <c r="AJ954" s="153"/>
      <c r="AK954" s="153"/>
      <c r="AL954" s="153"/>
      <c r="AM954" s="153"/>
      <c r="AN954" s="153"/>
      <c r="AO954" s="153"/>
    </row>
    <row r="955" ht="25.5" customHeight="1">
      <c r="A955" s="145">
        <v>46205.0</v>
      </c>
      <c r="B955" s="146" t="s">
        <v>973</v>
      </c>
      <c r="C955" s="146" t="s">
        <v>50</v>
      </c>
      <c r="D955" s="146" t="s">
        <v>49</v>
      </c>
      <c r="E955" s="159" t="s">
        <v>70</v>
      </c>
      <c r="F955" s="146" t="s">
        <v>71</v>
      </c>
      <c r="G955" s="147">
        <v>271.0</v>
      </c>
      <c r="H955" s="148">
        <v>19206.0</v>
      </c>
      <c r="I955" s="149">
        <v>5204826.0</v>
      </c>
      <c r="J955" s="149">
        <v>416386.0</v>
      </c>
      <c r="K955" s="149">
        <v>5621212.0</v>
      </c>
      <c r="L955" s="150" t="s">
        <v>1146</v>
      </c>
      <c r="M955" s="151" t="str">
        <f>VLOOKUP(L955,'Đơn đặt'!$C$3:$E$275,2,0)</f>
        <v>03-12-TS</v>
      </c>
      <c r="N955" s="151" t="str">
        <f>VLOOKUP(L955,'Đơn đặt'!$C$3:$E$275,3,0)</f>
        <v>58-2026/TS-AVP/ĐĐH</v>
      </c>
      <c r="O955" s="145">
        <v>46205.0</v>
      </c>
      <c r="P955" s="146" t="s">
        <v>1501</v>
      </c>
      <c r="Q955" s="148">
        <v>271.0</v>
      </c>
      <c r="R955" s="148">
        <v>15209.2</v>
      </c>
      <c r="S955" s="149">
        <v>4121693.0</v>
      </c>
      <c r="T955" s="149">
        <v>329735.0</v>
      </c>
      <c r="U955" s="149">
        <f t="shared" si="230"/>
        <v>4451428</v>
      </c>
      <c r="V955" s="153"/>
      <c r="W955" s="153"/>
      <c r="X955" s="153"/>
      <c r="Y955" s="153"/>
      <c r="Z955" s="153"/>
      <c r="AA955" s="153"/>
      <c r="AB955" s="153"/>
      <c r="AC955" s="153"/>
      <c r="AD955" s="153"/>
      <c r="AE955" s="153"/>
      <c r="AF955" s="153"/>
      <c r="AG955" s="153"/>
      <c r="AH955" s="153"/>
      <c r="AI955" s="153"/>
      <c r="AJ955" s="153"/>
      <c r="AK955" s="153"/>
      <c r="AL955" s="153"/>
      <c r="AM955" s="153"/>
      <c r="AN955" s="153"/>
      <c r="AO955" s="153"/>
    </row>
    <row r="956" ht="25.5" customHeight="1">
      <c r="A956" s="145">
        <v>46206.0</v>
      </c>
      <c r="B956" s="146" t="s">
        <v>1502</v>
      </c>
      <c r="C956" s="146" t="s">
        <v>48</v>
      </c>
      <c r="D956" s="146" t="s">
        <v>47</v>
      </c>
      <c r="E956" s="159" t="s">
        <v>70</v>
      </c>
      <c r="F956" s="146" t="s">
        <v>71</v>
      </c>
      <c r="G956" s="147">
        <v>6350.0</v>
      </c>
      <c r="H956" s="148">
        <v>19206.0</v>
      </c>
      <c r="I956" s="149">
        <v>1.219581E8</v>
      </c>
      <c r="J956" s="149">
        <v>9756648.0</v>
      </c>
      <c r="K956" s="149">
        <v>1.31714748E8</v>
      </c>
      <c r="L956" s="150" t="s">
        <v>1400</v>
      </c>
      <c r="M956" s="151" t="str">
        <f>VLOOKUP(L956,'Đơn đặt'!$C$3:$E$275,2,0)</f>
        <v>05-09-TS</v>
      </c>
      <c r="N956" s="151" t="str">
        <f>VLOOKUP(L956,'Đơn đặt'!$C$3:$E$275,3,0)</f>
        <v>68-2026/TS-AVP/ĐĐH</v>
      </c>
      <c r="O956" s="145">
        <v>46206.0</v>
      </c>
      <c r="P956" s="146" t="s">
        <v>1503</v>
      </c>
      <c r="Q956" s="148">
        <v>6350.0</v>
      </c>
      <c r="R956" s="148">
        <v>15209.2</v>
      </c>
      <c r="S956" s="149">
        <v>9.657842E7</v>
      </c>
      <c r="T956" s="149">
        <v>7726273.0</v>
      </c>
      <c r="U956" s="149">
        <f t="shared" si="230"/>
        <v>104304693</v>
      </c>
      <c r="V956" s="153"/>
      <c r="W956" s="153"/>
      <c r="X956" s="153"/>
      <c r="Y956" s="153"/>
      <c r="Z956" s="153"/>
      <c r="AA956" s="153"/>
      <c r="AB956" s="153"/>
      <c r="AC956" s="153"/>
      <c r="AD956" s="153"/>
      <c r="AE956" s="153"/>
      <c r="AF956" s="153"/>
      <c r="AG956" s="153"/>
      <c r="AH956" s="153"/>
      <c r="AI956" s="153"/>
      <c r="AJ956" s="153"/>
      <c r="AK956" s="153"/>
      <c r="AL956" s="153"/>
      <c r="AM956" s="153"/>
      <c r="AN956" s="153"/>
      <c r="AO956" s="153"/>
    </row>
    <row r="957" ht="25.5" customHeight="1">
      <c r="A957" s="145">
        <v>46206.0</v>
      </c>
      <c r="B957" s="146" t="s">
        <v>1502</v>
      </c>
      <c r="C957" s="146" t="s">
        <v>50</v>
      </c>
      <c r="D957" s="146" t="s">
        <v>49</v>
      </c>
      <c r="E957" s="159" t="s">
        <v>70</v>
      </c>
      <c r="F957" s="146" t="s">
        <v>71</v>
      </c>
      <c r="G957" s="147">
        <v>1729.0</v>
      </c>
      <c r="H957" s="148">
        <v>19206.0</v>
      </c>
      <c r="I957" s="149">
        <v>3.3207174E7</v>
      </c>
      <c r="J957" s="149">
        <v>2656574.0</v>
      </c>
      <c r="K957" s="149">
        <v>3.5863748E7</v>
      </c>
      <c r="L957" s="150" t="s">
        <v>1146</v>
      </c>
      <c r="M957" s="151" t="str">
        <f>VLOOKUP(L957,'Đơn đặt'!$C$3:$E$275,2,0)</f>
        <v>03-12-TS</v>
      </c>
      <c r="N957" s="151" t="str">
        <f>VLOOKUP(L957,'Đơn đặt'!$C$3:$E$275,3,0)</f>
        <v>58-2026/TS-AVP/ĐĐH</v>
      </c>
      <c r="O957" s="145">
        <v>46206.0</v>
      </c>
      <c r="P957" s="146" t="s">
        <v>1503</v>
      </c>
      <c r="Q957" s="148">
        <v>1729.0</v>
      </c>
      <c r="R957" s="148">
        <v>15209.2</v>
      </c>
      <c r="S957" s="149">
        <v>2.6296707E7</v>
      </c>
      <c r="T957" s="149">
        <v>2103737.0</v>
      </c>
      <c r="U957" s="149">
        <f t="shared" si="230"/>
        <v>28400444</v>
      </c>
      <c r="V957" s="153"/>
      <c r="W957" s="153"/>
      <c r="X957" s="153"/>
      <c r="Y957" s="153"/>
      <c r="Z957" s="153"/>
      <c r="AA957" s="153"/>
      <c r="AB957" s="153"/>
      <c r="AC957" s="153"/>
      <c r="AD957" s="153"/>
      <c r="AE957" s="153"/>
      <c r="AF957" s="153"/>
      <c r="AG957" s="153"/>
      <c r="AH957" s="153"/>
      <c r="AI957" s="153"/>
      <c r="AJ957" s="153"/>
      <c r="AK957" s="153"/>
      <c r="AL957" s="153"/>
      <c r="AM957" s="153"/>
      <c r="AN957" s="153"/>
      <c r="AO957" s="153"/>
    </row>
    <row r="958" ht="25.5" customHeight="1">
      <c r="A958" s="145">
        <v>46206.0</v>
      </c>
      <c r="B958" s="146" t="s">
        <v>1504</v>
      </c>
      <c r="C958" s="146" t="s">
        <v>119</v>
      </c>
      <c r="D958" s="146" t="s">
        <v>120</v>
      </c>
      <c r="E958" s="159" t="s">
        <v>70</v>
      </c>
      <c r="F958" s="146" t="s">
        <v>71</v>
      </c>
      <c r="G958" s="147">
        <v>3440.0</v>
      </c>
      <c r="H958" s="148">
        <v>20276.0</v>
      </c>
      <c r="I958" s="149">
        <v>6.974944E7</v>
      </c>
      <c r="J958" s="149">
        <v>5579955.0</v>
      </c>
      <c r="K958" s="149">
        <v>7.5329395E7</v>
      </c>
      <c r="L958" s="150" t="s">
        <v>1417</v>
      </c>
      <c r="M958" s="151" t="str">
        <f>VLOOKUP(L958,'Đơn đặt'!$C$3:$E$275,2,0)</f>
        <v>03-18-TS</v>
      </c>
      <c r="N958" s="151" t="str">
        <f>VLOOKUP(L958,'Đơn đặt'!$C$3:$E$275,3,0)</f>
        <v>55-2026/TS-AVP/ĐĐH</v>
      </c>
      <c r="O958" s="145">
        <v>46206.0</v>
      </c>
      <c r="P958" s="146" t="s">
        <v>1505</v>
      </c>
      <c r="Q958" s="148">
        <v>3440.0</v>
      </c>
      <c r="R958" s="148">
        <v>18311.2</v>
      </c>
      <c r="S958" s="149">
        <v>6.2990528E7</v>
      </c>
      <c r="T958" s="149">
        <v>5039242.0</v>
      </c>
      <c r="U958" s="149">
        <f t="shared" si="230"/>
        <v>68029770</v>
      </c>
      <c r="V958" s="153"/>
      <c r="W958" s="153"/>
      <c r="X958" s="153"/>
      <c r="Y958" s="153"/>
      <c r="Z958" s="153"/>
      <c r="AA958" s="153"/>
      <c r="AB958" s="153"/>
      <c r="AC958" s="153"/>
      <c r="AD958" s="153"/>
      <c r="AE958" s="153"/>
      <c r="AF958" s="153"/>
      <c r="AG958" s="153"/>
      <c r="AH958" s="153"/>
      <c r="AI958" s="153"/>
      <c r="AJ958" s="153"/>
      <c r="AK958" s="153"/>
      <c r="AL958" s="153"/>
      <c r="AM958" s="153"/>
      <c r="AN958" s="153"/>
      <c r="AO958" s="153"/>
    </row>
    <row r="959" ht="25.5" customHeight="1">
      <c r="A959" s="145">
        <v>46206.0</v>
      </c>
      <c r="B959" s="146" t="s">
        <v>1504</v>
      </c>
      <c r="C959" s="146" t="s">
        <v>329</v>
      </c>
      <c r="D959" s="146" t="s">
        <v>461</v>
      </c>
      <c r="E959" s="159" t="s">
        <v>70</v>
      </c>
      <c r="F959" s="146" t="s">
        <v>71</v>
      </c>
      <c r="G959" s="147">
        <v>1260.0</v>
      </c>
      <c r="H959" s="148">
        <v>21025.0</v>
      </c>
      <c r="I959" s="149">
        <v>2.64915E7</v>
      </c>
      <c r="J959" s="149">
        <v>2119320.0</v>
      </c>
      <c r="K959" s="149">
        <v>2.861082E7</v>
      </c>
      <c r="L959" s="150" t="s">
        <v>1400</v>
      </c>
      <c r="M959" s="151" t="str">
        <f>VLOOKUP(L959,'Đơn đặt'!$C$3:$E$275,2,0)</f>
        <v>05-09-TS</v>
      </c>
      <c r="N959" s="151" t="str">
        <f>VLOOKUP(L959,'Đơn đặt'!$C$3:$E$275,3,0)</f>
        <v>68-2026/TS-AVP/ĐĐH</v>
      </c>
      <c r="O959" s="145">
        <v>46206.0</v>
      </c>
      <c r="P959" s="146" t="s">
        <v>1505</v>
      </c>
      <c r="Q959" s="148">
        <v>1260.0</v>
      </c>
      <c r="R959" s="148">
        <v>18797.0</v>
      </c>
      <c r="S959" s="149">
        <v>2.368422E7</v>
      </c>
      <c r="T959" s="149">
        <v>1894738.0</v>
      </c>
      <c r="U959" s="149">
        <f t="shared" si="230"/>
        <v>25578958</v>
      </c>
      <c r="V959" s="153"/>
      <c r="W959" s="153"/>
      <c r="X959" s="153"/>
      <c r="Y959" s="153"/>
      <c r="Z959" s="153"/>
      <c r="AA959" s="153"/>
      <c r="AB959" s="153"/>
      <c r="AC959" s="153"/>
      <c r="AD959" s="153"/>
      <c r="AE959" s="153"/>
      <c r="AF959" s="153"/>
      <c r="AG959" s="153"/>
      <c r="AH959" s="153"/>
      <c r="AI959" s="153"/>
      <c r="AJ959" s="153"/>
      <c r="AK959" s="153"/>
      <c r="AL959" s="153"/>
      <c r="AM959" s="153"/>
      <c r="AN959" s="153"/>
      <c r="AO959" s="153"/>
    </row>
    <row r="960" ht="25.5" customHeight="1">
      <c r="A960" s="145">
        <v>46206.0</v>
      </c>
      <c r="B960" s="146" t="s">
        <v>1506</v>
      </c>
      <c r="C960" s="146" t="s">
        <v>59</v>
      </c>
      <c r="D960" s="146" t="s">
        <v>105</v>
      </c>
      <c r="E960" s="159" t="s">
        <v>70</v>
      </c>
      <c r="F960" s="146" t="s">
        <v>71</v>
      </c>
      <c r="G960" s="147">
        <v>3420.0</v>
      </c>
      <c r="H960" s="148">
        <v>19206.0</v>
      </c>
      <c r="I960" s="149">
        <v>6.568452E7</v>
      </c>
      <c r="J960" s="149">
        <v>5254762.0</v>
      </c>
      <c r="K960" s="149">
        <v>7.0939282E7</v>
      </c>
      <c r="L960" s="150" t="s">
        <v>1130</v>
      </c>
      <c r="M960" s="151" t="str">
        <f>VLOOKUP(L960,'Đơn đặt'!$C$3:$E$275,2,0)</f>
        <v>04-08-TS</v>
      </c>
      <c r="N960" s="151" t="str">
        <f>VLOOKUP(L960,'Đơn đặt'!$C$3:$E$275,3,0)</f>
        <v>47-2026/TS-AVP/ĐĐH</v>
      </c>
      <c r="O960" s="145">
        <v>46206.0</v>
      </c>
      <c r="P960" s="146" t="s">
        <v>1505</v>
      </c>
      <c r="Q960" s="148">
        <v>3420.0</v>
      </c>
      <c r="R960" s="148">
        <v>17073.2</v>
      </c>
      <c r="S960" s="149">
        <v>5.8390344E7</v>
      </c>
      <c r="T960" s="149">
        <v>4671227.0</v>
      </c>
      <c r="U960" s="149">
        <f t="shared" si="230"/>
        <v>63061571</v>
      </c>
      <c r="V960" s="153"/>
      <c r="W960" s="153"/>
      <c r="X960" s="153"/>
      <c r="Y960" s="153"/>
      <c r="Z960" s="153"/>
      <c r="AA960" s="153"/>
      <c r="AB960" s="153"/>
      <c r="AC960" s="153"/>
      <c r="AD960" s="153"/>
      <c r="AE960" s="153"/>
      <c r="AF960" s="153"/>
      <c r="AG960" s="153"/>
      <c r="AH960" s="153"/>
      <c r="AI960" s="153"/>
      <c r="AJ960" s="153"/>
      <c r="AK960" s="153"/>
      <c r="AL960" s="153"/>
      <c r="AM960" s="153"/>
      <c r="AN960" s="153"/>
      <c r="AO960" s="153"/>
    </row>
    <row r="961" ht="25.5" customHeight="1">
      <c r="A961" s="145">
        <v>46209.0</v>
      </c>
      <c r="B961" s="146" t="s">
        <v>1507</v>
      </c>
      <c r="C961" s="146" t="s">
        <v>14</v>
      </c>
      <c r="D961" s="146" t="s">
        <v>13</v>
      </c>
      <c r="E961" s="159" t="s">
        <v>70</v>
      </c>
      <c r="F961" s="146" t="s">
        <v>71</v>
      </c>
      <c r="G961" s="147">
        <v>1400.0</v>
      </c>
      <c r="H961" s="148">
        <v>20374.0</v>
      </c>
      <c r="I961" s="149">
        <f t="shared" ref="I961:I962" si="237">G961*H961</f>
        <v>28523600</v>
      </c>
      <c r="J961" s="149">
        <f t="shared" ref="J961:J962" si="238">I961*8%</f>
        <v>2281888</v>
      </c>
      <c r="K961" s="149">
        <f t="shared" ref="K961:K962" si="239">I961+J961</f>
        <v>30805488</v>
      </c>
      <c r="L961" s="150" t="s">
        <v>1130</v>
      </c>
      <c r="M961" s="151" t="str">
        <f>VLOOKUP(L961,'Đơn đặt'!$C$3:$E$275,2,0)</f>
        <v>04-08-TS</v>
      </c>
      <c r="N961" s="151" t="str">
        <f>VLOOKUP(L961,'Đơn đặt'!$C$3:$E$275,3,0)</f>
        <v>47-2026/TS-AVP/ĐĐH</v>
      </c>
      <c r="O961" s="145">
        <v>46209.0</v>
      </c>
      <c r="P961" s="146" t="s">
        <v>1508</v>
      </c>
      <c r="Q961" s="148">
        <v>1400.0</v>
      </c>
      <c r="R961" s="148">
        <v>18666.8</v>
      </c>
      <c r="S961" s="149">
        <f t="shared" ref="S961:S962" si="240">Q961*R961</f>
        <v>26133520</v>
      </c>
      <c r="T961" s="149">
        <f t="shared" ref="T961:T962" si="241">S961*8%</f>
        <v>2090681.6</v>
      </c>
      <c r="U961" s="149">
        <f t="shared" si="230"/>
        <v>28224201.6</v>
      </c>
      <c r="V961" s="153"/>
      <c r="W961" s="153"/>
      <c r="X961" s="153"/>
      <c r="Y961" s="153"/>
      <c r="Z961" s="153"/>
      <c r="AA961" s="153"/>
      <c r="AB961" s="153"/>
      <c r="AC961" s="153"/>
      <c r="AD961" s="153"/>
      <c r="AE961" s="153"/>
      <c r="AF961" s="153"/>
      <c r="AG961" s="153"/>
      <c r="AH961" s="153"/>
      <c r="AI961" s="153"/>
      <c r="AJ961" s="153"/>
      <c r="AK961" s="153"/>
      <c r="AL961" s="153"/>
      <c r="AM961" s="153"/>
      <c r="AN961" s="153"/>
      <c r="AO961" s="153"/>
    </row>
    <row r="962" ht="25.5" customHeight="1">
      <c r="A962" s="145">
        <v>46209.0</v>
      </c>
      <c r="B962" s="146" t="s">
        <v>1507</v>
      </c>
      <c r="C962" s="146" t="s">
        <v>14</v>
      </c>
      <c r="D962" s="146" t="s">
        <v>13</v>
      </c>
      <c r="E962" s="159" t="s">
        <v>70</v>
      </c>
      <c r="F962" s="146" t="s">
        <v>71</v>
      </c>
      <c r="G962" s="147">
        <v>1600.0</v>
      </c>
      <c r="H962" s="148">
        <v>20374.0</v>
      </c>
      <c r="I962" s="149">
        <f t="shared" si="237"/>
        <v>32598400</v>
      </c>
      <c r="J962" s="149">
        <f t="shared" si="238"/>
        <v>2607872</v>
      </c>
      <c r="K962" s="149">
        <f t="shared" si="239"/>
        <v>35206272</v>
      </c>
      <c r="L962" s="150" t="s">
        <v>1400</v>
      </c>
      <c r="M962" s="151" t="str">
        <f>VLOOKUP(L962,'Đơn đặt'!$C$3:$E$275,2,0)</f>
        <v>05-09-TS</v>
      </c>
      <c r="N962" s="151" t="str">
        <f>VLOOKUP(L962,'Đơn đặt'!$C$3:$E$275,3,0)</f>
        <v>68-2026/TS-AVP/ĐĐH</v>
      </c>
      <c r="O962" s="145">
        <v>46209.0</v>
      </c>
      <c r="P962" s="146" t="s">
        <v>1508</v>
      </c>
      <c r="Q962" s="148">
        <v>1600.0</v>
      </c>
      <c r="R962" s="148">
        <v>18666.8</v>
      </c>
      <c r="S962" s="149">
        <f t="shared" si="240"/>
        <v>29866880</v>
      </c>
      <c r="T962" s="149">
        <f t="shared" si="241"/>
        <v>2389350.4</v>
      </c>
      <c r="U962" s="149">
        <f t="shared" si="230"/>
        <v>32256230.4</v>
      </c>
      <c r="V962" s="153"/>
      <c r="W962" s="153"/>
      <c r="X962" s="153"/>
      <c r="Y962" s="153"/>
      <c r="Z962" s="153"/>
      <c r="AA962" s="153"/>
      <c r="AB962" s="153"/>
      <c r="AC962" s="153"/>
      <c r="AD962" s="153"/>
      <c r="AE962" s="153"/>
      <c r="AF962" s="153"/>
      <c r="AG962" s="153"/>
      <c r="AH962" s="153"/>
      <c r="AI962" s="153"/>
      <c r="AJ962" s="153"/>
      <c r="AK962" s="153"/>
      <c r="AL962" s="153"/>
      <c r="AM962" s="153"/>
      <c r="AN962" s="153"/>
      <c r="AO962" s="153"/>
    </row>
    <row r="963" ht="25.5" customHeight="1">
      <c r="A963" s="145">
        <v>46209.0</v>
      </c>
      <c r="B963" s="146" t="s">
        <v>1507</v>
      </c>
      <c r="C963" s="146" t="s">
        <v>26</v>
      </c>
      <c r="D963" s="146" t="s">
        <v>25</v>
      </c>
      <c r="E963" s="159" t="s">
        <v>70</v>
      </c>
      <c r="F963" s="146" t="s">
        <v>71</v>
      </c>
      <c r="G963" s="147">
        <v>360.0</v>
      </c>
      <c r="H963" s="148">
        <v>16505.0</v>
      </c>
      <c r="I963" s="149">
        <v>5941800.0</v>
      </c>
      <c r="J963" s="149">
        <v>475344.0</v>
      </c>
      <c r="K963" s="149">
        <v>6417144.0</v>
      </c>
      <c r="L963" s="150" t="s">
        <v>1471</v>
      </c>
      <c r="M963" s="151" t="str">
        <f>VLOOKUP(L963,'Đơn đặt'!$C$3:$E$275,2,0)</f>
        <v>06-08/TS</v>
      </c>
      <c r="N963" s="151" t="str">
        <f>VLOOKUP(L963,'Đơn đặt'!$C$3:$E$275,3,0)</f>
        <v>75-2026/TS-AVP/ĐĐH</v>
      </c>
      <c r="O963" s="145">
        <v>46209.0</v>
      </c>
      <c r="P963" s="146" t="s">
        <v>1508</v>
      </c>
      <c r="Q963" s="148">
        <v>360.0</v>
      </c>
      <c r="R963" s="148">
        <v>16477.0</v>
      </c>
      <c r="S963" s="149">
        <v>5931720.0</v>
      </c>
      <c r="T963" s="149">
        <v>474538.0</v>
      </c>
      <c r="U963" s="149">
        <f t="shared" si="230"/>
        <v>6406258</v>
      </c>
      <c r="V963" s="153"/>
      <c r="W963" s="153"/>
      <c r="X963" s="153"/>
      <c r="Y963" s="153"/>
      <c r="Z963" s="153"/>
      <c r="AA963" s="153"/>
      <c r="AB963" s="153"/>
      <c r="AC963" s="153"/>
      <c r="AD963" s="153"/>
      <c r="AE963" s="153"/>
      <c r="AF963" s="153"/>
      <c r="AG963" s="153"/>
      <c r="AH963" s="153"/>
      <c r="AI963" s="153"/>
      <c r="AJ963" s="153"/>
      <c r="AK963" s="153"/>
      <c r="AL963" s="153"/>
      <c r="AM963" s="153"/>
      <c r="AN963" s="153"/>
      <c r="AO963" s="153"/>
    </row>
    <row r="964" ht="25.5" customHeight="1">
      <c r="A964" s="145">
        <v>46209.0</v>
      </c>
      <c r="B964" s="146" t="s">
        <v>981</v>
      </c>
      <c r="C964" s="146" t="s">
        <v>21</v>
      </c>
      <c r="D964" s="146" t="s">
        <v>371</v>
      </c>
      <c r="E964" s="159" t="s">
        <v>70</v>
      </c>
      <c r="F964" s="146" t="s">
        <v>71</v>
      </c>
      <c r="G964" s="147">
        <v>2420.0</v>
      </c>
      <c r="H964" s="148">
        <v>18930.0</v>
      </c>
      <c r="I964" s="149">
        <v>4.58106E7</v>
      </c>
      <c r="J964" s="149">
        <v>3664848.0</v>
      </c>
      <c r="K964" s="149">
        <v>4.9475448E7</v>
      </c>
      <c r="L964" s="150" t="s">
        <v>1471</v>
      </c>
      <c r="M964" s="151" t="str">
        <f>VLOOKUP(L964,'Đơn đặt'!$C$3:$E$275,2,0)</f>
        <v>06-08/TS</v>
      </c>
      <c r="N964" s="151" t="str">
        <f>VLOOKUP(L964,'Đơn đặt'!$C$3:$E$275,3,0)</f>
        <v>75-2026/TS-AVP/ĐĐH</v>
      </c>
      <c r="O964" s="145">
        <v>46209.0</v>
      </c>
      <c r="P964" s="146" t="s">
        <v>1508</v>
      </c>
      <c r="Q964" s="148">
        <v>2420.0</v>
      </c>
      <c r="R964" s="148">
        <v>18346.0</v>
      </c>
      <c r="S964" s="149">
        <v>4.439732E7</v>
      </c>
      <c r="T964" s="149">
        <v>3551786.0</v>
      </c>
      <c r="U964" s="149">
        <f t="shared" si="230"/>
        <v>47949106</v>
      </c>
      <c r="V964" s="153"/>
      <c r="W964" s="153"/>
      <c r="X964" s="153"/>
      <c r="Y964" s="153"/>
      <c r="Z964" s="153"/>
      <c r="AA964" s="153"/>
      <c r="AB964" s="153"/>
      <c r="AC964" s="153"/>
      <c r="AD964" s="153"/>
      <c r="AE964" s="153"/>
      <c r="AF964" s="153"/>
      <c r="AG964" s="153"/>
      <c r="AH964" s="153"/>
      <c r="AI964" s="153"/>
      <c r="AJ964" s="153"/>
      <c r="AK964" s="153"/>
      <c r="AL964" s="153"/>
      <c r="AM964" s="153"/>
      <c r="AN964" s="153"/>
      <c r="AO964" s="153"/>
    </row>
    <row r="965" ht="25.5" customHeight="1">
      <c r="A965" s="145">
        <v>46209.0</v>
      </c>
      <c r="B965" s="146" t="s">
        <v>981</v>
      </c>
      <c r="C965" s="146" t="s">
        <v>119</v>
      </c>
      <c r="D965" s="146" t="s">
        <v>120</v>
      </c>
      <c r="E965" s="159" t="s">
        <v>70</v>
      </c>
      <c r="F965" s="146" t="s">
        <v>71</v>
      </c>
      <c r="G965" s="147">
        <v>1060.0</v>
      </c>
      <c r="H965" s="148">
        <v>20276.0</v>
      </c>
      <c r="I965" s="149">
        <v>2.149256E7</v>
      </c>
      <c r="J965" s="149">
        <v>1719405.0</v>
      </c>
      <c r="K965" s="149">
        <v>2.3211965E7</v>
      </c>
      <c r="L965" s="150" t="s">
        <v>1417</v>
      </c>
      <c r="M965" s="151" t="str">
        <f>VLOOKUP(L965,'Đơn đặt'!$C$3:$E$275,2,0)</f>
        <v>03-18-TS</v>
      </c>
      <c r="N965" s="151" t="str">
        <f>VLOOKUP(L965,'Đơn đặt'!$C$3:$E$275,3,0)</f>
        <v>55-2026/TS-AVP/ĐĐH</v>
      </c>
      <c r="O965" s="145">
        <v>46209.0</v>
      </c>
      <c r="P965" s="146" t="s">
        <v>1508</v>
      </c>
      <c r="Q965" s="148">
        <v>1060.0</v>
      </c>
      <c r="R965" s="148">
        <v>18311.2</v>
      </c>
      <c r="S965" s="149">
        <v>1.9409872E7</v>
      </c>
      <c r="T965" s="149">
        <v>1552790.0</v>
      </c>
      <c r="U965" s="149">
        <f t="shared" si="230"/>
        <v>20962662</v>
      </c>
      <c r="V965" s="153"/>
      <c r="W965" s="153"/>
      <c r="X965" s="153"/>
      <c r="Y965" s="153"/>
      <c r="Z965" s="153"/>
      <c r="AA965" s="153"/>
      <c r="AB965" s="153"/>
      <c r="AC965" s="153"/>
      <c r="AD965" s="153"/>
      <c r="AE965" s="153"/>
      <c r="AF965" s="153"/>
      <c r="AG965" s="153"/>
      <c r="AH965" s="153"/>
      <c r="AI965" s="153"/>
      <c r="AJ965" s="153"/>
      <c r="AK965" s="153"/>
      <c r="AL965" s="153"/>
      <c r="AM965" s="153"/>
      <c r="AN965" s="153"/>
      <c r="AO965" s="153"/>
    </row>
    <row r="966" ht="25.5" customHeight="1">
      <c r="A966" s="145">
        <v>46209.0</v>
      </c>
      <c r="B966" s="146" t="s">
        <v>986</v>
      </c>
      <c r="C966" s="146" t="s">
        <v>59</v>
      </c>
      <c r="D966" s="146" t="s">
        <v>105</v>
      </c>
      <c r="E966" s="159" t="s">
        <v>70</v>
      </c>
      <c r="F966" s="146" t="s">
        <v>71</v>
      </c>
      <c r="G966" s="147">
        <v>2480.0</v>
      </c>
      <c r="H966" s="148">
        <v>19206.0</v>
      </c>
      <c r="I966" s="149">
        <f t="shared" ref="I966:I967" si="242">G966*H966</f>
        <v>47630880</v>
      </c>
      <c r="J966" s="149">
        <f t="shared" ref="J966:J967" si="243">I966*8%</f>
        <v>3810470.4</v>
      </c>
      <c r="K966" s="149">
        <f t="shared" ref="K966:K967" si="244">I966+J966</f>
        <v>51441350.4</v>
      </c>
      <c r="L966" s="150" t="s">
        <v>1137</v>
      </c>
      <c r="M966" s="151" t="str">
        <f>VLOOKUP(L966,'Đơn đặt'!$C$3:$E$275,2,0)</f>
        <v>04-08-TS</v>
      </c>
      <c r="N966" s="151" t="str">
        <f>VLOOKUP(L966,'Đơn đặt'!$C$3:$E$275,3,0)</f>
        <v>57-2026/TS-AVP/ĐĐH</v>
      </c>
      <c r="O966" s="145">
        <v>46209.0</v>
      </c>
      <c r="P966" s="146" t="s">
        <v>1509</v>
      </c>
      <c r="Q966" s="147">
        <v>2480.0</v>
      </c>
      <c r="R966" s="148">
        <v>17073.2</v>
      </c>
      <c r="S966" s="149">
        <f t="shared" ref="S966:S967" si="245">Q966*R966</f>
        <v>42341536</v>
      </c>
      <c r="T966" s="149">
        <f t="shared" ref="T966:T967" si="246">S966*8%</f>
        <v>3387322.88</v>
      </c>
      <c r="U966" s="149">
        <f t="shared" si="230"/>
        <v>45728858.88</v>
      </c>
      <c r="V966" s="153"/>
      <c r="W966" s="153"/>
      <c r="X966" s="153"/>
      <c r="Y966" s="153"/>
      <c r="Z966" s="153"/>
      <c r="AA966" s="153"/>
      <c r="AB966" s="153"/>
      <c r="AC966" s="153"/>
      <c r="AD966" s="153"/>
      <c r="AE966" s="153"/>
      <c r="AF966" s="153"/>
      <c r="AG966" s="153"/>
      <c r="AH966" s="153"/>
      <c r="AI966" s="153"/>
      <c r="AJ966" s="153"/>
      <c r="AK966" s="153"/>
      <c r="AL966" s="153"/>
      <c r="AM966" s="153"/>
      <c r="AN966" s="153"/>
      <c r="AO966" s="153"/>
    </row>
    <row r="967" ht="25.5" customHeight="1">
      <c r="A967" s="145">
        <v>46209.0</v>
      </c>
      <c r="B967" s="146" t="s">
        <v>986</v>
      </c>
      <c r="C967" s="146" t="s">
        <v>59</v>
      </c>
      <c r="D967" s="146" t="s">
        <v>105</v>
      </c>
      <c r="E967" s="159" t="s">
        <v>70</v>
      </c>
      <c r="F967" s="146" t="s">
        <v>71</v>
      </c>
      <c r="G967" s="147">
        <v>600.0</v>
      </c>
      <c r="H967" s="148">
        <v>19206.0</v>
      </c>
      <c r="I967" s="149">
        <f t="shared" si="242"/>
        <v>11523600</v>
      </c>
      <c r="J967" s="149">
        <f t="shared" si="243"/>
        <v>921888</v>
      </c>
      <c r="K967" s="149">
        <f t="shared" si="244"/>
        <v>12445488</v>
      </c>
      <c r="L967" s="150" t="s">
        <v>1400</v>
      </c>
      <c r="M967" s="151" t="str">
        <f>VLOOKUP(L967,'Đơn đặt'!$C$3:$E$275,2,0)</f>
        <v>05-09-TS</v>
      </c>
      <c r="N967" s="151" t="str">
        <f>VLOOKUP(L967,'Đơn đặt'!$C$3:$E$275,3,0)</f>
        <v>68-2026/TS-AVP/ĐĐH</v>
      </c>
      <c r="O967" s="145">
        <v>46209.0</v>
      </c>
      <c r="P967" s="146" t="s">
        <v>1509</v>
      </c>
      <c r="Q967" s="147">
        <v>600.0</v>
      </c>
      <c r="R967" s="148">
        <v>17073.2</v>
      </c>
      <c r="S967" s="149">
        <f t="shared" si="245"/>
        <v>10243920</v>
      </c>
      <c r="T967" s="149">
        <f t="shared" si="246"/>
        <v>819513.6</v>
      </c>
      <c r="U967" s="149">
        <f t="shared" si="230"/>
        <v>11063433.6</v>
      </c>
      <c r="V967" s="153"/>
      <c r="W967" s="153"/>
      <c r="X967" s="153"/>
      <c r="Y967" s="153"/>
      <c r="Z967" s="153"/>
      <c r="AA967" s="153"/>
      <c r="AB967" s="153"/>
      <c r="AC967" s="153"/>
      <c r="AD967" s="153"/>
      <c r="AE967" s="153"/>
      <c r="AF967" s="153"/>
      <c r="AG967" s="153"/>
      <c r="AH967" s="153"/>
      <c r="AI967" s="153"/>
      <c r="AJ967" s="153"/>
      <c r="AK967" s="153"/>
      <c r="AL967" s="153"/>
      <c r="AM967" s="153"/>
      <c r="AN967" s="153"/>
      <c r="AO967" s="153"/>
    </row>
    <row r="968" ht="25.5" customHeight="1">
      <c r="A968" s="145">
        <v>46209.0</v>
      </c>
      <c r="B968" s="146" t="s">
        <v>986</v>
      </c>
      <c r="C968" s="146" t="s">
        <v>222</v>
      </c>
      <c r="D968" s="146" t="s">
        <v>223</v>
      </c>
      <c r="E968" s="159" t="s">
        <v>70</v>
      </c>
      <c r="F968" s="146" t="s">
        <v>71</v>
      </c>
      <c r="G968" s="147">
        <v>1160.0</v>
      </c>
      <c r="H968" s="148">
        <v>20276.0</v>
      </c>
      <c r="I968" s="149">
        <v>2.352016E7</v>
      </c>
      <c r="J968" s="149">
        <v>1881613.0</v>
      </c>
      <c r="K968" s="149">
        <v>2.5401773E7</v>
      </c>
      <c r="L968" s="150" t="s">
        <v>1417</v>
      </c>
      <c r="M968" s="151" t="str">
        <f>VLOOKUP(L968,'Đơn đặt'!$C$3:$E$275,2,0)</f>
        <v>03-18-TS</v>
      </c>
      <c r="N968" s="151" t="str">
        <f>VLOOKUP(L968,'Đơn đặt'!$C$3:$E$275,3,0)</f>
        <v>55-2026/TS-AVP/ĐĐH</v>
      </c>
      <c r="O968" s="145">
        <v>46209.0</v>
      </c>
      <c r="P968" s="146" t="s">
        <v>1509</v>
      </c>
      <c r="Q968" s="148">
        <v>1160.0</v>
      </c>
      <c r="R968" s="148">
        <v>18311.2</v>
      </c>
      <c r="S968" s="149">
        <v>2.1240992E7</v>
      </c>
      <c r="T968" s="149">
        <v>1699279.0</v>
      </c>
      <c r="U968" s="149">
        <f t="shared" si="230"/>
        <v>22940271</v>
      </c>
      <c r="V968" s="153"/>
      <c r="W968" s="153"/>
      <c r="X968" s="153"/>
      <c r="Y968" s="153"/>
      <c r="Z968" s="153"/>
      <c r="AA968" s="153"/>
      <c r="AB968" s="153"/>
      <c r="AC968" s="153"/>
      <c r="AD968" s="153"/>
      <c r="AE968" s="153"/>
      <c r="AF968" s="153"/>
      <c r="AG968" s="153"/>
      <c r="AH968" s="153"/>
      <c r="AI968" s="153"/>
      <c r="AJ968" s="153"/>
      <c r="AK968" s="153"/>
      <c r="AL968" s="153"/>
      <c r="AM968" s="153"/>
      <c r="AN968" s="153"/>
      <c r="AO968" s="153"/>
    </row>
    <row r="969" ht="25.5" customHeight="1">
      <c r="A969" s="145">
        <v>46209.0</v>
      </c>
      <c r="B969" s="146" t="s">
        <v>982</v>
      </c>
      <c r="C969" s="146" t="s">
        <v>48</v>
      </c>
      <c r="D969" s="146" t="s">
        <v>47</v>
      </c>
      <c r="E969" s="159" t="s">
        <v>70</v>
      </c>
      <c r="F969" s="146" t="s">
        <v>71</v>
      </c>
      <c r="G969" s="147">
        <v>7300.0</v>
      </c>
      <c r="H969" s="148">
        <v>19206.0</v>
      </c>
      <c r="I969" s="149">
        <v>1.402038E8</v>
      </c>
      <c r="J969" s="149">
        <v>1.1216304E7</v>
      </c>
      <c r="K969" s="149">
        <v>1.51420104E8</v>
      </c>
      <c r="L969" s="150" t="s">
        <v>1400</v>
      </c>
      <c r="M969" s="151" t="str">
        <f>VLOOKUP(L969,'Đơn đặt'!$C$3:$E$275,2,0)</f>
        <v>05-09-TS</v>
      </c>
      <c r="N969" s="151" t="str">
        <f>VLOOKUP(L969,'Đơn đặt'!$C$3:$E$275,3,0)</f>
        <v>68-2026/TS-AVP/ĐĐH</v>
      </c>
      <c r="O969" s="145">
        <v>46209.0</v>
      </c>
      <c r="P969" s="146" t="s">
        <v>1510</v>
      </c>
      <c r="Q969" s="148">
        <f>G969</f>
        <v>7300</v>
      </c>
      <c r="R969" s="148">
        <v>15209.2</v>
      </c>
      <c r="S969" s="149">
        <f t="shared" ref="S969:S971" si="247">Q969*R969</f>
        <v>111027160</v>
      </c>
      <c r="T969" s="149">
        <f>S969*0.08</f>
        <v>8882172.8</v>
      </c>
      <c r="U969" s="149">
        <f t="shared" si="230"/>
        <v>119909332.8</v>
      </c>
      <c r="V969" s="153"/>
      <c r="W969" s="153"/>
      <c r="X969" s="153"/>
      <c r="Y969" s="153"/>
      <c r="Z969" s="153"/>
      <c r="AA969" s="153"/>
      <c r="AB969" s="153"/>
      <c r="AC969" s="153"/>
      <c r="AD969" s="153"/>
      <c r="AE969" s="153"/>
      <c r="AF969" s="153"/>
      <c r="AG969" s="153"/>
      <c r="AH969" s="153"/>
      <c r="AI969" s="153"/>
      <c r="AJ969" s="153"/>
      <c r="AK969" s="153"/>
      <c r="AL969" s="153"/>
      <c r="AM969" s="153"/>
      <c r="AN969" s="153"/>
      <c r="AO969" s="153"/>
    </row>
    <row r="970" ht="25.5" customHeight="1">
      <c r="A970" s="145">
        <v>46209.0</v>
      </c>
      <c r="B970" s="146" t="s">
        <v>982</v>
      </c>
      <c r="C970" s="146" t="s">
        <v>50</v>
      </c>
      <c r="D970" s="146" t="s">
        <v>49</v>
      </c>
      <c r="E970" s="159" t="s">
        <v>70</v>
      </c>
      <c r="F970" s="146" t="s">
        <v>71</v>
      </c>
      <c r="G970" s="147">
        <v>600.0</v>
      </c>
      <c r="H970" s="148">
        <v>19206.0</v>
      </c>
      <c r="I970" s="149">
        <f t="shared" ref="I970:I971" si="248">G970*H970</f>
        <v>11523600</v>
      </c>
      <c r="J970" s="149">
        <f t="shared" ref="J970:J971" si="249">I970*8%</f>
        <v>921888</v>
      </c>
      <c r="K970" s="149">
        <f t="shared" ref="K970:K971" si="250">I970+J970</f>
        <v>12445488</v>
      </c>
      <c r="L970" s="150" t="s">
        <v>1146</v>
      </c>
      <c r="M970" s="151" t="str">
        <f>VLOOKUP(L970,'Đơn đặt'!$C$3:$E$275,2,0)</f>
        <v>03-12-TS</v>
      </c>
      <c r="N970" s="151" t="str">
        <f>VLOOKUP(L970,'Đơn đặt'!$C$3:$E$275,3,0)</f>
        <v>58-2026/TS-AVP/ĐĐH</v>
      </c>
      <c r="O970" s="145">
        <v>46209.0</v>
      </c>
      <c r="P970" s="146" t="s">
        <v>1511</v>
      </c>
      <c r="Q970" s="147">
        <v>600.0</v>
      </c>
      <c r="R970" s="148">
        <v>15209.2</v>
      </c>
      <c r="S970" s="149">
        <f t="shared" si="247"/>
        <v>9125520</v>
      </c>
      <c r="T970" s="149">
        <f t="shared" ref="T970:T971" si="251">S970*8%</f>
        <v>730041.6</v>
      </c>
      <c r="U970" s="149">
        <f t="shared" si="230"/>
        <v>9855561.6</v>
      </c>
      <c r="V970" s="153"/>
      <c r="W970" s="153"/>
      <c r="X970" s="153"/>
      <c r="Y970" s="153"/>
      <c r="Z970" s="153"/>
      <c r="AA970" s="153"/>
      <c r="AB970" s="153"/>
      <c r="AC970" s="153"/>
      <c r="AD970" s="153"/>
      <c r="AE970" s="153"/>
      <c r="AF970" s="153"/>
      <c r="AG970" s="153"/>
      <c r="AH970" s="153"/>
      <c r="AI970" s="153"/>
      <c r="AJ970" s="153"/>
      <c r="AK970" s="153"/>
      <c r="AL970" s="153"/>
      <c r="AM970" s="153"/>
      <c r="AN970" s="153"/>
      <c r="AO970" s="153"/>
    </row>
    <row r="971" ht="25.5" customHeight="1">
      <c r="A971" s="145">
        <v>46209.0</v>
      </c>
      <c r="B971" s="146" t="s">
        <v>982</v>
      </c>
      <c r="C971" s="146" t="s">
        <v>50</v>
      </c>
      <c r="D971" s="146" t="s">
        <v>49</v>
      </c>
      <c r="E971" s="159" t="s">
        <v>70</v>
      </c>
      <c r="F971" s="146" t="s">
        <v>71</v>
      </c>
      <c r="G971" s="147">
        <v>1900.0</v>
      </c>
      <c r="H971" s="148">
        <v>19206.0</v>
      </c>
      <c r="I971" s="149">
        <f t="shared" si="248"/>
        <v>36491400</v>
      </c>
      <c r="J971" s="149">
        <f t="shared" si="249"/>
        <v>2919312</v>
      </c>
      <c r="K971" s="149">
        <f t="shared" si="250"/>
        <v>39410712</v>
      </c>
      <c r="L971" s="150" t="s">
        <v>1130</v>
      </c>
      <c r="M971" s="151" t="str">
        <f>VLOOKUP(L971,'Đơn đặt'!$C$3:$E$275,2,0)</f>
        <v>04-08-TS</v>
      </c>
      <c r="N971" s="151" t="str">
        <f>VLOOKUP(L971,'Đơn đặt'!$C$3:$E$275,3,0)</f>
        <v>47-2026/TS-AVP/ĐĐH</v>
      </c>
      <c r="O971" s="145">
        <v>46209.0</v>
      </c>
      <c r="P971" s="146" t="s">
        <v>1511</v>
      </c>
      <c r="Q971" s="147">
        <v>1900.0</v>
      </c>
      <c r="R971" s="148">
        <v>15209.2</v>
      </c>
      <c r="S971" s="149">
        <f t="shared" si="247"/>
        <v>28897480</v>
      </c>
      <c r="T971" s="149">
        <f t="shared" si="251"/>
        <v>2311798.4</v>
      </c>
      <c r="U971" s="149">
        <f t="shared" si="230"/>
        <v>31209278.4</v>
      </c>
      <c r="V971" s="153"/>
      <c r="W971" s="153"/>
      <c r="X971" s="153"/>
      <c r="Y971" s="153"/>
      <c r="Z971" s="153"/>
      <c r="AA971" s="153"/>
      <c r="AB971" s="153"/>
      <c r="AC971" s="153"/>
      <c r="AD971" s="153"/>
      <c r="AE971" s="153"/>
      <c r="AF971" s="153"/>
      <c r="AG971" s="153"/>
      <c r="AH971" s="153"/>
      <c r="AI971" s="153"/>
      <c r="AJ971" s="153"/>
      <c r="AK971" s="153"/>
      <c r="AL971" s="153"/>
      <c r="AM971" s="153"/>
      <c r="AN971" s="153"/>
      <c r="AO971" s="153"/>
    </row>
    <row r="972" ht="25.5" customHeight="1">
      <c r="A972" s="145">
        <v>46210.0</v>
      </c>
      <c r="B972" s="146" t="s">
        <v>990</v>
      </c>
      <c r="C972" s="146" t="s">
        <v>110</v>
      </c>
      <c r="D972" s="146" t="s">
        <v>1384</v>
      </c>
      <c r="E972" s="159" t="s">
        <v>70</v>
      </c>
      <c r="F972" s="146" t="s">
        <v>112</v>
      </c>
      <c r="G972" s="147">
        <v>4680.0</v>
      </c>
      <c r="H972" s="148">
        <v>28000.0</v>
      </c>
      <c r="I972" s="149">
        <v>1.3104E8</v>
      </c>
      <c r="J972" s="149">
        <v>1.04832E7</v>
      </c>
      <c r="K972" s="149">
        <v>1.415232E8</v>
      </c>
      <c r="L972" s="150" t="s">
        <v>1385</v>
      </c>
      <c r="M972" s="151" t="str">
        <f>VLOOKUP(L972,'Đơn đặt'!$C$3:$E$275,2,0)</f>
        <v>04/06/TSC-LT</v>
      </c>
      <c r="N972" s="151" t="str">
        <f>VLOOKUP(L972,'Đơn đặt'!$C$3:$E$275,3,0)</f>
        <v>Hàng SX</v>
      </c>
      <c r="O972" s="154" t="s">
        <v>98</v>
      </c>
      <c r="P972" s="155"/>
      <c r="Q972" s="156">
        <f>G972</f>
        <v>4680</v>
      </c>
      <c r="R972" s="152"/>
      <c r="S972" s="152"/>
      <c r="T972" s="152"/>
      <c r="U972" s="149">
        <f t="shared" si="230"/>
        <v>0</v>
      </c>
      <c r="V972" s="153"/>
      <c r="W972" s="153"/>
      <c r="X972" s="153"/>
      <c r="Y972" s="153"/>
      <c r="Z972" s="153"/>
      <c r="AA972" s="153"/>
      <c r="AB972" s="153"/>
      <c r="AC972" s="153"/>
      <c r="AD972" s="153"/>
      <c r="AE972" s="153"/>
      <c r="AF972" s="153"/>
      <c r="AG972" s="153"/>
      <c r="AH972" s="153"/>
      <c r="AI972" s="153"/>
      <c r="AJ972" s="153"/>
      <c r="AK972" s="153"/>
      <c r="AL972" s="153"/>
      <c r="AM972" s="153"/>
      <c r="AN972" s="153"/>
      <c r="AO972" s="153"/>
    </row>
    <row r="973" ht="25.5" customHeight="1">
      <c r="A973" s="145">
        <v>46210.0</v>
      </c>
      <c r="B973" s="146" t="s">
        <v>993</v>
      </c>
      <c r="C973" s="146" t="s">
        <v>414</v>
      </c>
      <c r="D973" s="146" t="s">
        <v>415</v>
      </c>
      <c r="E973" s="159" t="s">
        <v>70</v>
      </c>
      <c r="F973" s="146" t="s">
        <v>71</v>
      </c>
      <c r="G973" s="147">
        <v>600.0</v>
      </c>
      <c r="H973" s="148">
        <v>21212.0</v>
      </c>
      <c r="I973" s="149">
        <v>1.27272E7</v>
      </c>
      <c r="J973" s="149">
        <v>1018176.0</v>
      </c>
      <c r="K973" s="149">
        <v>1.3745376E7</v>
      </c>
      <c r="L973" s="150" t="s">
        <v>1512</v>
      </c>
      <c r="M973" s="151" t="str">
        <f>VLOOKUP(L973,'Đơn đặt'!$C$3:$E$275,2,0)</f>
        <v>06-08/TS</v>
      </c>
      <c r="N973" s="151" t="str">
        <f>VLOOKUP(L973,'Đơn đặt'!$C$3:$E$275,3,0)</f>
        <v>75-2026/TS-AVP/ĐĐH</v>
      </c>
      <c r="O973" s="145">
        <v>46210.0</v>
      </c>
      <c r="P973" s="146" t="s">
        <v>1513</v>
      </c>
      <c r="Q973" s="148">
        <v>600.0</v>
      </c>
      <c r="R973" s="148">
        <v>18834.4</v>
      </c>
      <c r="S973" s="149">
        <v>1.130064E7</v>
      </c>
      <c r="T973" s="149">
        <v>904051.0</v>
      </c>
      <c r="U973" s="149">
        <f t="shared" si="230"/>
        <v>12204691</v>
      </c>
      <c r="V973" s="153"/>
      <c r="W973" s="153"/>
      <c r="X973" s="153"/>
      <c r="Y973" s="153"/>
      <c r="Z973" s="153"/>
      <c r="AA973" s="153"/>
      <c r="AB973" s="153"/>
      <c r="AC973" s="153"/>
      <c r="AD973" s="153"/>
      <c r="AE973" s="153"/>
      <c r="AF973" s="153"/>
      <c r="AG973" s="153"/>
      <c r="AH973" s="153"/>
      <c r="AI973" s="153"/>
      <c r="AJ973" s="153"/>
      <c r="AK973" s="153"/>
      <c r="AL973" s="153"/>
      <c r="AM973" s="153"/>
      <c r="AN973" s="153"/>
      <c r="AO973" s="153"/>
    </row>
    <row r="974" ht="25.5" customHeight="1">
      <c r="A974" s="145">
        <v>46210.0</v>
      </c>
      <c r="B974" s="146" t="s">
        <v>993</v>
      </c>
      <c r="C974" s="146" t="s">
        <v>119</v>
      </c>
      <c r="D974" s="146" t="s">
        <v>120</v>
      </c>
      <c r="E974" s="159" t="s">
        <v>70</v>
      </c>
      <c r="F974" s="146" t="s">
        <v>71</v>
      </c>
      <c r="G974" s="147">
        <v>3000.0</v>
      </c>
      <c r="H974" s="148">
        <v>20276.0</v>
      </c>
      <c r="I974" s="149">
        <v>6.0828E7</v>
      </c>
      <c r="J974" s="149">
        <v>4866240.0</v>
      </c>
      <c r="K974" s="149">
        <v>6.569424E7</v>
      </c>
      <c r="L974" s="150" t="s">
        <v>1417</v>
      </c>
      <c r="M974" s="151" t="str">
        <f>VLOOKUP(L974,'Đơn đặt'!$C$3:$E$275,2,0)</f>
        <v>03-18-TS</v>
      </c>
      <c r="N974" s="151" t="str">
        <f>VLOOKUP(L974,'Đơn đặt'!$C$3:$E$275,3,0)</f>
        <v>55-2026/TS-AVP/ĐĐH</v>
      </c>
      <c r="O974" s="145">
        <v>46210.0</v>
      </c>
      <c r="P974" s="146" t="s">
        <v>1513</v>
      </c>
      <c r="Q974" s="148">
        <v>3000.0</v>
      </c>
      <c r="R974" s="148">
        <v>18311.2</v>
      </c>
      <c r="S974" s="149">
        <v>5.49336E7</v>
      </c>
      <c r="T974" s="149">
        <v>4394688.0</v>
      </c>
      <c r="U974" s="149">
        <f t="shared" si="230"/>
        <v>59328288</v>
      </c>
      <c r="V974" s="153"/>
      <c r="W974" s="153"/>
      <c r="X974" s="153"/>
      <c r="Y974" s="153"/>
      <c r="Z974" s="153"/>
      <c r="AA974" s="153"/>
      <c r="AB974" s="153"/>
      <c r="AC974" s="153"/>
      <c r="AD974" s="153"/>
      <c r="AE974" s="153"/>
      <c r="AF974" s="153"/>
      <c r="AG974" s="153"/>
      <c r="AH974" s="153"/>
      <c r="AI974" s="153"/>
      <c r="AJ974" s="153"/>
      <c r="AK974" s="153"/>
      <c r="AL974" s="153"/>
      <c r="AM974" s="153"/>
      <c r="AN974" s="153"/>
      <c r="AO974" s="153"/>
    </row>
    <row r="975" ht="25.5" customHeight="1">
      <c r="A975" s="145">
        <v>46210.0</v>
      </c>
      <c r="B975" s="146" t="s">
        <v>993</v>
      </c>
      <c r="C975" s="146" t="s">
        <v>222</v>
      </c>
      <c r="D975" s="146" t="s">
        <v>223</v>
      </c>
      <c r="E975" s="159" t="s">
        <v>70</v>
      </c>
      <c r="F975" s="146" t="s">
        <v>71</v>
      </c>
      <c r="G975" s="147">
        <v>1340.0</v>
      </c>
      <c r="H975" s="148">
        <v>20276.0</v>
      </c>
      <c r="I975" s="149">
        <v>2.716984E7</v>
      </c>
      <c r="J975" s="149">
        <v>2173587.0</v>
      </c>
      <c r="K975" s="149">
        <v>2.9343427E7</v>
      </c>
      <c r="L975" s="150" t="s">
        <v>1417</v>
      </c>
      <c r="M975" s="151" t="str">
        <f>VLOOKUP(L975,'Đơn đặt'!$C$3:$E$275,2,0)</f>
        <v>03-18-TS</v>
      </c>
      <c r="N975" s="151" t="str">
        <f>VLOOKUP(L975,'Đơn đặt'!$C$3:$E$275,3,0)</f>
        <v>55-2026/TS-AVP/ĐĐH</v>
      </c>
      <c r="O975" s="145">
        <v>46210.0</v>
      </c>
      <c r="P975" s="146" t="s">
        <v>1513</v>
      </c>
      <c r="Q975" s="148">
        <v>1340.0</v>
      </c>
      <c r="R975" s="148">
        <v>18311.2</v>
      </c>
      <c r="S975" s="149">
        <v>2.4537008E7</v>
      </c>
      <c r="T975" s="149">
        <v>1962961.0</v>
      </c>
      <c r="U975" s="149">
        <f t="shared" si="230"/>
        <v>26499969</v>
      </c>
      <c r="V975" s="153"/>
      <c r="W975" s="153"/>
      <c r="X975" s="153"/>
      <c r="Y975" s="153"/>
      <c r="Z975" s="153"/>
      <c r="AA975" s="153"/>
      <c r="AB975" s="153"/>
      <c r="AC975" s="153"/>
      <c r="AD975" s="153"/>
      <c r="AE975" s="153"/>
      <c r="AF975" s="153"/>
      <c r="AG975" s="153"/>
      <c r="AH975" s="153"/>
      <c r="AI975" s="153"/>
      <c r="AJ975" s="153"/>
      <c r="AK975" s="153"/>
      <c r="AL975" s="153"/>
      <c r="AM975" s="153"/>
      <c r="AN975" s="153"/>
      <c r="AO975" s="153"/>
    </row>
    <row r="976" ht="25.5" customHeight="1">
      <c r="A976" s="145">
        <v>46210.0</v>
      </c>
      <c r="B976" s="146" t="s">
        <v>1514</v>
      </c>
      <c r="C976" s="146" t="s">
        <v>48</v>
      </c>
      <c r="D976" s="146" t="s">
        <v>47</v>
      </c>
      <c r="E976" s="159" t="s">
        <v>70</v>
      </c>
      <c r="F976" s="146" t="s">
        <v>71</v>
      </c>
      <c r="G976" s="147">
        <v>3770.0</v>
      </c>
      <c r="H976" s="148">
        <v>19206.0</v>
      </c>
      <c r="I976" s="149">
        <v>7.240662E7</v>
      </c>
      <c r="J976" s="149">
        <v>5792530.0</v>
      </c>
      <c r="K976" s="149">
        <v>7.819915E7</v>
      </c>
      <c r="L976" s="150" t="s">
        <v>1400</v>
      </c>
      <c r="M976" s="151" t="str">
        <f>VLOOKUP(L976,'Đơn đặt'!$C$3:$E$275,2,0)</f>
        <v>05-09-TS</v>
      </c>
      <c r="N976" s="151" t="str">
        <f>VLOOKUP(L976,'Đơn đặt'!$C$3:$E$275,3,0)</f>
        <v>68-2026/TS-AVP/ĐĐH</v>
      </c>
      <c r="O976" s="145">
        <v>46210.0</v>
      </c>
      <c r="P976" s="146" t="s">
        <v>1515</v>
      </c>
      <c r="Q976" s="148">
        <v>3770.0</v>
      </c>
      <c r="R976" s="148">
        <v>15209.2</v>
      </c>
      <c r="S976" s="149">
        <v>5.7338684E7</v>
      </c>
      <c r="T976" s="149">
        <v>4587095.0</v>
      </c>
      <c r="U976" s="149">
        <f t="shared" si="230"/>
        <v>61925779</v>
      </c>
      <c r="V976" s="153"/>
      <c r="W976" s="153"/>
      <c r="X976" s="153"/>
      <c r="Y976" s="153"/>
      <c r="Z976" s="153"/>
      <c r="AA976" s="153"/>
      <c r="AB976" s="153"/>
      <c r="AC976" s="153"/>
      <c r="AD976" s="153"/>
      <c r="AE976" s="153"/>
      <c r="AF976" s="153"/>
      <c r="AG976" s="153"/>
      <c r="AH976" s="153"/>
      <c r="AI976" s="153"/>
      <c r="AJ976" s="153"/>
      <c r="AK976" s="153"/>
      <c r="AL976" s="153"/>
      <c r="AM976" s="153"/>
      <c r="AN976" s="153"/>
      <c r="AO976" s="153"/>
    </row>
    <row r="977" ht="25.5" customHeight="1">
      <c r="A977" s="145">
        <v>46210.0</v>
      </c>
      <c r="B977" s="146" t="s">
        <v>1514</v>
      </c>
      <c r="C977" s="146" t="s">
        <v>50</v>
      </c>
      <c r="D977" s="146" t="s">
        <v>49</v>
      </c>
      <c r="E977" s="159" t="s">
        <v>70</v>
      </c>
      <c r="F977" s="146" t="s">
        <v>71</v>
      </c>
      <c r="G977" s="147">
        <v>1500.0</v>
      </c>
      <c r="H977" s="148">
        <v>19206.0</v>
      </c>
      <c r="I977" s="149">
        <v>2.8809E7</v>
      </c>
      <c r="J977" s="149">
        <v>2304720.0</v>
      </c>
      <c r="K977" s="149">
        <v>3.111372E7</v>
      </c>
      <c r="L977" s="150" t="s">
        <v>1130</v>
      </c>
      <c r="M977" s="151" t="str">
        <f>VLOOKUP(L977,'Đơn đặt'!$C$3:$E$275,2,0)</f>
        <v>04-08-TS</v>
      </c>
      <c r="N977" s="151" t="str">
        <f>VLOOKUP(L977,'Đơn đặt'!$C$3:$E$275,3,0)</f>
        <v>47-2026/TS-AVP/ĐĐH</v>
      </c>
      <c r="O977" s="145">
        <v>46210.0</v>
      </c>
      <c r="P977" s="146" t="s">
        <v>1515</v>
      </c>
      <c r="Q977" s="148">
        <v>1500.0</v>
      </c>
      <c r="R977" s="148">
        <v>15209.2</v>
      </c>
      <c r="S977" s="149">
        <v>2.28138E7</v>
      </c>
      <c r="T977" s="149">
        <v>1825104.0</v>
      </c>
      <c r="U977" s="149">
        <f t="shared" si="230"/>
        <v>24638904</v>
      </c>
      <c r="V977" s="153"/>
      <c r="W977" s="153"/>
      <c r="X977" s="153"/>
      <c r="Y977" s="153"/>
      <c r="Z977" s="153"/>
      <c r="AA977" s="153"/>
      <c r="AB977" s="153"/>
      <c r="AC977" s="153"/>
      <c r="AD977" s="153"/>
      <c r="AE977" s="153"/>
      <c r="AF977" s="153"/>
      <c r="AG977" s="153"/>
      <c r="AH977" s="153"/>
      <c r="AI977" s="153"/>
      <c r="AJ977" s="153"/>
      <c r="AK977" s="153"/>
      <c r="AL977" s="153"/>
      <c r="AM977" s="153"/>
      <c r="AN977" s="153"/>
      <c r="AO977" s="153"/>
    </row>
    <row r="978" ht="25.5" customHeight="1">
      <c r="A978" s="145">
        <v>46211.0</v>
      </c>
      <c r="B978" s="146" t="s">
        <v>1516</v>
      </c>
      <c r="C978" s="146" t="s">
        <v>48</v>
      </c>
      <c r="D978" s="146" t="s">
        <v>47</v>
      </c>
      <c r="E978" s="159" t="s">
        <v>70</v>
      </c>
      <c r="F978" s="146" t="s">
        <v>71</v>
      </c>
      <c r="G978" s="147">
        <v>3000.0</v>
      </c>
      <c r="H978" s="148">
        <v>19206.0</v>
      </c>
      <c r="I978" s="149">
        <v>5.7618E7</v>
      </c>
      <c r="J978" s="149">
        <v>4609440.0</v>
      </c>
      <c r="K978" s="149">
        <v>6.222744E7</v>
      </c>
      <c r="L978" s="150" t="s">
        <v>1400</v>
      </c>
      <c r="M978" s="151" t="str">
        <f>VLOOKUP(L978,'Đơn đặt'!$C$3:$E$275,2,0)</f>
        <v>05-09-TS</v>
      </c>
      <c r="N978" s="151" t="str">
        <f>VLOOKUP(L978,'Đơn đặt'!$C$3:$E$275,3,0)</f>
        <v>68-2026/TS-AVP/ĐĐH</v>
      </c>
      <c r="O978" s="145">
        <v>46211.0</v>
      </c>
      <c r="P978" s="146" t="s">
        <v>1517</v>
      </c>
      <c r="Q978" s="148">
        <v>3000.0</v>
      </c>
      <c r="R978" s="148">
        <v>15209.2</v>
      </c>
      <c r="S978" s="149">
        <v>4.56276E7</v>
      </c>
      <c r="T978" s="149">
        <v>3650208.0</v>
      </c>
      <c r="U978" s="149">
        <f t="shared" si="230"/>
        <v>49277808</v>
      </c>
      <c r="V978" s="153"/>
      <c r="W978" s="153"/>
      <c r="X978" s="153"/>
      <c r="Y978" s="153"/>
      <c r="Z978" s="153"/>
      <c r="AA978" s="153"/>
      <c r="AB978" s="153"/>
      <c r="AC978" s="153"/>
      <c r="AD978" s="153"/>
      <c r="AE978" s="153"/>
      <c r="AF978" s="153"/>
      <c r="AG978" s="153"/>
      <c r="AH978" s="153"/>
      <c r="AI978" s="153"/>
      <c r="AJ978" s="153"/>
      <c r="AK978" s="153"/>
      <c r="AL978" s="153"/>
      <c r="AM978" s="153"/>
      <c r="AN978" s="153"/>
      <c r="AO978" s="153"/>
    </row>
    <row r="979" ht="25.5" customHeight="1">
      <c r="A979" s="145">
        <v>46211.0</v>
      </c>
      <c r="B979" s="146" t="s">
        <v>998</v>
      </c>
      <c r="C979" s="146" t="s">
        <v>14</v>
      </c>
      <c r="D979" s="146" t="s">
        <v>13</v>
      </c>
      <c r="E979" s="159" t="s">
        <v>70</v>
      </c>
      <c r="F979" s="146" t="s">
        <v>71</v>
      </c>
      <c r="G979" s="147">
        <v>1000.0</v>
      </c>
      <c r="H979" s="148">
        <v>20374.0</v>
      </c>
      <c r="I979" s="149">
        <v>2.0374E7</v>
      </c>
      <c r="J979" s="149">
        <v>1629920.0</v>
      </c>
      <c r="K979" s="149">
        <v>2.200392E7</v>
      </c>
      <c r="L979" s="150" t="s">
        <v>1400</v>
      </c>
      <c r="M979" s="151" t="str">
        <f>VLOOKUP(L979,'Đơn đặt'!$C$3:$E$275,2,0)</f>
        <v>05-09-TS</v>
      </c>
      <c r="N979" s="151" t="str">
        <f>VLOOKUP(L979,'Đơn đặt'!$C$3:$E$275,3,0)</f>
        <v>68-2026/TS-AVP/ĐĐH</v>
      </c>
      <c r="O979" s="145">
        <v>46211.0</v>
      </c>
      <c r="P979" s="146" t="s">
        <v>998</v>
      </c>
      <c r="Q979" s="148">
        <v>1000.0</v>
      </c>
      <c r="R979" s="148">
        <v>18666.8</v>
      </c>
      <c r="S979" s="149">
        <v>1.86668E7</v>
      </c>
      <c r="T979" s="149">
        <v>1493344.0</v>
      </c>
      <c r="U979" s="149">
        <f t="shared" si="230"/>
        <v>20160144</v>
      </c>
      <c r="V979" s="153"/>
      <c r="W979" s="153"/>
      <c r="X979" s="153"/>
      <c r="Y979" s="153"/>
      <c r="Z979" s="153"/>
      <c r="AA979" s="153"/>
      <c r="AB979" s="153"/>
      <c r="AC979" s="153"/>
      <c r="AD979" s="153"/>
      <c r="AE979" s="153"/>
      <c r="AF979" s="153"/>
      <c r="AG979" s="153"/>
      <c r="AH979" s="153"/>
      <c r="AI979" s="153"/>
      <c r="AJ979" s="153"/>
      <c r="AK979" s="153"/>
      <c r="AL979" s="153"/>
      <c r="AM979" s="153"/>
      <c r="AN979" s="153"/>
      <c r="AO979" s="153"/>
    </row>
    <row r="980" ht="25.5" customHeight="1">
      <c r="A980" s="145">
        <v>46211.0</v>
      </c>
      <c r="B980" s="146" t="s">
        <v>998</v>
      </c>
      <c r="C980" s="146" t="s">
        <v>59</v>
      </c>
      <c r="D980" s="146" t="s">
        <v>105</v>
      </c>
      <c r="E980" s="159" t="s">
        <v>70</v>
      </c>
      <c r="F980" s="146" t="s">
        <v>71</v>
      </c>
      <c r="G980" s="147">
        <v>2500.0</v>
      </c>
      <c r="H980" s="148">
        <v>19206.0</v>
      </c>
      <c r="I980" s="149">
        <v>4.8015E7</v>
      </c>
      <c r="J980" s="149">
        <v>3841200.0</v>
      </c>
      <c r="K980" s="149">
        <v>5.18562E7</v>
      </c>
      <c r="L980" s="150" t="s">
        <v>1400</v>
      </c>
      <c r="M980" s="151" t="str">
        <f>VLOOKUP(L980,'Đơn đặt'!$C$3:$E$275,2,0)</f>
        <v>05-09-TS</v>
      </c>
      <c r="N980" s="151" t="str">
        <f>VLOOKUP(L980,'Đơn đặt'!$C$3:$E$275,3,0)</f>
        <v>68-2026/TS-AVP/ĐĐH</v>
      </c>
      <c r="O980" s="145">
        <v>46211.0</v>
      </c>
      <c r="P980" s="146" t="s">
        <v>1518</v>
      </c>
      <c r="Q980" s="148">
        <v>2500.0</v>
      </c>
      <c r="R980" s="148">
        <v>17073.2</v>
      </c>
      <c r="S980" s="149">
        <v>4.2683E7</v>
      </c>
      <c r="T980" s="149">
        <v>3414640.0</v>
      </c>
      <c r="U980" s="149">
        <f t="shared" si="230"/>
        <v>46097640</v>
      </c>
      <c r="V980" s="153"/>
      <c r="W980" s="153"/>
      <c r="X980" s="153"/>
      <c r="Y980" s="153"/>
      <c r="Z980" s="153"/>
      <c r="AA980" s="153"/>
      <c r="AB980" s="153"/>
      <c r="AC980" s="153"/>
      <c r="AD980" s="153"/>
      <c r="AE980" s="153"/>
      <c r="AF980" s="153"/>
      <c r="AG980" s="153"/>
      <c r="AH980" s="153"/>
      <c r="AI980" s="153"/>
      <c r="AJ980" s="153"/>
      <c r="AK980" s="153"/>
      <c r="AL980" s="153"/>
      <c r="AM980" s="153"/>
      <c r="AN980" s="153"/>
      <c r="AO980" s="153"/>
    </row>
    <row r="981" ht="25.5" customHeight="1">
      <c r="A981" s="145">
        <v>46212.0</v>
      </c>
      <c r="B981" s="146" t="s">
        <v>1003</v>
      </c>
      <c r="C981" s="146" t="s">
        <v>59</v>
      </c>
      <c r="D981" s="146" t="s">
        <v>105</v>
      </c>
      <c r="E981" s="159" t="s">
        <v>70</v>
      </c>
      <c r="F981" s="146" t="s">
        <v>71</v>
      </c>
      <c r="G981" s="147">
        <v>1120.0</v>
      </c>
      <c r="H981" s="148">
        <v>19206.0</v>
      </c>
      <c r="I981" s="149">
        <v>2.151072E7</v>
      </c>
      <c r="J981" s="149">
        <v>1720858.0</v>
      </c>
      <c r="K981" s="149">
        <v>2.3231578E7</v>
      </c>
      <c r="L981" s="150" t="s">
        <v>1400</v>
      </c>
      <c r="M981" s="151" t="str">
        <f>VLOOKUP(L981,'Đơn đặt'!$C$3:$E$275,2,0)</f>
        <v>05-09-TS</v>
      </c>
      <c r="N981" s="151" t="str">
        <f>VLOOKUP(L981,'Đơn đặt'!$C$3:$E$275,3,0)</f>
        <v>68-2026/TS-AVP/ĐĐH</v>
      </c>
      <c r="O981" s="145">
        <v>46212.0</v>
      </c>
      <c r="P981" s="146" t="s">
        <v>1519</v>
      </c>
      <c r="Q981" s="152">
        <f>G981</f>
        <v>1120</v>
      </c>
      <c r="R981" s="148">
        <v>17073.2</v>
      </c>
      <c r="S981" s="152">
        <f>Q981*R981</f>
        <v>19121984</v>
      </c>
      <c r="T981" s="152">
        <f>8%*S981</f>
        <v>1529758.72</v>
      </c>
      <c r="U981" s="149">
        <f t="shared" si="230"/>
        <v>20651742.72</v>
      </c>
      <c r="V981" s="153"/>
      <c r="W981" s="153"/>
      <c r="X981" s="153"/>
      <c r="Y981" s="153"/>
      <c r="Z981" s="153"/>
      <c r="AA981" s="153"/>
      <c r="AB981" s="153"/>
      <c r="AC981" s="153"/>
      <c r="AD981" s="153"/>
      <c r="AE981" s="153"/>
      <c r="AF981" s="153"/>
      <c r="AG981" s="153"/>
      <c r="AH981" s="153"/>
      <c r="AI981" s="153"/>
      <c r="AJ981" s="153"/>
      <c r="AK981" s="153"/>
      <c r="AL981" s="153"/>
      <c r="AM981" s="153"/>
      <c r="AN981" s="153"/>
      <c r="AO981" s="153"/>
    </row>
    <row r="982" ht="25.5" customHeight="1">
      <c r="A982" s="145">
        <v>46212.0</v>
      </c>
      <c r="B982" s="146" t="s">
        <v>1003</v>
      </c>
      <c r="C982" s="146" t="s">
        <v>247</v>
      </c>
      <c r="D982" s="146" t="s">
        <v>380</v>
      </c>
      <c r="E982" s="159" t="s">
        <v>70</v>
      </c>
      <c r="F982" s="146" t="s">
        <v>71</v>
      </c>
      <c r="G982" s="147">
        <v>2000.0</v>
      </c>
      <c r="H982" s="148">
        <v>19283.0</v>
      </c>
      <c r="I982" s="149">
        <v>3.8566E7</v>
      </c>
      <c r="J982" s="149">
        <v>3085280.0</v>
      </c>
      <c r="K982" s="149">
        <v>4.165128E7</v>
      </c>
      <c r="L982" s="150" t="s">
        <v>1130</v>
      </c>
      <c r="M982" s="151" t="str">
        <f>VLOOKUP(L982,'Đơn đặt'!$C$3:$E$275,2,0)</f>
        <v>04-08-TS</v>
      </c>
      <c r="N982" s="151" t="str">
        <f>VLOOKUP(L982,'Đơn đặt'!$C$3:$E$275,3,0)</f>
        <v>47-2026/TS-AVP/ĐĐH</v>
      </c>
      <c r="O982" s="145">
        <v>46212.0</v>
      </c>
      <c r="P982" s="146" t="s">
        <v>1519</v>
      </c>
      <c r="Q982" s="148">
        <v>2000.0</v>
      </c>
      <c r="R982" s="148">
        <v>18448.6</v>
      </c>
      <c r="S982" s="149">
        <v>3.68972E7</v>
      </c>
      <c r="T982" s="149">
        <v>2951776.0</v>
      </c>
      <c r="U982" s="149">
        <f t="shared" si="230"/>
        <v>39848976</v>
      </c>
      <c r="V982" s="153"/>
      <c r="W982" s="153"/>
      <c r="X982" s="153"/>
      <c r="Y982" s="153"/>
      <c r="Z982" s="153"/>
      <c r="AA982" s="153"/>
      <c r="AB982" s="153"/>
      <c r="AC982" s="153"/>
      <c r="AD982" s="153"/>
      <c r="AE982" s="153"/>
      <c r="AF982" s="153"/>
      <c r="AG982" s="153"/>
      <c r="AH982" s="153"/>
      <c r="AI982" s="153"/>
      <c r="AJ982" s="153"/>
      <c r="AK982" s="153"/>
      <c r="AL982" s="153"/>
      <c r="AM982" s="153"/>
      <c r="AN982" s="153"/>
      <c r="AO982" s="153"/>
    </row>
    <row r="983" ht="25.5" customHeight="1">
      <c r="A983" s="145">
        <v>46212.0</v>
      </c>
      <c r="B983" s="146" t="s">
        <v>1000</v>
      </c>
      <c r="C983" s="146" t="s">
        <v>59</v>
      </c>
      <c r="D983" s="146" t="s">
        <v>105</v>
      </c>
      <c r="E983" s="159" t="s">
        <v>70</v>
      </c>
      <c r="F983" s="146" t="s">
        <v>71</v>
      </c>
      <c r="G983" s="147">
        <v>540.0</v>
      </c>
      <c r="H983" s="148">
        <v>19206.0</v>
      </c>
      <c r="I983" s="149">
        <v>1.037124E7</v>
      </c>
      <c r="J983" s="149">
        <v>829699.0</v>
      </c>
      <c r="K983" s="149">
        <v>1.1200939E7</v>
      </c>
      <c r="L983" s="150" t="s">
        <v>1400</v>
      </c>
      <c r="M983" s="151" t="str">
        <f>VLOOKUP(L983,'Đơn đặt'!$C$3:$E$275,2,0)</f>
        <v>05-09-TS</v>
      </c>
      <c r="N983" s="151" t="str">
        <f>VLOOKUP(L983,'Đơn đặt'!$C$3:$E$275,3,0)</f>
        <v>68-2026/TS-AVP/ĐĐH</v>
      </c>
      <c r="O983" s="145">
        <v>46212.0</v>
      </c>
      <c r="P983" s="146" t="s">
        <v>1519</v>
      </c>
      <c r="Q983" s="152">
        <f>G983</f>
        <v>540</v>
      </c>
      <c r="R983" s="148">
        <v>17073.2</v>
      </c>
      <c r="S983" s="152">
        <f>Q983*R983</f>
        <v>9219528</v>
      </c>
      <c r="T983" s="152">
        <f>8%*S983</f>
        <v>737562.24</v>
      </c>
      <c r="U983" s="149">
        <f t="shared" si="230"/>
        <v>9957090.24</v>
      </c>
      <c r="V983" s="153"/>
      <c r="W983" s="153"/>
      <c r="X983" s="153"/>
      <c r="Y983" s="153"/>
      <c r="Z983" s="153"/>
      <c r="AA983" s="153"/>
      <c r="AB983" s="153"/>
      <c r="AC983" s="153"/>
      <c r="AD983" s="153"/>
      <c r="AE983" s="153"/>
      <c r="AF983" s="153"/>
      <c r="AG983" s="153"/>
      <c r="AH983" s="153"/>
      <c r="AI983" s="153"/>
      <c r="AJ983" s="153"/>
      <c r="AK983" s="153"/>
      <c r="AL983" s="153"/>
      <c r="AM983" s="153"/>
      <c r="AN983" s="153"/>
      <c r="AO983" s="153"/>
    </row>
    <row r="984" ht="25.5" customHeight="1">
      <c r="A984" s="145">
        <v>46212.0</v>
      </c>
      <c r="B984" s="146" t="s">
        <v>1000</v>
      </c>
      <c r="C984" s="146" t="s">
        <v>38</v>
      </c>
      <c r="D984" s="146" t="s">
        <v>36</v>
      </c>
      <c r="E984" s="159" t="s">
        <v>70</v>
      </c>
      <c r="F984" s="146" t="s">
        <v>71</v>
      </c>
      <c r="G984" s="147">
        <v>2000.0</v>
      </c>
      <c r="H984" s="148">
        <v>19901.0</v>
      </c>
      <c r="I984" s="149">
        <v>3.9802E7</v>
      </c>
      <c r="J984" s="149">
        <v>3184160.0</v>
      </c>
      <c r="K984" s="149">
        <v>4.298616E7</v>
      </c>
      <c r="L984" s="150" t="s">
        <v>1400</v>
      </c>
      <c r="M984" s="151" t="str">
        <f>VLOOKUP(L984,'Đơn đặt'!$C$3:$E$275,2,0)</f>
        <v>05-09-TS</v>
      </c>
      <c r="N984" s="151" t="str">
        <f>VLOOKUP(L984,'Đơn đặt'!$C$3:$E$275,3,0)</f>
        <v>68-2026/TS-AVP/ĐĐH</v>
      </c>
      <c r="O984" s="145">
        <v>46212.0</v>
      </c>
      <c r="P984" s="146" t="s">
        <v>1519</v>
      </c>
      <c r="Q984" s="148">
        <v>2000.0</v>
      </c>
      <c r="R984" s="148">
        <v>19156.2</v>
      </c>
      <c r="S984" s="149">
        <v>3.83124E7</v>
      </c>
      <c r="T984" s="149">
        <v>3064992.0</v>
      </c>
      <c r="U984" s="149">
        <f t="shared" si="230"/>
        <v>41377392</v>
      </c>
      <c r="V984" s="153"/>
      <c r="W984" s="153"/>
      <c r="X984" s="153"/>
      <c r="Y984" s="153"/>
      <c r="Z984" s="153"/>
      <c r="AA984" s="153"/>
      <c r="AB984" s="153"/>
      <c r="AC984" s="153"/>
      <c r="AD984" s="153"/>
      <c r="AE984" s="153"/>
      <c r="AF984" s="153"/>
      <c r="AG984" s="153"/>
      <c r="AH984" s="153"/>
      <c r="AI984" s="153"/>
      <c r="AJ984" s="153"/>
      <c r="AK984" s="153"/>
      <c r="AL984" s="153"/>
      <c r="AM984" s="153"/>
      <c r="AN984" s="153"/>
      <c r="AO984" s="153"/>
    </row>
    <row r="985" ht="25.5" customHeight="1">
      <c r="A985" s="145">
        <v>46212.0</v>
      </c>
      <c r="B985" s="146" t="s">
        <v>1000</v>
      </c>
      <c r="C985" s="146" t="s">
        <v>266</v>
      </c>
      <c r="D985" s="146" t="s">
        <v>516</v>
      </c>
      <c r="E985" s="159" t="s">
        <v>70</v>
      </c>
      <c r="F985" s="146" t="s">
        <v>71</v>
      </c>
      <c r="G985" s="147">
        <v>1500.0</v>
      </c>
      <c r="H985" s="148">
        <v>18191.0</v>
      </c>
      <c r="I985" s="149">
        <v>2.72865E7</v>
      </c>
      <c r="J985" s="149">
        <v>2182920.0</v>
      </c>
      <c r="K985" s="149">
        <v>2.946942E7</v>
      </c>
      <c r="L985" s="150" t="s">
        <v>1220</v>
      </c>
      <c r="M985" s="151" t="str">
        <f>VLOOKUP(L985,'Đơn đặt'!$C$3:$E$275,2,0)</f>
        <v>02-11-TS</v>
      </c>
      <c r="N985" s="151" t="str">
        <f>VLOOKUP(L985,'Đơn đặt'!$C$3:$E$275,3,0)</f>
        <v>52-2026/TS-AVP/ĐĐH</v>
      </c>
      <c r="O985" s="145">
        <v>46212.0</v>
      </c>
      <c r="P985" s="146" t="s">
        <v>1519</v>
      </c>
      <c r="Q985" s="148">
        <v>1500.0</v>
      </c>
      <c r="R985" s="148">
        <v>17454.2</v>
      </c>
      <c r="S985" s="149">
        <v>2.61813E7</v>
      </c>
      <c r="T985" s="149">
        <v>2094504.0</v>
      </c>
      <c r="U985" s="149">
        <f t="shared" si="230"/>
        <v>28275804</v>
      </c>
      <c r="V985" s="153"/>
      <c r="W985" s="153"/>
      <c r="X985" s="153"/>
      <c r="Y985" s="153"/>
      <c r="Z985" s="153"/>
      <c r="AA985" s="153"/>
      <c r="AB985" s="153"/>
      <c r="AC985" s="153"/>
      <c r="AD985" s="153"/>
      <c r="AE985" s="153"/>
      <c r="AF985" s="153"/>
      <c r="AG985" s="153"/>
      <c r="AH985" s="153"/>
      <c r="AI985" s="153"/>
      <c r="AJ985" s="153"/>
      <c r="AK985" s="153"/>
      <c r="AL985" s="153"/>
      <c r="AM985" s="153"/>
      <c r="AN985" s="153"/>
      <c r="AO985" s="153"/>
    </row>
    <row r="986" ht="25.5" customHeight="1">
      <c r="A986" s="145">
        <v>46212.0</v>
      </c>
      <c r="B986" s="146" t="s">
        <v>1002</v>
      </c>
      <c r="C986" s="146" t="s">
        <v>206</v>
      </c>
      <c r="D986" s="146" t="s">
        <v>207</v>
      </c>
      <c r="E986" s="159" t="s">
        <v>70</v>
      </c>
      <c r="F986" s="146" t="s">
        <v>71</v>
      </c>
      <c r="G986" s="147">
        <v>2500.0</v>
      </c>
      <c r="H986" s="148">
        <v>19041.0</v>
      </c>
      <c r="I986" s="149">
        <v>4.76025E7</v>
      </c>
      <c r="J986" s="149">
        <v>3808200.0</v>
      </c>
      <c r="K986" s="149">
        <v>5.14107E7</v>
      </c>
      <c r="L986" s="150" t="s">
        <v>1417</v>
      </c>
      <c r="M986" s="151" t="str">
        <f>VLOOKUP(L986,'Đơn đặt'!$C$3:$E$275,2,0)</f>
        <v>03-18-TS</v>
      </c>
      <c r="N986" s="151" t="str">
        <f>VLOOKUP(L986,'Đơn đặt'!$C$3:$E$275,3,0)</f>
        <v>55-2026/TS-AVP/ĐĐH</v>
      </c>
      <c r="O986" s="145">
        <v>46212.0</v>
      </c>
      <c r="P986" s="146" t="s">
        <v>1519</v>
      </c>
      <c r="Q986" s="148">
        <v>2500.0</v>
      </c>
      <c r="R986" s="148">
        <v>18064.2</v>
      </c>
      <c r="S986" s="149">
        <v>4.51605E7</v>
      </c>
      <c r="T986" s="149">
        <v>3612840.0</v>
      </c>
      <c r="U986" s="149">
        <f t="shared" si="230"/>
        <v>48773340</v>
      </c>
      <c r="V986" s="153"/>
      <c r="W986" s="153"/>
      <c r="X986" s="153"/>
      <c r="Y986" s="153"/>
      <c r="Z986" s="153"/>
      <c r="AA986" s="153"/>
      <c r="AB986" s="153"/>
      <c r="AC986" s="153"/>
      <c r="AD986" s="153"/>
      <c r="AE986" s="153"/>
      <c r="AF986" s="153"/>
      <c r="AG986" s="153"/>
      <c r="AH986" s="153"/>
      <c r="AI986" s="153"/>
      <c r="AJ986" s="153"/>
      <c r="AK986" s="153"/>
      <c r="AL986" s="153"/>
      <c r="AM986" s="153"/>
      <c r="AN986" s="153"/>
      <c r="AO986" s="153"/>
    </row>
    <row r="987" ht="25.5" customHeight="1">
      <c r="A987" s="145">
        <v>46212.0</v>
      </c>
      <c r="B987" s="146" t="s">
        <v>1002</v>
      </c>
      <c r="C987" s="146" t="s">
        <v>41</v>
      </c>
      <c r="D987" s="146" t="s">
        <v>40</v>
      </c>
      <c r="E987" s="159" t="s">
        <v>70</v>
      </c>
      <c r="F987" s="146" t="s">
        <v>71</v>
      </c>
      <c r="G987" s="147">
        <v>310.0</v>
      </c>
      <c r="H987" s="148">
        <v>21025.0</v>
      </c>
      <c r="I987" s="149">
        <f t="shared" ref="I987:I990" si="252">G987*H987</f>
        <v>6517750</v>
      </c>
      <c r="J987" s="149">
        <f t="shared" ref="J987:J990" si="253">I987*8%</f>
        <v>521420</v>
      </c>
      <c r="K987" s="149">
        <f t="shared" ref="K987:K990" si="254">I987+J987</f>
        <v>7039170</v>
      </c>
      <c r="L987" s="150" t="s">
        <v>1130</v>
      </c>
      <c r="M987" s="151" t="str">
        <f>VLOOKUP(L987,'Đơn đặt'!$C$3:$E$275,2,0)</f>
        <v>04-08-TS</v>
      </c>
      <c r="N987" s="151" t="str">
        <f>VLOOKUP(L987,'Đơn đặt'!$C$3:$E$275,3,0)</f>
        <v>47-2026/TS-AVP/ĐĐH</v>
      </c>
      <c r="O987" s="145">
        <v>46212.0</v>
      </c>
      <c r="P987" s="146" t="s">
        <v>1519</v>
      </c>
      <c r="Q987" s="147">
        <v>310.0</v>
      </c>
      <c r="R987" s="148">
        <v>18797.0</v>
      </c>
      <c r="S987" s="149">
        <f t="shared" ref="S987:S990" si="255">Q987*R987</f>
        <v>5827070</v>
      </c>
      <c r="T987" s="149">
        <f t="shared" ref="T987:T991" si="256">S987*8%</f>
        <v>466165.6</v>
      </c>
      <c r="U987" s="149">
        <f t="shared" si="230"/>
        <v>6293235.6</v>
      </c>
      <c r="V987" s="153"/>
      <c r="W987" s="153"/>
      <c r="X987" s="153"/>
      <c r="Y987" s="153"/>
      <c r="Z987" s="153"/>
      <c r="AA987" s="153"/>
      <c r="AB987" s="153"/>
      <c r="AC987" s="153"/>
      <c r="AD987" s="153"/>
      <c r="AE987" s="153"/>
      <c r="AF987" s="153"/>
      <c r="AG987" s="153"/>
      <c r="AH987" s="153"/>
      <c r="AI987" s="153"/>
      <c r="AJ987" s="153"/>
      <c r="AK987" s="153"/>
      <c r="AL987" s="153"/>
      <c r="AM987" s="153"/>
      <c r="AN987" s="153"/>
      <c r="AO987" s="153"/>
    </row>
    <row r="988" ht="25.5" customHeight="1">
      <c r="A988" s="145">
        <v>46212.0</v>
      </c>
      <c r="B988" s="146" t="s">
        <v>1002</v>
      </c>
      <c r="C988" s="146" t="s">
        <v>41</v>
      </c>
      <c r="D988" s="146" t="s">
        <v>40</v>
      </c>
      <c r="E988" s="159" t="s">
        <v>70</v>
      </c>
      <c r="F988" s="146" t="s">
        <v>71</v>
      </c>
      <c r="G988" s="147">
        <v>1690.0</v>
      </c>
      <c r="H988" s="148">
        <v>21025.0</v>
      </c>
      <c r="I988" s="149">
        <f t="shared" si="252"/>
        <v>35532250</v>
      </c>
      <c r="J988" s="149">
        <f t="shared" si="253"/>
        <v>2842580</v>
      </c>
      <c r="K988" s="149">
        <f t="shared" si="254"/>
        <v>38374830</v>
      </c>
      <c r="L988" s="150" t="s">
        <v>1400</v>
      </c>
      <c r="M988" s="151" t="str">
        <f>VLOOKUP(L988,'Đơn đặt'!$C$3:$E$275,2,0)</f>
        <v>05-09-TS</v>
      </c>
      <c r="N988" s="151" t="str">
        <f>VLOOKUP(L988,'Đơn đặt'!$C$3:$E$275,3,0)</f>
        <v>68-2026/TS-AVP/ĐĐH</v>
      </c>
      <c r="O988" s="145">
        <v>46212.0</v>
      </c>
      <c r="P988" s="146" t="s">
        <v>1519</v>
      </c>
      <c r="Q988" s="147">
        <v>1690.0</v>
      </c>
      <c r="R988" s="148">
        <v>18797.0</v>
      </c>
      <c r="S988" s="149">
        <f t="shared" si="255"/>
        <v>31766930</v>
      </c>
      <c r="T988" s="149">
        <f t="shared" si="256"/>
        <v>2541354.4</v>
      </c>
      <c r="U988" s="149">
        <f t="shared" si="230"/>
        <v>34308284.4</v>
      </c>
      <c r="V988" s="153"/>
      <c r="W988" s="153"/>
      <c r="X988" s="153"/>
      <c r="Y988" s="153"/>
      <c r="Z988" s="153"/>
      <c r="AA988" s="153"/>
      <c r="AB988" s="153"/>
      <c r="AC988" s="153"/>
      <c r="AD988" s="153"/>
      <c r="AE988" s="153"/>
      <c r="AF988" s="153"/>
      <c r="AG988" s="153"/>
      <c r="AH988" s="153"/>
      <c r="AI988" s="153"/>
      <c r="AJ988" s="153"/>
      <c r="AK988" s="153"/>
      <c r="AL988" s="153"/>
      <c r="AM988" s="153"/>
      <c r="AN988" s="153"/>
      <c r="AO988" s="153"/>
    </row>
    <row r="989" ht="25.5" customHeight="1">
      <c r="A989" s="145">
        <v>46213.0</v>
      </c>
      <c r="B989" s="146" t="s">
        <v>1520</v>
      </c>
      <c r="C989" s="146" t="s">
        <v>38</v>
      </c>
      <c r="D989" s="146" t="s">
        <v>36</v>
      </c>
      <c r="E989" s="159" t="s">
        <v>70</v>
      </c>
      <c r="F989" s="146" t="s">
        <v>71</v>
      </c>
      <c r="G989" s="147">
        <v>1730.0</v>
      </c>
      <c r="H989" s="148">
        <v>19901.0</v>
      </c>
      <c r="I989" s="149">
        <f t="shared" si="252"/>
        <v>34428730</v>
      </c>
      <c r="J989" s="149">
        <f t="shared" si="253"/>
        <v>2754298.4</v>
      </c>
      <c r="K989" s="149">
        <f t="shared" si="254"/>
        <v>37183028.4</v>
      </c>
      <c r="L989" s="150" t="s">
        <v>1400</v>
      </c>
      <c r="M989" s="151" t="str">
        <f>VLOOKUP(L989,'Đơn đặt'!$C$3:$E$275,2,0)</f>
        <v>05-09-TS</v>
      </c>
      <c r="N989" s="151" t="str">
        <f>VLOOKUP(L989,'Đơn đặt'!$C$3:$E$275,3,0)</f>
        <v>68-2026/TS-AVP/ĐĐH</v>
      </c>
      <c r="O989" s="145">
        <v>46213.0</v>
      </c>
      <c r="P989" s="146" t="s">
        <v>1521</v>
      </c>
      <c r="Q989" s="147">
        <v>1730.0</v>
      </c>
      <c r="R989" s="148">
        <v>19156.2</v>
      </c>
      <c r="S989" s="149">
        <f t="shared" si="255"/>
        <v>33140226</v>
      </c>
      <c r="T989" s="149">
        <f t="shared" si="256"/>
        <v>2651218.08</v>
      </c>
      <c r="U989" s="149">
        <f t="shared" si="230"/>
        <v>35791444.08</v>
      </c>
      <c r="V989" s="153"/>
      <c r="W989" s="153"/>
      <c r="X989" s="153"/>
      <c r="Y989" s="153"/>
      <c r="Z989" s="153"/>
      <c r="AA989" s="153"/>
      <c r="AB989" s="153"/>
      <c r="AC989" s="153"/>
      <c r="AD989" s="153"/>
      <c r="AE989" s="153"/>
      <c r="AF989" s="153"/>
      <c r="AG989" s="153"/>
      <c r="AH989" s="153"/>
      <c r="AI989" s="153"/>
      <c r="AJ989" s="153"/>
      <c r="AK989" s="153"/>
      <c r="AL989" s="153"/>
      <c r="AM989" s="153"/>
      <c r="AN989" s="153"/>
      <c r="AO989" s="153"/>
    </row>
    <row r="990" ht="25.5" customHeight="1">
      <c r="A990" s="145">
        <v>46213.0</v>
      </c>
      <c r="B990" s="146" t="s">
        <v>1520</v>
      </c>
      <c r="C990" s="146" t="s">
        <v>38</v>
      </c>
      <c r="D990" s="146" t="s">
        <v>36</v>
      </c>
      <c r="E990" s="159" t="s">
        <v>70</v>
      </c>
      <c r="F990" s="146" t="s">
        <v>71</v>
      </c>
      <c r="G990" s="147">
        <v>270.0</v>
      </c>
      <c r="H990" s="148">
        <v>19901.0</v>
      </c>
      <c r="I990" s="149">
        <f t="shared" si="252"/>
        <v>5373270</v>
      </c>
      <c r="J990" s="149">
        <f t="shared" si="253"/>
        <v>429861.6</v>
      </c>
      <c r="K990" s="149">
        <f t="shared" si="254"/>
        <v>5803131.6</v>
      </c>
      <c r="L990" s="150" t="s">
        <v>1512</v>
      </c>
      <c r="M990" s="151" t="str">
        <f>VLOOKUP(L990,'Đơn đặt'!$C$3:$E$275,2,0)</f>
        <v>06-08/TS</v>
      </c>
      <c r="N990" s="151" t="str">
        <f>VLOOKUP(L990,'Đơn đặt'!$C$3:$E$275,3,0)</f>
        <v>75-2026/TS-AVP/ĐĐH</v>
      </c>
      <c r="O990" s="145">
        <v>46213.0</v>
      </c>
      <c r="P990" s="146" t="s">
        <v>1521</v>
      </c>
      <c r="Q990" s="147">
        <v>270.0</v>
      </c>
      <c r="R990" s="148">
        <v>19156.2</v>
      </c>
      <c r="S990" s="149">
        <f t="shared" si="255"/>
        <v>5172174</v>
      </c>
      <c r="T990" s="149">
        <f t="shared" si="256"/>
        <v>413773.92</v>
      </c>
      <c r="U990" s="149">
        <f t="shared" si="230"/>
        <v>5585947.92</v>
      </c>
      <c r="V990" s="153"/>
      <c r="W990" s="153"/>
      <c r="X990" s="153"/>
      <c r="Y990" s="153"/>
      <c r="Z990" s="153"/>
      <c r="AA990" s="153"/>
      <c r="AB990" s="153"/>
      <c r="AC990" s="153"/>
      <c r="AD990" s="153"/>
      <c r="AE990" s="153"/>
      <c r="AF990" s="153"/>
      <c r="AG990" s="153"/>
      <c r="AH990" s="153"/>
      <c r="AI990" s="153"/>
      <c r="AJ990" s="153"/>
      <c r="AK990" s="153"/>
      <c r="AL990" s="153"/>
      <c r="AM990" s="153"/>
      <c r="AN990" s="153"/>
      <c r="AO990" s="153"/>
    </row>
    <row r="991" ht="25.5" customHeight="1">
      <c r="A991" s="145">
        <v>46213.0</v>
      </c>
      <c r="B991" s="146" t="s">
        <v>1520</v>
      </c>
      <c r="C991" s="146" t="s">
        <v>14</v>
      </c>
      <c r="D991" s="146" t="s">
        <v>13</v>
      </c>
      <c r="E991" s="159" t="s">
        <v>70</v>
      </c>
      <c r="F991" s="146" t="s">
        <v>71</v>
      </c>
      <c r="G991" s="147">
        <v>504.0</v>
      </c>
      <c r="H991" s="148">
        <v>20374.0</v>
      </c>
      <c r="I991" s="149">
        <v>1.0268496E7</v>
      </c>
      <c r="J991" s="149">
        <v>821480.0</v>
      </c>
      <c r="K991" s="149">
        <v>1.1089976E7</v>
      </c>
      <c r="L991" s="150" t="s">
        <v>1400</v>
      </c>
      <c r="M991" s="151" t="str">
        <f>VLOOKUP(L991,'Đơn đặt'!$C$3:$E$275,2,0)</f>
        <v>05-09-TS</v>
      </c>
      <c r="N991" s="151" t="str">
        <f>VLOOKUP(L991,'Đơn đặt'!$C$3:$E$275,3,0)</f>
        <v>68-2026/TS-AVP/ĐĐH</v>
      </c>
      <c r="O991" s="145">
        <v>46213.0</v>
      </c>
      <c r="P991" s="146" t="s">
        <v>1521</v>
      </c>
      <c r="Q991" s="152">
        <f>G991</f>
        <v>504</v>
      </c>
      <c r="R991" s="148">
        <v>18666.8</v>
      </c>
      <c r="S991" s="152">
        <f>R991*Q991</f>
        <v>9408067.2</v>
      </c>
      <c r="T991" s="152">
        <f t="shared" si="256"/>
        <v>752645.376</v>
      </c>
      <c r="U991" s="149">
        <f t="shared" si="230"/>
        <v>10160712.58</v>
      </c>
      <c r="V991" s="153"/>
      <c r="W991" s="153"/>
      <c r="X991" s="153"/>
      <c r="Y991" s="153"/>
      <c r="Z991" s="153"/>
      <c r="AA991" s="153"/>
      <c r="AB991" s="153"/>
      <c r="AC991" s="153"/>
      <c r="AD991" s="153"/>
      <c r="AE991" s="153"/>
      <c r="AF991" s="153"/>
      <c r="AG991" s="153"/>
      <c r="AH991" s="153"/>
      <c r="AI991" s="153"/>
      <c r="AJ991" s="153"/>
      <c r="AK991" s="153"/>
      <c r="AL991" s="153"/>
      <c r="AM991" s="153"/>
      <c r="AN991" s="153"/>
      <c r="AO991" s="153"/>
    </row>
    <row r="992" ht="25.5" customHeight="1">
      <c r="A992" s="145">
        <v>46213.0</v>
      </c>
      <c r="B992" s="146" t="s">
        <v>1520</v>
      </c>
      <c r="C992" s="146" t="s">
        <v>119</v>
      </c>
      <c r="D992" s="146" t="s">
        <v>120</v>
      </c>
      <c r="E992" s="159" t="s">
        <v>70</v>
      </c>
      <c r="F992" s="146" t="s">
        <v>71</v>
      </c>
      <c r="G992" s="147">
        <v>1480.0</v>
      </c>
      <c r="H992" s="148">
        <v>20276.0</v>
      </c>
      <c r="I992" s="149">
        <v>3.000848E7</v>
      </c>
      <c r="J992" s="149">
        <v>2400678.0</v>
      </c>
      <c r="K992" s="149">
        <v>3.2409158E7</v>
      </c>
      <c r="L992" s="150" t="s">
        <v>1417</v>
      </c>
      <c r="M992" s="151" t="str">
        <f>VLOOKUP(L992,'Đơn đặt'!$C$3:$E$275,2,0)</f>
        <v>03-18-TS</v>
      </c>
      <c r="N992" s="151" t="str">
        <f>VLOOKUP(L992,'Đơn đặt'!$C$3:$E$275,3,0)</f>
        <v>55-2026/TS-AVP/ĐĐH</v>
      </c>
      <c r="O992" s="145">
        <v>46213.0</v>
      </c>
      <c r="P992" s="146" t="s">
        <v>1521</v>
      </c>
      <c r="Q992" s="148">
        <v>1480.0</v>
      </c>
      <c r="R992" s="148">
        <v>18311.2</v>
      </c>
      <c r="S992" s="149">
        <v>2.7100576E7</v>
      </c>
      <c r="T992" s="149">
        <v>2168046.0</v>
      </c>
      <c r="U992" s="149">
        <f t="shared" si="230"/>
        <v>29268622</v>
      </c>
      <c r="V992" s="153"/>
      <c r="W992" s="153"/>
      <c r="X992" s="153"/>
      <c r="Y992" s="153"/>
      <c r="Z992" s="153"/>
      <c r="AA992" s="153"/>
      <c r="AB992" s="153"/>
      <c r="AC992" s="153"/>
      <c r="AD992" s="153"/>
      <c r="AE992" s="153"/>
      <c r="AF992" s="153"/>
      <c r="AG992" s="153"/>
      <c r="AH992" s="153"/>
      <c r="AI992" s="153"/>
      <c r="AJ992" s="153"/>
      <c r="AK992" s="153"/>
      <c r="AL992" s="153"/>
      <c r="AM992" s="153"/>
      <c r="AN992" s="153"/>
      <c r="AO992" s="153"/>
    </row>
    <row r="993" ht="25.5" customHeight="1">
      <c r="A993" s="145">
        <v>46213.0</v>
      </c>
      <c r="B993" s="146" t="s">
        <v>1522</v>
      </c>
      <c r="C993" s="146" t="s">
        <v>59</v>
      </c>
      <c r="D993" s="146" t="s">
        <v>105</v>
      </c>
      <c r="E993" s="159" t="s">
        <v>70</v>
      </c>
      <c r="F993" s="146" t="s">
        <v>71</v>
      </c>
      <c r="G993" s="147">
        <v>1200.0</v>
      </c>
      <c r="H993" s="148">
        <v>19206.0</v>
      </c>
      <c r="I993" s="149">
        <v>2.30472E7</v>
      </c>
      <c r="J993" s="149">
        <v>1843776.0</v>
      </c>
      <c r="K993" s="149">
        <v>2.4890976E7</v>
      </c>
      <c r="L993" s="150" t="s">
        <v>1400</v>
      </c>
      <c r="M993" s="151" t="str">
        <f>VLOOKUP(L993,'Đơn đặt'!$C$3:$E$275,2,0)</f>
        <v>05-09-TS</v>
      </c>
      <c r="N993" s="151" t="str">
        <f>VLOOKUP(L993,'Đơn đặt'!$C$3:$E$275,3,0)</f>
        <v>68-2026/TS-AVP/ĐĐH</v>
      </c>
      <c r="O993" s="145">
        <v>46213.0</v>
      </c>
      <c r="P993" s="146" t="s">
        <v>1521</v>
      </c>
      <c r="Q993" s="148">
        <v>1200.0</v>
      </c>
      <c r="R993" s="148">
        <v>17073.2</v>
      </c>
      <c r="S993" s="149">
        <v>2.048784E7</v>
      </c>
      <c r="T993" s="149">
        <v>1639028.0</v>
      </c>
      <c r="U993" s="149">
        <f t="shared" si="230"/>
        <v>22126868</v>
      </c>
      <c r="V993" s="153"/>
      <c r="W993" s="153"/>
      <c r="X993" s="153"/>
      <c r="Y993" s="153"/>
      <c r="Z993" s="153"/>
      <c r="AA993" s="153"/>
      <c r="AB993" s="153"/>
      <c r="AC993" s="153"/>
      <c r="AD993" s="153"/>
      <c r="AE993" s="153"/>
      <c r="AF993" s="153"/>
      <c r="AG993" s="153"/>
      <c r="AH993" s="153"/>
      <c r="AI993" s="153"/>
      <c r="AJ993" s="153"/>
      <c r="AK993" s="153"/>
      <c r="AL993" s="153"/>
      <c r="AM993" s="153"/>
      <c r="AN993" s="153"/>
      <c r="AO993" s="153"/>
    </row>
    <row r="994" ht="25.5" customHeight="1">
      <c r="A994" s="145">
        <v>46213.0</v>
      </c>
      <c r="B994" s="146" t="s">
        <v>1522</v>
      </c>
      <c r="C994" s="146" t="s">
        <v>272</v>
      </c>
      <c r="D994" s="146" t="s">
        <v>273</v>
      </c>
      <c r="E994" s="159" t="s">
        <v>70</v>
      </c>
      <c r="F994" s="146" t="s">
        <v>71</v>
      </c>
      <c r="G994" s="147">
        <v>1500.0</v>
      </c>
      <c r="H994" s="148">
        <v>18191.0</v>
      </c>
      <c r="I994" s="149">
        <v>2.72865E7</v>
      </c>
      <c r="J994" s="149">
        <v>2182920.0</v>
      </c>
      <c r="K994" s="149">
        <v>2.946942E7</v>
      </c>
      <c r="L994" s="150" t="s">
        <v>1220</v>
      </c>
      <c r="M994" s="151" t="str">
        <f>VLOOKUP(L994,'Đơn đặt'!$C$3:$E$275,2,0)</f>
        <v>02-11-TS</v>
      </c>
      <c r="N994" s="151" t="str">
        <f>VLOOKUP(L994,'Đơn đặt'!$C$3:$E$275,3,0)</f>
        <v>52-2026/TS-AVP/ĐĐH</v>
      </c>
      <c r="O994" s="145">
        <v>46213.0</v>
      </c>
      <c r="P994" s="146" t="s">
        <v>1521</v>
      </c>
      <c r="Q994" s="148">
        <v>1500.0</v>
      </c>
      <c r="R994" s="148">
        <v>17334.2</v>
      </c>
      <c r="S994" s="149">
        <v>2.60013E7</v>
      </c>
      <c r="T994" s="149">
        <v>2080104.0</v>
      </c>
      <c r="U994" s="149">
        <f t="shared" si="230"/>
        <v>28081404</v>
      </c>
      <c r="V994" s="153"/>
      <c r="W994" s="153"/>
      <c r="X994" s="153"/>
      <c r="Y994" s="153"/>
      <c r="Z994" s="153"/>
      <c r="AA994" s="153"/>
      <c r="AB994" s="153"/>
      <c r="AC994" s="153"/>
      <c r="AD994" s="153"/>
      <c r="AE994" s="153"/>
      <c r="AF994" s="153"/>
      <c r="AG994" s="153"/>
      <c r="AH994" s="153"/>
      <c r="AI994" s="153"/>
      <c r="AJ994" s="153"/>
      <c r="AK994" s="153"/>
      <c r="AL994" s="153"/>
      <c r="AM994" s="153"/>
      <c r="AN994" s="153"/>
      <c r="AO994" s="153"/>
    </row>
    <row r="995" ht="25.5" customHeight="1">
      <c r="A995" s="145">
        <v>46213.0</v>
      </c>
      <c r="B995" s="146" t="s">
        <v>1522</v>
      </c>
      <c r="C995" s="146" t="s">
        <v>14</v>
      </c>
      <c r="D995" s="146" t="s">
        <v>13</v>
      </c>
      <c r="E995" s="159" t="s">
        <v>70</v>
      </c>
      <c r="F995" s="146" t="s">
        <v>71</v>
      </c>
      <c r="G995" s="147">
        <v>1340.0</v>
      </c>
      <c r="H995" s="148">
        <v>20374.0</v>
      </c>
      <c r="I995" s="149">
        <v>2.730116E7</v>
      </c>
      <c r="J995" s="149">
        <v>2184093.0</v>
      </c>
      <c r="K995" s="149">
        <v>2.9485253E7</v>
      </c>
      <c r="L995" s="150" t="s">
        <v>1400</v>
      </c>
      <c r="M995" s="151" t="str">
        <f>VLOOKUP(L995,'Đơn đặt'!$C$3:$E$275,2,0)</f>
        <v>05-09-TS</v>
      </c>
      <c r="N995" s="151" t="str">
        <f>VLOOKUP(L995,'Đơn đặt'!$C$3:$E$275,3,0)</f>
        <v>68-2026/TS-AVP/ĐĐH</v>
      </c>
      <c r="O995" s="145">
        <v>46213.0</v>
      </c>
      <c r="P995" s="146" t="s">
        <v>1521</v>
      </c>
      <c r="Q995" s="152">
        <f>G995</f>
        <v>1340</v>
      </c>
      <c r="R995" s="148">
        <v>18666.8</v>
      </c>
      <c r="S995" s="152">
        <f>R995*Q995</f>
        <v>25013512</v>
      </c>
      <c r="T995" s="152">
        <f>S995*8%</f>
        <v>2001080.96</v>
      </c>
      <c r="U995" s="149">
        <f t="shared" si="230"/>
        <v>27014592.96</v>
      </c>
      <c r="V995" s="153"/>
      <c r="W995" s="153"/>
      <c r="X995" s="153"/>
      <c r="Y995" s="153"/>
      <c r="Z995" s="153"/>
      <c r="AA995" s="153"/>
      <c r="AB995" s="153"/>
      <c r="AC995" s="153"/>
      <c r="AD995" s="153"/>
      <c r="AE995" s="153"/>
      <c r="AF995" s="153"/>
      <c r="AG995" s="153"/>
      <c r="AH995" s="153"/>
      <c r="AI995" s="153"/>
      <c r="AJ995" s="153"/>
      <c r="AK995" s="153"/>
      <c r="AL995" s="153"/>
      <c r="AM995" s="153"/>
      <c r="AN995" s="153"/>
      <c r="AO995" s="153"/>
    </row>
    <row r="996" ht="25.5" customHeight="1">
      <c r="A996" s="145">
        <v>46213.0</v>
      </c>
      <c r="B996" s="146" t="s">
        <v>1523</v>
      </c>
      <c r="C996" s="146" t="s">
        <v>48</v>
      </c>
      <c r="D996" s="146" t="s">
        <v>47</v>
      </c>
      <c r="E996" s="159" t="s">
        <v>70</v>
      </c>
      <c r="F996" s="146" t="s">
        <v>71</v>
      </c>
      <c r="G996" s="147">
        <v>7000.0</v>
      </c>
      <c r="H996" s="148">
        <v>19206.0</v>
      </c>
      <c r="I996" s="149">
        <v>1.34442E8</v>
      </c>
      <c r="J996" s="149">
        <v>1.075536E7</v>
      </c>
      <c r="K996" s="149">
        <v>1.4519736E8</v>
      </c>
      <c r="L996" s="150" t="s">
        <v>1400</v>
      </c>
      <c r="M996" s="151" t="str">
        <f>VLOOKUP(L996,'Đơn đặt'!$C$3:$E$275,2,0)</f>
        <v>05-09-TS</v>
      </c>
      <c r="N996" s="151" t="str">
        <f>VLOOKUP(L996,'Đơn đặt'!$C$3:$E$275,3,0)</f>
        <v>68-2026/TS-AVP/ĐĐH</v>
      </c>
      <c r="O996" s="145">
        <v>46213.0</v>
      </c>
      <c r="P996" s="146" t="s">
        <v>1524</v>
      </c>
      <c r="Q996" s="148">
        <v>7000.0</v>
      </c>
      <c r="R996" s="148">
        <v>15209.2</v>
      </c>
      <c r="S996" s="149">
        <v>1.064644E8</v>
      </c>
      <c r="T996" s="149">
        <v>8517152.0</v>
      </c>
      <c r="U996" s="149">
        <f t="shared" si="230"/>
        <v>114981552</v>
      </c>
      <c r="V996" s="153"/>
      <c r="W996" s="153"/>
      <c r="X996" s="153"/>
      <c r="Y996" s="153"/>
      <c r="Z996" s="153"/>
      <c r="AA996" s="153"/>
      <c r="AB996" s="153"/>
      <c r="AC996" s="153"/>
      <c r="AD996" s="153"/>
      <c r="AE996" s="153"/>
      <c r="AF996" s="153"/>
      <c r="AG996" s="153"/>
      <c r="AH996" s="153"/>
      <c r="AI996" s="153"/>
      <c r="AJ996" s="153"/>
      <c r="AK996" s="153"/>
      <c r="AL996" s="153"/>
      <c r="AM996" s="153"/>
      <c r="AN996" s="153"/>
      <c r="AO996" s="153"/>
    </row>
    <row r="997" ht="25.5" customHeight="1">
      <c r="A997" s="145">
        <v>46213.0</v>
      </c>
      <c r="B997" s="146" t="s">
        <v>1523</v>
      </c>
      <c r="C997" s="146" t="s">
        <v>50</v>
      </c>
      <c r="D997" s="146" t="s">
        <v>49</v>
      </c>
      <c r="E997" s="159" t="s">
        <v>70</v>
      </c>
      <c r="F997" s="146" t="s">
        <v>71</v>
      </c>
      <c r="G997" s="147">
        <v>2000.0</v>
      </c>
      <c r="H997" s="148">
        <v>19206.0</v>
      </c>
      <c r="I997" s="149">
        <v>3.8412E7</v>
      </c>
      <c r="J997" s="149">
        <v>3072960.0</v>
      </c>
      <c r="K997" s="149">
        <v>4.148496E7</v>
      </c>
      <c r="L997" s="150" t="s">
        <v>1130</v>
      </c>
      <c r="M997" s="151" t="str">
        <f>VLOOKUP(L997,'Đơn đặt'!$C$3:$E$275,2,0)</f>
        <v>04-08-TS</v>
      </c>
      <c r="N997" s="151" t="str">
        <f>VLOOKUP(L997,'Đơn đặt'!$C$3:$E$275,3,0)</f>
        <v>47-2026/TS-AVP/ĐĐH</v>
      </c>
      <c r="O997" s="145">
        <v>46213.0</v>
      </c>
      <c r="P997" s="146" t="s">
        <v>1524</v>
      </c>
      <c r="Q997" s="148">
        <v>2000.0</v>
      </c>
      <c r="R997" s="148">
        <v>15209.2</v>
      </c>
      <c r="S997" s="149">
        <v>3.04184E7</v>
      </c>
      <c r="T997" s="149">
        <v>2433472.0</v>
      </c>
      <c r="U997" s="149">
        <f t="shared" si="230"/>
        <v>32851872</v>
      </c>
      <c r="V997" s="153"/>
      <c r="W997" s="153"/>
      <c r="X997" s="153"/>
      <c r="Y997" s="153"/>
      <c r="Z997" s="153"/>
      <c r="AA997" s="153"/>
      <c r="AB997" s="153"/>
      <c r="AC997" s="153"/>
      <c r="AD997" s="153"/>
      <c r="AE997" s="153"/>
      <c r="AF997" s="153"/>
      <c r="AG997" s="153"/>
      <c r="AH997" s="153"/>
      <c r="AI997" s="153"/>
      <c r="AJ997" s="153"/>
      <c r="AK997" s="153"/>
      <c r="AL997" s="153"/>
      <c r="AM997" s="153"/>
      <c r="AN997" s="153"/>
      <c r="AO997" s="153"/>
    </row>
    <row r="998" ht="25.5" customHeight="1">
      <c r="A998" s="145">
        <v>46213.0</v>
      </c>
      <c r="B998" s="146" t="s">
        <v>1525</v>
      </c>
      <c r="C998" s="146" t="s">
        <v>6</v>
      </c>
      <c r="D998" s="146" t="s">
        <v>499</v>
      </c>
      <c r="E998" s="159" t="s">
        <v>70</v>
      </c>
      <c r="F998" s="146" t="s">
        <v>500</v>
      </c>
      <c r="G998" s="147">
        <v>1200000.0</v>
      </c>
      <c r="H998" s="148">
        <v>82.0</v>
      </c>
      <c r="I998" s="149">
        <v>9.84E7</v>
      </c>
      <c r="J998" s="149">
        <v>7872000.0</v>
      </c>
      <c r="K998" s="149">
        <v>1.06272E8</v>
      </c>
      <c r="L998" s="150" t="s">
        <v>1526</v>
      </c>
      <c r="M998" s="151" t="str">
        <f>VLOOKUP(L998,'Đơn đặt'!$C$3:$E$6000,2,0)</f>
        <v>07-07/TS</v>
      </c>
      <c r="N998" s="151" t="str">
        <f>VLOOKUP(L998,'Đơn đặt'!$C$3:$E$6000,3,0)</f>
        <v> 86-2026/TS-AVP/ĐĐH</v>
      </c>
      <c r="O998" s="145">
        <v>46213.0</v>
      </c>
      <c r="P998" s="146" t="s">
        <v>1527</v>
      </c>
      <c r="Q998" s="148">
        <v>1200000.0</v>
      </c>
      <c r="R998" s="148">
        <v>78.0</v>
      </c>
      <c r="S998" s="149">
        <v>9.36E7</v>
      </c>
      <c r="T998" s="149">
        <v>7488000.0</v>
      </c>
      <c r="U998" s="149">
        <f t="shared" si="230"/>
        <v>101088000</v>
      </c>
      <c r="V998" s="153"/>
      <c r="W998" s="153"/>
      <c r="X998" s="153"/>
      <c r="Y998" s="153"/>
      <c r="Z998" s="153"/>
      <c r="AA998" s="153"/>
      <c r="AB998" s="153"/>
      <c r="AC998" s="153"/>
      <c r="AD998" s="153"/>
      <c r="AE998" s="153"/>
      <c r="AF998" s="153"/>
      <c r="AG998" s="153"/>
      <c r="AH998" s="153"/>
      <c r="AI998" s="153"/>
      <c r="AJ998" s="153"/>
      <c r="AK998" s="153"/>
      <c r="AL998" s="153"/>
      <c r="AM998" s="153"/>
      <c r="AN998" s="153"/>
      <c r="AO998" s="153"/>
    </row>
    <row r="999" ht="25.5" customHeight="1">
      <c r="A999" s="145">
        <v>46213.0</v>
      </c>
      <c r="B999" s="146" t="s">
        <v>1528</v>
      </c>
      <c r="C999" s="146" t="s">
        <v>1</v>
      </c>
      <c r="D999" s="146" t="s">
        <v>136</v>
      </c>
      <c r="E999" s="159" t="s">
        <v>70</v>
      </c>
      <c r="F999" s="146" t="s">
        <v>112</v>
      </c>
      <c r="G999" s="147">
        <v>1000.0</v>
      </c>
      <c r="H999" s="148">
        <v>42560.0</v>
      </c>
      <c r="I999" s="149">
        <v>4.256E7</v>
      </c>
      <c r="J999" s="149">
        <v>3404800.0</v>
      </c>
      <c r="K999" s="149">
        <v>4.59648E7</v>
      </c>
      <c r="L999" s="150" t="s">
        <v>1529</v>
      </c>
      <c r="M999" s="151" t="str">
        <f>VLOOKUP(L999,'Đơn đặt'!$C$3:$E$6000,2,0)</f>
        <v>07-13/TS</v>
      </c>
      <c r="N999" s="151" t="str">
        <f>VLOOKUP(L999,'Đơn đặt'!$C$3:$E$6000,3,0)</f>
        <v>79-2026/TS-AVP/ĐĐH</v>
      </c>
      <c r="O999" s="145">
        <v>46213.0</v>
      </c>
      <c r="P999" s="146" t="s">
        <v>1530</v>
      </c>
      <c r="Q999" s="152">
        <f t="shared" ref="Q999:Q1000" si="257">G999</f>
        <v>1000</v>
      </c>
      <c r="R999" s="148">
        <v>38912.0</v>
      </c>
      <c r="S999" s="152">
        <f t="shared" ref="S999:S1000" si="258">Q999*R999</f>
        <v>38912000</v>
      </c>
      <c r="T999" s="152">
        <f t="shared" ref="T999:T1000" si="259">S999*8%</f>
        <v>3112960</v>
      </c>
      <c r="U999" s="149">
        <f t="shared" si="230"/>
        <v>42024960</v>
      </c>
      <c r="V999" s="153"/>
      <c r="W999" s="153"/>
      <c r="X999" s="153"/>
      <c r="Y999" s="153"/>
      <c r="Z999" s="153"/>
      <c r="AA999" s="153"/>
      <c r="AB999" s="153"/>
      <c r="AC999" s="153"/>
      <c r="AD999" s="153"/>
      <c r="AE999" s="153"/>
      <c r="AF999" s="153"/>
      <c r="AG999" s="153"/>
      <c r="AH999" s="153"/>
      <c r="AI999" s="153"/>
      <c r="AJ999" s="153"/>
      <c r="AK999" s="153"/>
      <c r="AL999" s="153"/>
      <c r="AM999" s="153"/>
      <c r="AN999" s="153"/>
      <c r="AO999" s="153"/>
    </row>
    <row r="1000" ht="25.5" customHeight="1">
      <c r="A1000" s="145">
        <v>46213.0</v>
      </c>
      <c r="B1000" s="146" t="s">
        <v>1528</v>
      </c>
      <c r="C1000" s="146" t="s">
        <v>295</v>
      </c>
      <c r="D1000" s="146" t="s">
        <v>341</v>
      </c>
      <c r="E1000" s="159" t="s">
        <v>70</v>
      </c>
      <c r="F1000" s="146" t="s">
        <v>112</v>
      </c>
      <c r="G1000" s="147">
        <v>1000.0</v>
      </c>
      <c r="H1000" s="148">
        <v>42560.0</v>
      </c>
      <c r="I1000" s="149">
        <v>4.256E7</v>
      </c>
      <c r="J1000" s="149">
        <v>3404800.0</v>
      </c>
      <c r="K1000" s="149">
        <v>4.59648E7</v>
      </c>
      <c r="L1000" s="150" t="s">
        <v>1531</v>
      </c>
      <c r="M1000" s="151" t="str">
        <f>VLOOKUP(L1000,'Đơn đặt'!$C$3:$E$6000,2,0)</f>
        <v>07-19/TS</v>
      </c>
      <c r="N1000" s="151" t="str">
        <f>VLOOKUP(L1000,'Đơn đặt'!$C$3:$E$6000,3,0)</f>
        <v>80-2026/TS-AVP/ĐĐH</v>
      </c>
      <c r="O1000" s="145">
        <v>46213.0</v>
      </c>
      <c r="P1000" s="146" t="s">
        <v>1530</v>
      </c>
      <c r="Q1000" s="152">
        <f t="shared" si="257"/>
        <v>1000</v>
      </c>
      <c r="R1000" s="148">
        <v>38912.0</v>
      </c>
      <c r="S1000" s="152">
        <f t="shared" si="258"/>
        <v>38912000</v>
      </c>
      <c r="T1000" s="152">
        <f t="shared" si="259"/>
        <v>3112960</v>
      </c>
      <c r="U1000" s="149">
        <f t="shared" si="230"/>
        <v>42024960</v>
      </c>
      <c r="V1000" s="153"/>
      <c r="W1000" s="153"/>
      <c r="X1000" s="153"/>
      <c r="Y1000" s="153"/>
      <c r="Z1000" s="153"/>
      <c r="AA1000" s="153"/>
      <c r="AB1000" s="153"/>
      <c r="AC1000" s="153"/>
      <c r="AD1000" s="153"/>
      <c r="AE1000" s="153"/>
      <c r="AF1000" s="153"/>
      <c r="AG1000" s="153"/>
      <c r="AH1000" s="153"/>
      <c r="AI1000" s="153"/>
      <c r="AJ1000" s="153"/>
      <c r="AK1000" s="153"/>
      <c r="AL1000" s="153"/>
      <c r="AM1000" s="153"/>
      <c r="AN1000" s="153"/>
      <c r="AO1000" s="153"/>
    </row>
    <row r="1001" ht="25.5" customHeight="1">
      <c r="A1001" s="145">
        <v>46216.0</v>
      </c>
      <c r="B1001" s="146" t="s">
        <v>1007</v>
      </c>
      <c r="C1001" s="146" t="s">
        <v>59</v>
      </c>
      <c r="D1001" s="146" t="s">
        <v>105</v>
      </c>
      <c r="E1001" s="159" t="s">
        <v>70</v>
      </c>
      <c r="F1001" s="146" t="s">
        <v>71</v>
      </c>
      <c r="G1001" s="147">
        <v>1600.0</v>
      </c>
      <c r="H1001" s="148">
        <v>19206.0</v>
      </c>
      <c r="I1001" s="149">
        <v>3.07296E7</v>
      </c>
      <c r="J1001" s="149">
        <v>2458368.0</v>
      </c>
      <c r="K1001" s="149">
        <v>3.3187968E7</v>
      </c>
      <c r="L1001" s="150" t="s">
        <v>1400</v>
      </c>
      <c r="M1001" s="151" t="str">
        <f>VLOOKUP(L1001,'Đơn đặt'!$C$3:$E$275,2,0)</f>
        <v>05-09-TS</v>
      </c>
      <c r="N1001" s="151" t="str">
        <f>VLOOKUP(L1001,'Đơn đặt'!$C$3:$E$275,3,0)</f>
        <v>68-2026/TS-AVP/ĐĐH</v>
      </c>
      <c r="O1001" s="145">
        <v>46216.0</v>
      </c>
      <c r="P1001" s="146" t="s">
        <v>1532</v>
      </c>
      <c r="Q1001" s="148">
        <v>1600.0</v>
      </c>
      <c r="R1001" s="148">
        <v>17073.2</v>
      </c>
      <c r="S1001" s="149">
        <v>2.731712E7</v>
      </c>
      <c r="T1001" s="149">
        <v>2185370.0</v>
      </c>
      <c r="U1001" s="149">
        <f t="shared" si="230"/>
        <v>29502490</v>
      </c>
      <c r="V1001" s="153"/>
      <c r="W1001" s="153"/>
      <c r="X1001" s="153"/>
      <c r="Y1001" s="153"/>
      <c r="Z1001" s="153"/>
      <c r="AA1001" s="153"/>
      <c r="AB1001" s="153"/>
      <c r="AC1001" s="153"/>
      <c r="AD1001" s="153"/>
      <c r="AE1001" s="153"/>
      <c r="AF1001" s="153"/>
      <c r="AG1001" s="153"/>
      <c r="AH1001" s="153"/>
      <c r="AI1001" s="153"/>
      <c r="AJ1001" s="153"/>
      <c r="AK1001" s="153"/>
      <c r="AL1001" s="153"/>
      <c r="AM1001" s="153"/>
      <c r="AN1001" s="153"/>
      <c r="AO1001" s="153"/>
    </row>
    <row r="1002" ht="25.5" customHeight="1">
      <c r="A1002" s="145">
        <v>46216.0</v>
      </c>
      <c r="B1002" s="146" t="s">
        <v>1007</v>
      </c>
      <c r="C1002" s="146" t="s">
        <v>196</v>
      </c>
      <c r="D1002" s="146" t="s">
        <v>197</v>
      </c>
      <c r="E1002" s="159" t="s">
        <v>70</v>
      </c>
      <c r="F1002" s="146" t="s">
        <v>71</v>
      </c>
      <c r="G1002" s="147">
        <v>3240.0</v>
      </c>
      <c r="H1002" s="148">
        <v>20286.0</v>
      </c>
      <c r="I1002" s="149">
        <v>6.572664E7</v>
      </c>
      <c r="J1002" s="149">
        <v>5258131.0</v>
      </c>
      <c r="K1002" s="149">
        <v>7.0984771E7</v>
      </c>
      <c r="L1002" s="150" t="s">
        <v>1533</v>
      </c>
      <c r="M1002" s="151" t="str">
        <f>VLOOKUP(L1002,'Đơn đặt'!$C$3:$E$6000,2,0)</f>
        <v>07-02/TS</v>
      </c>
      <c r="N1002" s="151" t="str">
        <f>VLOOKUP(L1002,'Đơn đặt'!$C$3:$E$6000,3,0)</f>
        <v>82-2026/TS-AVP/ĐĐH</v>
      </c>
      <c r="O1002" s="145">
        <v>46216.0</v>
      </c>
      <c r="P1002" s="146" t="s">
        <v>1532</v>
      </c>
      <c r="Q1002" s="148">
        <v>3240.0</v>
      </c>
      <c r="R1002" s="148">
        <v>18825.2</v>
      </c>
      <c r="S1002" s="149">
        <v>6.0993648E7</v>
      </c>
      <c r="T1002" s="149">
        <v>4879491.0</v>
      </c>
      <c r="U1002" s="149">
        <f t="shared" si="230"/>
        <v>65873139</v>
      </c>
      <c r="V1002" s="153"/>
      <c r="W1002" s="153"/>
      <c r="X1002" s="153"/>
      <c r="Y1002" s="153"/>
      <c r="Z1002" s="153"/>
      <c r="AA1002" s="153"/>
      <c r="AB1002" s="153"/>
      <c r="AC1002" s="153"/>
      <c r="AD1002" s="153"/>
      <c r="AE1002" s="153"/>
      <c r="AF1002" s="153"/>
      <c r="AG1002" s="153"/>
      <c r="AH1002" s="153"/>
      <c r="AI1002" s="153"/>
      <c r="AJ1002" s="153"/>
      <c r="AK1002" s="153"/>
      <c r="AL1002" s="153"/>
      <c r="AM1002" s="153"/>
      <c r="AN1002" s="153"/>
      <c r="AO1002" s="153"/>
    </row>
    <row r="1003" ht="25.5" customHeight="1">
      <c r="A1003" s="145">
        <v>46216.0</v>
      </c>
      <c r="B1003" s="146" t="s">
        <v>1009</v>
      </c>
      <c r="C1003" s="146" t="s">
        <v>48</v>
      </c>
      <c r="D1003" s="146" t="s">
        <v>47</v>
      </c>
      <c r="E1003" s="159" t="s">
        <v>70</v>
      </c>
      <c r="F1003" s="146" t="s">
        <v>71</v>
      </c>
      <c r="G1003" s="147">
        <v>2000.0</v>
      </c>
      <c r="H1003" s="148">
        <v>19206.0</v>
      </c>
      <c r="I1003" s="149">
        <v>3.8412E7</v>
      </c>
      <c r="J1003" s="149">
        <v>3072960.0</v>
      </c>
      <c r="K1003" s="149">
        <v>4.148496E7</v>
      </c>
      <c r="L1003" s="150" t="s">
        <v>1400</v>
      </c>
      <c r="M1003" s="151" t="str">
        <f>VLOOKUP(L1003,'Đơn đặt'!$C$3:$E$275,2,0)</f>
        <v>05-09-TS</v>
      </c>
      <c r="N1003" s="151" t="str">
        <f>VLOOKUP(L1003,'Đơn đặt'!$C$3:$E$275,3,0)</f>
        <v>68-2026/TS-AVP/ĐĐH</v>
      </c>
      <c r="O1003" s="145">
        <v>46216.0</v>
      </c>
      <c r="P1003" s="146" t="s">
        <v>1534</v>
      </c>
      <c r="Q1003" s="148">
        <v>2000.0</v>
      </c>
      <c r="R1003" s="148">
        <v>15209.2</v>
      </c>
      <c r="S1003" s="149">
        <v>3.04184E7</v>
      </c>
      <c r="T1003" s="149">
        <v>2433472.0</v>
      </c>
      <c r="U1003" s="149">
        <f t="shared" si="230"/>
        <v>32851872</v>
      </c>
      <c r="V1003" s="153"/>
      <c r="W1003" s="153"/>
      <c r="X1003" s="153"/>
      <c r="Y1003" s="153"/>
      <c r="Z1003" s="153"/>
      <c r="AA1003" s="153"/>
      <c r="AB1003" s="153"/>
      <c r="AC1003" s="153"/>
      <c r="AD1003" s="153"/>
      <c r="AE1003" s="153"/>
      <c r="AF1003" s="153"/>
      <c r="AG1003" s="153"/>
      <c r="AH1003" s="153"/>
      <c r="AI1003" s="153"/>
      <c r="AJ1003" s="153"/>
      <c r="AK1003" s="153"/>
      <c r="AL1003" s="153"/>
      <c r="AM1003" s="153"/>
      <c r="AN1003" s="153"/>
      <c r="AO1003" s="153"/>
    </row>
    <row r="1004" ht="25.5" customHeight="1">
      <c r="A1004" s="145">
        <v>46216.0</v>
      </c>
      <c r="B1004" s="146" t="s">
        <v>1009</v>
      </c>
      <c r="C1004" s="146" t="s">
        <v>50</v>
      </c>
      <c r="D1004" s="146" t="s">
        <v>49</v>
      </c>
      <c r="E1004" s="159" t="s">
        <v>70</v>
      </c>
      <c r="F1004" s="146" t="s">
        <v>71</v>
      </c>
      <c r="G1004" s="147">
        <v>1900.0</v>
      </c>
      <c r="H1004" s="148">
        <v>19206.0</v>
      </c>
      <c r="I1004" s="149">
        <f t="shared" ref="I1004:I1005" si="260">G1004*H1004</f>
        <v>36491400</v>
      </c>
      <c r="J1004" s="149">
        <f t="shared" ref="J1004:J1005" si="261">I1004*8%</f>
        <v>2919312</v>
      </c>
      <c r="K1004" s="149">
        <f t="shared" ref="K1004:K1005" si="262">I1004+J1004</f>
        <v>39410712</v>
      </c>
      <c r="L1004" s="150" t="s">
        <v>1130</v>
      </c>
      <c r="M1004" s="151" t="str">
        <f>VLOOKUP(L1004,'Đơn đặt'!$C$3:$E$275,2,0)</f>
        <v>04-08-TS</v>
      </c>
      <c r="N1004" s="151" t="str">
        <f>VLOOKUP(L1004,'Đơn đặt'!$C$3:$E$275,3,0)</f>
        <v>47-2026/TS-AVP/ĐĐH</v>
      </c>
      <c r="O1004" s="145">
        <v>46216.0</v>
      </c>
      <c r="P1004" s="146" t="s">
        <v>1534</v>
      </c>
      <c r="Q1004" s="148">
        <v>1900.0</v>
      </c>
      <c r="R1004" s="148">
        <v>15209.2</v>
      </c>
      <c r="S1004" s="149">
        <f t="shared" ref="S1004:S1006" si="263">Q1004*R1004</f>
        <v>28897480</v>
      </c>
      <c r="T1004" s="149">
        <f t="shared" ref="T1004:T1006" si="264">S1004*8%</f>
        <v>2311798.4</v>
      </c>
      <c r="U1004" s="149">
        <f t="shared" si="230"/>
        <v>31209278.4</v>
      </c>
      <c r="V1004" s="153"/>
      <c r="W1004" s="153"/>
      <c r="X1004" s="153"/>
      <c r="Y1004" s="153"/>
      <c r="Z1004" s="153"/>
      <c r="AA1004" s="153"/>
      <c r="AB1004" s="153"/>
      <c r="AC1004" s="153"/>
      <c r="AD1004" s="153"/>
      <c r="AE1004" s="153"/>
      <c r="AF1004" s="153"/>
      <c r="AG1004" s="153"/>
      <c r="AH1004" s="153"/>
      <c r="AI1004" s="153"/>
      <c r="AJ1004" s="153"/>
      <c r="AK1004" s="153"/>
      <c r="AL1004" s="153"/>
      <c r="AM1004" s="153"/>
      <c r="AN1004" s="153"/>
      <c r="AO1004" s="153"/>
    </row>
    <row r="1005" ht="25.5" customHeight="1">
      <c r="A1005" s="145">
        <v>46216.0</v>
      </c>
      <c r="B1005" s="146" t="s">
        <v>1009</v>
      </c>
      <c r="C1005" s="146" t="s">
        <v>50</v>
      </c>
      <c r="D1005" s="146" t="s">
        <v>49</v>
      </c>
      <c r="E1005" s="159" t="s">
        <v>70</v>
      </c>
      <c r="F1005" s="146" t="s">
        <v>71</v>
      </c>
      <c r="G1005" s="147">
        <v>600.0</v>
      </c>
      <c r="H1005" s="148">
        <v>19206.0</v>
      </c>
      <c r="I1005" s="149">
        <f t="shared" si="260"/>
        <v>11523600</v>
      </c>
      <c r="J1005" s="149">
        <f t="shared" si="261"/>
        <v>921888</v>
      </c>
      <c r="K1005" s="149">
        <f t="shared" si="262"/>
        <v>12445488</v>
      </c>
      <c r="L1005" s="150" t="s">
        <v>1400</v>
      </c>
      <c r="M1005" s="151" t="str">
        <f>VLOOKUP(L1005,'Đơn đặt'!$C$3:$E$275,2,0)</f>
        <v>05-09-TS</v>
      </c>
      <c r="N1005" s="151" t="str">
        <f>VLOOKUP(L1005,'Đơn đặt'!$C$3:$E$275,3,0)</f>
        <v>68-2026/TS-AVP/ĐĐH</v>
      </c>
      <c r="O1005" s="145">
        <v>46216.0</v>
      </c>
      <c r="P1005" s="146" t="s">
        <v>1534</v>
      </c>
      <c r="Q1005" s="148">
        <v>600.0</v>
      </c>
      <c r="R1005" s="148">
        <v>15209.2</v>
      </c>
      <c r="S1005" s="149">
        <f t="shared" si="263"/>
        <v>9125520</v>
      </c>
      <c r="T1005" s="149">
        <f t="shared" si="264"/>
        <v>730041.6</v>
      </c>
      <c r="U1005" s="149">
        <f t="shared" si="230"/>
        <v>9855561.6</v>
      </c>
      <c r="V1005" s="153"/>
      <c r="W1005" s="153"/>
      <c r="X1005" s="153"/>
      <c r="Y1005" s="153"/>
      <c r="Z1005" s="153"/>
      <c r="AA1005" s="153"/>
      <c r="AB1005" s="153"/>
      <c r="AC1005" s="153"/>
      <c r="AD1005" s="153"/>
      <c r="AE1005" s="153"/>
      <c r="AF1005" s="153"/>
      <c r="AG1005" s="153"/>
      <c r="AH1005" s="153"/>
      <c r="AI1005" s="153"/>
      <c r="AJ1005" s="153"/>
      <c r="AK1005" s="153"/>
      <c r="AL1005" s="153"/>
      <c r="AM1005" s="153"/>
      <c r="AN1005" s="153"/>
      <c r="AO1005" s="153"/>
    </row>
    <row r="1006" ht="25.5" customHeight="1">
      <c r="A1006" s="145">
        <v>46216.0</v>
      </c>
      <c r="B1006" s="146" t="s">
        <v>1011</v>
      </c>
      <c r="C1006" s="146" t="s">
        <v>48</v>
      </c>
      <c r="D1006" s="146" t="s">
        <v>47</v>
      </c>
      <c r="E1006" s="159" t="s">
        <v>70</v>
      </c>
      <c r="F1006" s="146" t="s">
        <v>71</v>
      </c>
      <c r="G1006" s="147">
        <v>2200.0</v>
      </c>
      <c r="H1006" s="148">
        <v>19206.0</v>
      </c>
      <c r="I1006" s="149">
        <v>4.22532E7</v>
      </c>
      <c r="J1006" s="149">
        <v>3380256.0</v>
      </c>
      <c r="K1006" s="149">
        <v>4.5633456E7</v>
      </c>
      <c r="L1006" s="150" t="s">
        <v>1400</v>
      </c>
      <c r="M1006" s="151" t="str">
        <f>VLOOKUP(L1006,'Đơn đặt'!$C$3:$E$275,2,0)</f>
        <v>05-09-TS</v>
      </c>
      <c r="N1006" s="151" t="str">
        <f>VLOOKUP(L1006,'Đơn đặt'!$C$3:$E$275,3,0)</f>
        <v>68-2026/TS-AVP/ĐĐH</v>
      </c>
      <c r="O1006" s="145">
        <v>46216.0</v>
      </c>
      <c r="P1006" s="146" t="s">
        <v>1535</v>
      </c>
      <c r="Q1006" s="152">
        <f>G1006</f>
        <v>2200</v>
      </c>
      <c r="R1006" s="148">
        <v>15209.2</v>
      </c>
      <c r="S1006" s="152">
        <f t="shared" si="263"/>
        <v>33460240</v>
      </c>
      <c r="T1006" s="149">
        <f t="shared" si="264"/>
        <v>2676819.2</v>
      </c>
      <c r="U1006" s="149">
        <f t="shared" si="230"/>
        <v>36137059.2</v>
      </c>
      <c r="V1006" s="153"/>
      <c r="W1006" s="153"/>
      <c r="X1006" s="153"/>
      <c r="Y1006" s="153"/>
      <c r="Z1006" s="153"/>
      <c r="AA1006" s="153"/>
      <c r="AB1006" s="153"/>
      <c r="AC1006" s="153"/>
      <c r="AD1006" s="153"/>
      <c r="AE1006" s="153"/>
      <c r="AF1006" s="153"/>
      <c r="AG1006" s="153"/>
      <c r="AH1006" s="153"/>
      <c r="AI1006" s="153"/>
      <c r="AJ1006" s="153"/>
      <c r="AK1006" s="153"/>
      <c r="AL1006" s="153"/>
      <c r="AM1006" s="153"/>
      <c r="AN1006" s="153"/>
      <c r="AO1006" s="153"/>
    </row>
    <row r="1007" ht="25.5" customHeight="1">
      <c r="A1007" s="145">
        <v>46216.0</v>
      </c>
      <c r="B1007" s="146" t="s">
        <v>1011</v>
      </c>
      <c r="C1007" s="146" t="s">
        <v>77</v>
      </c>
      <c r="D1007" s="146" t="s">
        <v>78</v>
      </c>
      <c r="E1007" s="159" t="s">
        <v>70</v>
      </c>
      <c r="F1007" s="146" t="s">
        <v>71</v>
      </c>
      <c r="G1007" s="147">
        <v>3000.0</v>
      </c>
      <c r="H1007" s="148">
        <v>22866.0</v>
      </c>
      <c r="I1007" s="149">
        <v>6.8598E7</v>
      </c>
      <c r="J1007" s="149">
        <v>5487840.0</v>
      </c>
      <c r="K1007" s="149">
        <v>7.408584E7</v>
      </c>
      <c r="L1007" s="150" t="s">
        <v>1533</v>
      </c>
      <c r="M1007" s="151" t="str">
        <f>VLOOKUP(L1007,'Đơn đặt'!$C$3:$E$6000,2,0)</f>
        <v>07-02/TS</v>
      </c>
      <c r="N1007" s="151" t="str">
        <f>VLOOKUP(L1007,'Đơn đặt'!$C$3:$E$6000,3,0)</f>
        <v>82-2026/TS-AVP/ĐĐH</v>
      </c>
      <c r="O1007" s="145">
        <v>46216.0</v>
      </c>
      <c r="P1007" s="146" t="s">
        <v>1536</v>
      </c>
      <c r="Q1007" s="148">
        <v>3000.0</v>
      </c>
      <c r="R1007" s="148">
        <v>20709.2</v>
      </c>
      <c r="S1007" s="149">
        <v>6.21276E7</v>
      </c>
      <c r="T1007" s="149">
        <v>4970208.0</v>
      </c>
      <c r="U1007" s="149">
        <f t="shared" si="230"/>
        <v>67097808</v>
      </c>
      <c r="V1007" s="153"/>
      <c r="W1007" s="153"/>
      <c r="X1007" s="153"/>
      <c r="Y1007" s="153"/>
      <c r="Z1007" s="153"/>
      <c r="AA1007" s="153"/>
      <c r="AB1007" s="153"/>
      <c r="AC1007" s="153"/>
      <c r="AD1007" s="153"/>
      <c r="AE1007" s="153"/>
      <c r="AF1007" s="153"/>
      <c r="AG1007" s="153"/>
      <c r="AH1007" s="153"/>
      <c r="AI1007" s="153"/>
      <c r="AJ1007" s="153"/>
      <c r="AK1007" s="153"/>
      <c r="AL1007" s="153"/>
      <c r="AM1007" s="153"/>
      <c r="AN1007" s="153"/>
      <c r="AO1007" s="153"/>
    </row>
    <row r="1008" ht="25.5" customHeight="1">
      <c r="A1008" s="145">
        <v>46216.0</v>
      </c>
      <c r="B1008" s="146" t="s">
        <v>1013</v>
      </c>
      <c r="C1008" s="146" t="s">
        <v>59</v>
      </c>
      <c r="D1008" s="146" t="s">
        <v>105</v>
      </c>
      <c r="E1008" s="159" t="s">
        <v>70</v>
      </c>
      <c r="F1008" s="146" t="s">
        <v>71</v>
      </c>
      <c r="G1008" s="147">
        <v>1600.0</v>
      </c>
      <c r="H1008" s="148">
        <v>19206.0</v>
      </c>
      <c r="I1008" s="149">
        <v>3.07296E7</v>
      </c>
      <c r="J1008" s="149">
        <v>2458368.0</v>
      </c>
      <c r="K1008" s="149">
        <v>3.3187968E7</v>
      </c>
      <c r="L1008" s="150" t="s">
        <v>1400</v>
      </c>
      <c r="M1008" s="151" t="str">
        <f>VLOOKUP(L1008,'Đơn đặt'!$C$3:$E$275,2,0)</f>
        <v>05-09-TS</v>
      </c>
      <c r="N1008" s="151" t="str">
        <f>VLOOKUP(L1008,'Đơn đặt'!$C$3:$E$275,3,0)</f>
        <v>68-2026/TS-AVP/ĐĐH</v>
      </c>
      <c r="O1008" s="145">
        <v>46216.0</v>
      </c>
      <c r="P1008" s="146" t="s">
        <v>1537</v>
      </c>
      <c r="Q1008" s="148">
        <v>1600.0</v>
      </c>
      <c r="R1008" s="148">
        <v>17073.2</v>
      </c>
      <c r="S1008" s="149">
        <v>2.731712E7</v>
      </c>
      <c r="T1008" s="149">
        <v>2185370.0</v>
      </c>
      <c r="U1008" s="149">
        <f t="shared" si="230"/>
        <v>29502490</v>
      </c>
      <c r="V1008" s="153"/>
      <c r="W1008" s="153"/>
      <c r="X1008" s="153"/>
      <c r="Y1008" s="153"/>
      <c r="Z1008" s="153"/>
      <c r="AA1008" s="153"/>
      <c r="AB1008" s="153"/>
      <c r="AC1008" s="153"/>
      <c r="AD1008" s="153"/>
      <c r="AE1008" s="153"/>
      <c r="AF1008" s="153"/>
      <c r="AG1008" s="153"/>
      <c r="AH1008" s="153"/>
      <c r="AI1008" s="153"/>
      <c r="AJ1008" s="153"/>
      <c r="AK1008" s="153"/>
      <c r="AL1008" s="153"/>
      <c r="AM1008" s="153"/>
      <c r="AN1008" s="153"/>
      <c r="AO1008" s="153"/>
    </row>
    <row r="1009" ht="25.5" customHeight="1">
      <c r="A1009" s="145">
        <v>46216.0</v>
      </c>
      <c r="B1009" s="146" t="s">
        <v>1013</v>
      </c>
      <c r="C1009" s="146" t="s">
        <v>14</v>
      </c>
      <c r="D1009" s="146" t="s">
        <v>13</v>
      </c>
      <c r="E1009" s="159" t="s">
        <v>70</v>
      </c>
      <c r="F1009" s="146" t="s">
        <v>71</v>
      </c>
      <c r="G1009" s="147">
        <v>1930.0</v>
      </c>
      <c r="H1009" s="148">
        <v>20374.0</v>
      </c>
      <c r="I1009" s="149">
        <v>3.932182E7</v>
      </c>
      <c r="J1009" s="149">
        <v>3145746.0</v>
      </c>
      <c r="K1009" s="149">
        <v>4.2467566E7</v>
      </c>
      <c r="L1009" s="150" t="s">
        <v>1400</v>
      </c>
      <c r="M1009" s="151" t="str">
        <f>VLOOKUP(L1009,'Đơn đặt'!$C$3:$E$275,2,0)</f>
        <v>05-09-TS</v>
      </c>
      <c r="N1009" s="151" t="str">
        <f>VLOOKUP(L1009,'Đơn đặt'!$C$3:$E$275,3,0)</f>
        <v>68-2026/TS-AVP/ĐĐH</v>
      </c>
      <c r="O1009" s="145">
        <v>46216.0</v>
      </c>
      <c r="P1009" s="146" t="s">
        <v>1537</v>
      </c>
      <c r="Q1009" s="148">
        <v>1930.0</v>
      </c>
      <c r="R1009" s="148">
        <v>18666.8</v>
      </c>
      <c r="S1009" s="149">
        <v>3.6026924E7</v>
      </c>
      <c r="T1009" s="149">
        <v>2882154.0</v>
      </c>
      <c r="U1009" s="149">
        <f t="shared" si="230"/>
        <v>38909078</v>
      </c>
      <c r="V1009" s="153"/>
      <c r="W1009" s="153"/>
      <c r="X1009" s="153"/>
      <c r="Y1009" s="153"/>
      <c r="Z1009" s="153"/>
      <c r="AA1009" s="153"/>
      <c r="AB1009" s="153"/>
      <c r="AC1009" s="153"/>
      <c r="AD1009" s="153"/>
      <c r="AE1009" s="153"/>
      <c r="AF1009" s="153"/>
      <c r="AG1009" s="153"/>
      <c r="AH1009" s="153"/>
      <c r="AI1009" s="153"/>
      <c r="AJ1009" s="153"/>
      <c r="AK1009" s="153"/>
      <c r="AL1009" s="153"/>
      <c r="AM1009" s="153"/>
      <c r="AN1009" s="153"/>
      <c r="AO1009" s="153"/>
    </row>
    <row r="1010" ht="25.5" customHeight="1">
      <c r="A1010" s="145">
        <v>46216.0</v>
      </c>
      <c r="B1010" s="146" t="s">
        <v>1538</v>
      </c>
      <c r="C1010" s="146" t="s">
        <v>48</v>
      </c>
      <c r="D1010" s="146" t="s">
        <v>47</v>
      </c>
      <c r="E1010" s="159" t="s">
        <v>70</v>
      </c>
      <c r="F1010" s="146" t="s">
        <v>71</v>
      </c>
      <c r="G1010" s="147">
        <v>3800.0</v>
      </c>
      <c r="H1010" s="148">
        <v>19206.0</v>
      </c>
      <c r="I1010" s="149">
        <v>7.29828E7</v>
      </c>
      <c r="J1010" s="149">
        <v>5838624.0</v>
      </c>
      <c r="K1010" s="149">
        <v>7.8821424E7</v>
      </c>
      <c r="L1010" s="150" t="s">
        <v>1400</v>
      </c>
      <c r="M1010" s="151" t="str">
        <f>VLOOKUP(L1010,'Đơn đặt'!$C$3:$E$275,2,0)</f>
        <v>05-09-TS</v>
      </c>
      <c r="N1010" s="151" t="str">
        <f>VLOOKUP(L1010,'Đơn đặt'!$C$3:$E$275,3,0)</f>
        <v>68-2026/TS-AVP/ĐĐH</v>
      </c>
      <c r="O1010" s="145">
        <v>46216.0</v>
      </c>
      <c r="P1010" s="146" t="s">
        <v>1539</v>
      </c>
      <c r="Q1010" s="152">
        <f>G1010</f>
        <v>3800</v>
      </c>
      <c r="R1010" s="148">
        <v>15209.2</v>
      </c>
      <c r="S1010" s="152">
        <f>Q1010*R1010</f>
        <v>57794960</v>
      </c>
      <c r="T1010" s="149">
        <f>S1010*8%</f>
        <v>4623596.8</v>
      </c>
      <c r="U1010" s="149">
        <f t="shared" si="230"/>
        <v>62418556.8</v>
      </c>
      <c r="V1010" s="153"/>
      <c r="W1010" s="153"/>
      <c r="X1010" s="153"/>
      <c r="Y1010" s="153"/>
      <c r="Z1010" s="153"/>
      <c r="AA1010" s="153"/>
      <c r="AB1010" s="153"/>
      <c r="AC1010" s="153"/>
      <c r="AD1010" s="153"/>
      <c r="AE1010" s="153"/>
      <c r="AF1010" s="153"/>
      <c r="AG1010" s="153"/>
      <c r="AH1010" s="153"/>
      <c r="AI1010" s="153"/>
      <c r="AJ1010" s="153"/>
      <c r="AK1010" s="153"/>
      <c r="AL1010" s="153"/>
      <c r="AM1010" s="153"/>
      <c r="AN1010" s="153"/>
      <c r="AO1010" s="153"/>
    </row>
    <row r="1011" ht="25.5" customHeight="1">
      <c r="A1011" s="145">
        <v>46217.0</v>
      </c>
      <c r="B1011" s="146" t="s">
        <v>1540</v>
      </c>
      <c r="C1011" s="146" t="s">
        <v>119</v>
      </c>
      <c r="D1011" s="146" t="s">
        <v>120</v>
      </c>
      <c r="E1011" s="159" t="s">
        <v>70</v>
      </c>
      <c r="F1011" s="146" t="s">
        <v>71</v>
      </c>
      <c r="G1011" s="147">
        <v>1900.0</v>
      </c>
      <c r="H1011" s="148">
        <v>20276.0</v>
      </c>
      <c r="I1011" s="149">
        <v>3.85244E7</v>
      </c>
      <c r="J1011" s="149">
        <v>3081952.0</v>
      </c>
      <c r="K1011" s="149">
        <v>4.1606352E7</v>
      </c>
      <c r="L1011" s="150" t="s">
        <v>1417</v>
      </c>
      <c r="M1011" s="151" t="str">
        <f>VLOOKUP(L1011,'Đơn đặt'!$C$3:$E$275,2,0)</f>
        <v>03-18-TS</v>
      </c>
      <c r="N1011" s="151" t="str">
        <f>VLOOKUP(L1011,'Đơn đặt'!$C$3:$E$275,3,0)</f>
        <v>55-2026/TS-AVP/ĐĐH</v>
      </c>
      <c r="O1011" s="145">
        <v>46217.0</v>
      </c>
      <c r="P1011" s="146" t="s">
        <v>1541</v>
      </c>
      <c r="Q1011" s="148">
        <v>1900.0</v>
      </c>
      <c r="R1011" s="148">
        <v>18311.2</v>
      </c>
      <c r="S1011" s="149">
        <v>3.479128E7</v>
      </c>
      <c r="T1011" s="149">
        <v>2783302.0</v>
      </c>
      <c r="U1011" s="149">
        <f t="shared" si="230"/>
        <v>37574582</v>
      </c>
      <c r="V1011" s="153"/>
      <c r="W1011" s="153"/>
      <c r="X1011" s="153"/>
      <c r="Y1011" s="153"/>
      <c r="Z1011" s="153"/>
      <c r="AA1011" s="153"/>
      <c r="AB1011" s="153"/>
      <c r="AC1011" s="153"/>
      <c r="AD1011" s="153"/>
      <c r="AE1011" s="153"/>
      <c r="AF1011" s="153"/>
      <c r="AG1011" s="153"/>
      <c r="AH1011" s="153"/>
      <c r="AI1011" s="153"/>
      <c r="AJ1011" s="153"/>
      <c r="AK1011" s="153"/>
      <c r="AL1011" s="153"/>
      <c r="AM1011" s="153"/>
      <c r="AN1011" s="153"/>
      <c r="AO1011" s="153"/>
    </row>
    <row r="1012" ht="25.5" customHeight="1">
      <c r="A1012" s="145">
        <v>46217.0</v>
      </c>
      <c r="B1012" s="146" t="s">
        <v>1540</v>
      </c>
      <c r="C1012" s="146" t="s">
        <v>41</v>
      </c>
      <c r="D1012" s="146" t="s">
        <v>40</v>
      </c>
      <c r="E1012" s="159" t="s">
        <v>70</v>
      </c>
      <c r="F1012" s="146" t="s">
        <v>71</v>
      </c>
      <c r="G1012" s="147">
        <v>610.0</v>
      </c>
      <c r="H1012" s="148">
        <v>21025.0</v>
      </c>
      <c r="I1012" s="149">
        <v>1.282525E7</v>
      </c>
      <c r="J1012" s="149">
        <v>1026020.0</v>
      </c>
      <c r="K1012" s="149">
        <v>1.385127E7</v>
      </c>
      <c r="L1012" s="150" t="s">
        <v>1400</v>
      </c>
      <c r="M1012" s="151" t="str">
        <f>VLOOKUP(L1012,'Đơn đặt'!$C$3:$E$275,2,0)</f>
        <v>05-09-TS</v>
      </c>
      <c r="N1012" s="151" t="str">
        <f>VLOOKUP(L1012,'Đơn đặt'!$C$3:$E$275,3,0)</f>
        <v>68-2026/TS-AVP/ĐĐH</v>
      </c>
      <c r="O1012" s="145">
        <v>46217.0</v>
      </c>
      <c r="P1012" s="146" t="s">
        <v>1541</v>
      </c>
      <c r="Q1012" s="148">
        <v>610.0</v>
      </c>
      <c r="R1012" s="148">
        <v>18797.0</v>
      </c>
      <c r="S1012" s="149">
        <v>1.146617E7</v>
      </c>
      <c r="T1012" s="149">
        <v>917294.0</v>
      </c>
      <c r="U1012" s="149">
        <f t="shared" si="230"/>
        <v>12383464</v>
      </c>
      <c r="V1012" s="153"/>
      <c r="W1012" s="153"/>
      <c r="X1012" s="153"/>
      <c r="Y1012" s="153"/>
      <c r="Z1012" s="153"/>
      <c r="AA1012" s="153"/>
      <c r="AB1012" s="153"/>
      <c r="AC1012" s="153"/>
      <c r="AD1012" s="153"/>
      <c r="AE1012" s="153"/>
      <c r="AF1012" s="153"/>
      <c r="AG1012" s="153"/>
      <c r="AH1012" s="153"/>
      <c r="AI1012" s="153"/>
      <c r="AJ1012" s="153"/>
      <c r="AK1012" s="153"/>
      <c r="AL1012" s="153"/>
      <c r="AM1012" s="153"/>
      <c r="AN1012" s="153"/>
      <c r="AO1012" s="153"/>
    </row>
    <row r="1013" ht="25.5" customHeight="1">
      <c r="A1013" s="145">
        <v>46218.0</v>
      </c>
      <c r="B1013" s="146" t="s">
        <v>1017</v>
      </c>
      <c r="C1013" s="146" t="s">
        <v>59</v>
      </c>
      <c r="D1013" s="146" t="s">
        <v>105</v>
      </c>
      <c r="E1013" s="159" t="s">
        <v>70</v>
      </c>
      <c r="F1013" s="146" t="s">
        <v>71</v>
      </c>
      <c r="G1013" s="147">
        <v>2000.0</v>
      </c>
      <c r="H1013" s="148">
        <v>19206.0</v>
      </c>
      <c r="I1013" s="149">
        <v>3.8412E7</v>
      </c>
      <c r="J1013" s="149">
        <v>3072960.0</v>
      </c>
      <c r="K1013" s="149">
        <v>4.148496E7</v>
      </c>
      <c r="L1013" s="150" t="s">
        <v>1400</v>
      </c>
      <c r="M1013" s="151" t="str">
        <f>VLOOKUP(L1013,'Đơn đặt'!$C$3:$E$275,2,0)</f>
        <v>05-09-TS</v>
      </c>
      <c r="N1013" s="151" t="str">
        <f>VLOOKUP(L1013,'Đơn đặt'!$C$3:$E$275,3,0)</f>
        <v>68-2026/TS-AVP/ĐĐH</v>
      </c>
      <c r="O1013" s="145">
        <v>46218.0</v>
      </c>
      <c r="P1013" s="146" t="s">
        <v>1542</v>
      </c>
      <c r="Q1013" s="148">
        <v>2000.0</v>
      </c>
      <c r="R1013" s="148">
        <v>17073.2</v>
      </c>
      <c r="S1013" s="149">
        <v>3.41464E7</v>
      </c>
      <c r="T1013" s="149">
        <v>2731712.0</v>
      </c>
      <c r="U1013" s="149">
        <f t="shared" si="230"/>
        <v>36878112</v>
      </c>
      <c r="V1013" s="153"/>
      <c r="W1013" s="153"/>
      <c r="X1013" s="153"/>
      <c r="Y1013" s="153"/>
      <c r="Z1013" s="153"/>
      <c r="AA1013" s="153"/>
      <c r="AB1013" s="153"/>
      <c r="AC1013" s="153"/>
      <c r="AD1013" s="153"/>
      <c r="AE1013" s="153"/>
      <c r="AF1013" s="153"/>
      <c r="AG1013" s="153"/>
      <c r="AH1013" s="153"/>
      <c r="AI1013" s="153"/>
      <c r="AJ1013" s="153"/>
      <c r="AK1013" s="153"/>
      <c r="AL1013" s="153"/>
      <c r="AM1013" s="153"/>
      <c r="AN1013" s="153"/>
      <c r="AO1013" s="153"/>
    </row>
    <row r="1014" ht="25.5" customHeight="1">
      <c r="A1014" s="145">
        <v>46218.0</v>
      </c>
      <c r="B1014" s="146" t="s">
        <v>1017</v>
      </c>
      <c r="C1014" s="146" t="s">
        <v>14</v>
      </c>
      <c r="D1014" s="146" t="s">
        <v>13</v>
      </c>
      <c r="E1014" s="159" t="s">
        <v>70</v>
      </c>
      <c r="F1014" s="146" t="s">
        <v>71</v>
      </c>
      <c r="G1014" s="147">
        <v>1070.0</v>
      </c>
      <c r="H1014" s="148">
        <v>20374.0</v>
      </c>
      <c r="I1014" s="149">
        <v>2.180018E7</v>
      </c>
      <c r="J1014" s="149">
        <v>1744014.0</v>
      </c>
      <c r="K1014" s="149">
        <v>2.3544194E7</v>
      </c>
      <c r="L1014" s="150" t="s">
        <v>1400</v>
      </c>
      <c r="M1014" s="151" t="str">
        <f>VLOOKUP(L1014,'Đơn đặt'!$C$3:$E$275,2,0)</f>
        <v>05-09-TS</v>
      </c>
      <c r="N1014" s="151" t="str">
        <f>VLOOKUP(L1014,'Đơn đặt'!$C$3:$E$275,3,0)</f>
        <v>68-2026/TS-AVP/ĐĐH</v>
      </c>
      <c r="O1014" s="145">
        <v>46218.0</v>
      </c>
      <c r="P1014" s="146" t="s">
        <v>1542</v>
      </c>
      <c r="Q1014" s="148">
        <v>1070.0</v>
      </c>
      <c r="R1014" s="148">
        <v>18666.8</v>
      </c>
      <c r="S1014" s="149">
        <v>1.9973476E7</v>
      </c>
      <c r="T1014" s="149">
        <v>1597878.0</v>
      </c>
      <c r="U1014" s="149">
        <f t="shared" si="230"/>
        <v>21571354</v>
      </c>
      <c r="V1014" s="153"/>
      <c r="W1014" s="153"/>
      <c r="X1014" s="153"/>
      <c r="Y1014" s="153"/>
      <c r="Z1014" s="153"/>
      <c r="AA1014" s="153"/>
      <c r="AB1014" s="153"/>
      <c r="AC1014" s="153"/>
      <c r="AD1014" s="153"/>
      <c r="AE1014" s="153"/>
      <c r="AF1014" s="153"/>
      <c r="AG1014" s="153"/>
      <c r="AH1014" s="153"/>
      <c r="AI1014" s="153"/>
      <c r="AJ1014" s="153"/>
      <c r="AK1014" s="153"/>
      <c r="AL1014" s="153"/>
      <c r="AM1014" s="153"/>
      <c r="AN1014" s="153"/>
      <c r="AO1014" s="153"/>
    </row>
    <row r="1015" ht="25.5" customHeight="1">
      <c r="A1015" s="145">
        <v>46218.0</v>
      </c>
      <c r="B1015" s="146" t="s">
        <v>1017</v>
      </c>
      <c r="C1015" s="146" t="s">
        <v>119</v>
      </c>
      <c r="D1015" s="146" t="s">
        <v>120</v>
      </c>
      <c r="E1015" s="159" t="s">
        <v>70</v>
      </c>
      <c r="F1015" s="146" t="s">
        <v>71</v>
      </c>
      <c r="G1015" s="147">
        <v>600.0</v>
      </c>
      <c r="H1015" s="148">
        <v>20276.0</v>
      </c>
      <c r="I1015" s="149">
        <v>1.21656E7</v>
      </c>
      <c r="J1015" s="149">
        <v>973248.0</v>
      </c>
      <c r="K1015" s="149">
        <v>1.3138848E7</v>
      </c>
      <c r="L1015" s="150" t="s">
        <v>1417</v>
      </c>
      <c r="M1015" s="151" t="str">
        <f>VLOOKUP(L1015,'Đơn đặt'!$C$3:$E$275,2,0)</f>
        <v>03-18-TS</v>
      </c>
      <c r="N1015" s="151" t="str">
        <f>VLOOKUP(L1015,'Đơn đặt'!$C$3:$E$275,3,0)</f>
        <v>55-2026/TS-AVP/ĐĐH</v>
      </c>
      <c r="O1015" s="145">
        <v>46218.0</v>
      </c>
      <c r="P1015" s="146" t="s">
        <v>1542</v>
      </c>
      <c r="Q1015" s="148">
        <v>600.0</v>
      </c>
      <c r="R1015" s="148">
        <v>18311.2</v>
      </c>
      <c r="S1015" s="149">
        <v>1.098672E7</v>
      </c>
      <c r="T1015" s="149">
        <v>878938.0</v>
      </c>
      <c r="U1015" s="149">
        <f t="shared" si="230"/>
        <v>11865658</v>
      </c>
      <c r="V1015" s="153"/>
      <c r="W1015" s="153"/>
      <c r="X1015" s="153"/>
      <c r="Y1015" s="153"/>
      <c r="Z1015" s="153"/>
      <c r="AA1015" s="153"/>
      <c r="AB1015" s="153"/>
      <c r="AC1015" s="153"/>
      <c r="AD1015" s="153"/>
      <c r="AE1015" s="153"/>
      <c r="AF1015" s="153"/>
      <c r="AG1015" s="153"/>
      <c r="AH1015" s="153"/>
      <c r="AI1015" s="153"/>
      <c r="AJ1015" s="153"/>
      <c r="AK1015" s="153"/>
      <c r="AL1015" s="153"/>
      <c r="AM1015" s="153"/>
      <c r="AN1015" s="153"/>
      <c r="AO1015" s="153"/>
    </row>
    <row r="1016" ht="25.5" customHeight="1">
      <c r="A1016" s="145">
        <v>46218.0</v>
      </c>
      <c r="B1016" s="146" t="s">
        <v>1543</v>
      </c>
      <c r="C1016" s="146" t="s">
        <v>48</v>
      </c>
      <c r="D1016" s="146" t="s">
        <v>47</v>
      </c>
      <c r="E1016" s="159" t="s">
        <v>70</v>
      </c>
      <c r="F1016" s="146" t="s">
        <v>71</v>
      </c>
      <c r="G1016" s="147">
        <v>3100.0</v>
      </c>
      <c r="H1016" s="148">
        <v>19206.0</v>
      </c>
      <c r="I1016" s="149">
        <v>5.95386E7</v>
      </c>
      <c r="J1016" s="149">
        <v>4763088.0</v>
      </c>
      <c r="K1016" s="149">
        <v>6.4301688E7</v>
      </c>
      <c r="L1016" s="150" t="s">
        <v>1400</v>
      </c>
      <c r="M1016" s="151" t="str">
        <f>VLOOKUP(L1016,'Đơn đặt'!$C$3:$E$275,2,0)</f>
        <v>05-09-TS</v>
      </c>
      <c r="N1016" s="151" t="str">
        <f>VLOOKUP(L1016,'Đơn đặt'!$C$3:$E$275,3,0)</f>
        <v>68-2026/TS-AVP/ĐĐH</v>
      </c>
      <c r="O1016" s="145">
        <v>46218.0</v>
      </c>
      <c r="P1016" s="146" t="s">
        <v>1544</v>
      </c>
      <c r="Q1016" s="148">
        <v>3100.0</v>
      </c>
      <c r="R1016" s="148">
        <v>15209.2</v>
      </c>
      <c r="S1016" s="149">
        <v>4.714852E7</v>
      </c>
      <c r="T1016" s="149">
        <v>3771882.0</v>
      </c>
      <c r="U1016" s="149">
        <f t="shared" si="230"/>
        <v>50920402</v>
      </c>
      <c r="V1016" s="153"/>
      <c r="W1016" s="153"/>
      <c r="X1016" s="153"/>
      <c r="Y1016" s="153"/>
      <c r="Z1016" s="153"/>
      <c r="AA1016" s="153"/>
      <c r="AB1016" s="153"/>
      <c r="AC1016" s="153"/>
      <c r="AD1016" s="153"/>
      <c r="AE1016" s="153"/>
      <c r="AF1016" s="153"/>
      <c r="AG1016" s="153"/>
      <c r="AH1016" s="153"/>
      <c r="AI1016" s="153"/>
      <c r="AJ1016" s="153"/>
      <c r="AK1016" s="153"/>
      <c r="AL1016" s="153"/>
      <c r="AM1016" s="153"/>
      <c r="AN1016" s="153"/>
      <c r="AO1016" s="153"/>
    </row>
    <row r="1017" ht="25.5" customHeight="1">
      <c r="A1017" s="145">
        <v>46218.0</v>
      </c>
      <c r="B1017" s="146" t="s">
        <v>1543</v>
      </c>
      <c r="C1017" s="146" t="s">
        <v>50</v>
      </c>
      <c r="D1017" s="146" t="s">
        <v>49</v>
      </c>
      <c r="E1017" s="159" t="s">
        <v>70</v>
      </c>
      <c r="F1017" s="146" t="s">
        <v>71</v>
      </c>
      <c r="G1017" s="147">
        <v>1500.0</v>
      </c>
      <c r="H1017" s="148">
        <v>19206.0</v>
      </c>
      <c r="I1017" s="149">
        <v>2.8809E7</v>
      </c>
      <c r="J1017" s="149">
        <v>2304720.0</v>
      </c>
      <c r="K1017" s="149">
        <v>3.111372E7</v>
      </c>
      <c r="L1017" s="150" t="s">
        <v>1400</v>
      </c>
      <c r="M1017" s="151" t="str">
        <f>VLOOKUP(L1017,'Đơn đặt'!$C$3:$E$275,2,0)</f>
        <v>05-09-TS</v>
      </c>
      <c r="N1017" s="151" t="str">
        <f>VLOOKUP(L1017,'Đơn đặt'!$C$3:$E$275,3,0)</f>
        <v>68-2026/TS-AVP/ĐĐH</v>
      </c>
      <c r="O1017" s="145">
        <v>46218.0</v>
      </c>
      <c r="P1017" s="146" t="s">
        <v>1544</v>
      </c>
      <c r="Q1017" s="148">
        <v>1500.0</v>
      </c>
      <c r="R1017" s="148">
        <v>15209.2</v>
      </c>
      <c r="S1017" s="149">
        <v>2.28138E7</v>
      </c>
      <c r="T1017" s="149">
        <v>1825104.0</v>
      </c>
      <c r="U1017" s="149">
        <f t="shared" si="230"/>
        <v>24638904</v>
      </c>
      <c r="V1017" s="153"/>
      <c r="W1017" s="153"/>
      <c r="X1017" s="153"/>
      <c r="Y1017" s="153"/>
      <c r="Z1017" s="153"/>
      <c r="AA1017" s="153"/>
      <c r="AB1017" s="153"/>
      <c r="AC1017" s="153"/>
      <c r="AD1017" s="153"/>
      <c r="AE1017" s="153"/>
      <c r="AF1017" s="153"/>
      <c r="AG1017" s="153"/>
      <c r="AH1017" s="153"/>
      <c r="AI1017" s="153"/>
      <c r="AJ1017" s="153"/>
      <c r="AK1017" s="153"/>
      <c r="AL1017" s="153"/>
      <c r="AM1017" s="153"/>
      <c r="AN1017" s="153"/>
      <c r="AO1017" s="153"/>
    </row>
    <row r="1018" ht="25.5" customHeight="1">
      <c r="A1018" s="145">
        <v>46218.0</v>
      </c>
      <c r="B1018" s="146" t="s">
        <v>1545</v>
      </c>
      <c r="C1018" s="146" t="s">
        <v>48</v>
      </c>
      <c r="D1018" s="146" t="s">
        <v>47</v>
      </c>
      <c r="E1018" s="159" t="s">
        <v>70</v>
      </c>
      <c r="F1018" s="146" t="s">
        <v>71</v>
      </c>
      <c r="G1018" s="147">
        <v>5400.0</v>
      </c>
      <c r="H1018" s="148">
        <v>19206.0</v>
      </c>
      <c r="I1018" s="149">
        <v>1.037124E8</v>
      </c>
      <c r="J1018" s="149">
        <v>8296992.0</v>
      </c>
      <c r="K1018" s="149">
        <v>1.12009392E8</v>
      </c>
      <c r="L1018" s="150" t="s">
        <v>1400</v>
      </c>
      <c r="M1018" s="151" t="str">
        <f>VLOOKUP(L1018,'Đơn đặt'!$C$3:$E$275,2,0)</f>
        <v>05-09-TS</v>
      </c>
      <c r="N1018" s="151" t="str">
        <f>VLOOKUP(L1018,'Đơn đặt'!$C$3:$E$275,3,0)</f>
        <v>68-2026/TS-AVP/ĐĐH</v>
      </c>
      <c r="O1018" s="145">
        <v>46218.0</v>
      </c>
      <c r="P1018" s="146" t="s">
        <v>1546</v>
      </c>
      <c r="Q1018" s="148">
        <v>5400.0</v>
      </c>
      <c r="R1018" s="148">
        <v>15209.2</v>
      </c>
      <c r="S1018" s="149">
        <v>8.212968E7</v>
      </c>
      <c r="T1018" s="149">
        <v>6570374.0</v>
      </c>
      <c r="U1018" s="149">
        <f t="shared" si="230"/>
        <v>88700054</v>
      </c>
      <c r="V1018" s="153"/>
      <c r="W1018" s="153"/>
      <c r="X1018" s="153"/>
      <c r="Y1018" s="153"/>
      <c r="Z1018" s="153"/>
      <c r="AA1018" s="153"/>
      <c r="AB1018" s="153"/>
      <c r="AC1018" s="153"/>
      <c r="AD1018" s="153"/>
      <c r="AE1018" s="153"/>
      <c r="AF1018" s="153"/>
      <c r="AG1018" s="153"/>
      <c r="AH1018" s="153"/>
      <c r="AI1018" s="153"/>
      <c r="AJ1018" s="153"/>
      <c r="AK1018" s="153"/>
      <c r="AL1018" s="153"/>
      <c r="AM1018" s="153"/>
      <c r="AN1018" s="153"/>
      <c r="AO1018" s="153"/>
    </row>
    <row r="1019" ht="25.5" customHeight="1">
      <c r="A1019" s="145">
        <v>46218.0</v>
      </c>
      <c r="B1019" s="146" t="s">
        <v>1547</v>
      </c>
      <c r="C1019" s="146" t="s">
        <v>9</v>
      </c>
      <c r="D1019" s="146" t="s">
        <v>361</v>
      </c>
      <c r="E1019" s="159" t="s">
        <v>70</v>
      </c>
      <c r="F1019" s="146" t="s">
        <v>500</v>
      </c>
      <c r="G1019" s="147">
        <v>1700000.0</v>
      </c>
      <c r="H1019" s="148">
        <v>85.0</v>
      </c>
      <c r="I1019" s="149">
        <v>1.445E8</v>
      </c>
      <c r="J1019" s="149">
        <v>1.156E7</v>
      </c>
      <c r="K1019" s="149">
        <v>1.5606E8</v>
      </c>
      <c r="L1019" s="150" t="s">
        <v>1526</v>
      </c>
      <c r="M1019" s="151" t="str">
        <f>VLOOKUP(L1019,'Đơn đặt'!$C$3:$E$6000,2,0)</f>
        <v>07-07/TS</v>
      </c>
      <c r="N1019" s="151" t="str">
        <f>VLOOKUP(L1019,'Đơn đặt'!$C$3:$E$6000,3,0)</f>
        <v> 86-2026/TS-AVP/ĐĐH</v>
      </c>
      <c r="O1019" s="145">
        <v>46218.0</v>
      </c>
      <c r="P1019" s="146" t="s">
        <v>1548</v>
      </c>
      <c r="Q1019" s="148">
        <v>1700000.0</v>
      </c>
      <c r="R1019" s="148">
        <v>78.6</v>
      </c>
      <c r="S1019" s="149">
        <v>1.3362E8</v>
      </c>
      <c r="T1019" s="149">
        <v>1.06896E7</v>
      </c>
      <c r="U1019" s="149">
        <f t="shared" si="230"/>
        <v>144309600</v>
      </c>
      <c r="V1019" s="153"/>
      <c r="W1019" s="153"/>
      <c r="X1019" s="153"/>
      <c r="Y1019" s="153"/>
      <c r="Z1019" s="153"/>
      <c r="AA1019" s="153"/>
      <c r="AB1019" s="153"/>
      <c r="AC1019" s="153"/>
      <c r="AD1019" s="153"/>
      <c r="AE1019" s="153"/>
      <c r="AF1019" s="153"/>
      <c r="AG1019" s="153"/>
      <c r="AH1019" s="153"/>
      <c r="AI1019" s="153"/>
      <c r="AJ1019" s="153"/>
      <c r="AK1019" s="153"/>
      <c r="AL1019" s="153"/>
      <c r="AM1019" s="153"/>
      <c r="AN1019" s="153"/>
      <c r="AO1019" s="153"/>
    </row>
    <row r="1020" ht="25.5" customHeight="1">
      <c r="A1020" s="145">
        <v>46220.0</v>
      </c>
      <c r="B1020" s="146" t="s">
        <v>1549</v>
      </c>
      <c r="C1020" s="146" t="s">
        <v>77</v>
      </c>
      <c r="D1020" s="146" t="s">
        <v>78</v>
      </c>
      <c r="E1020" s="159" t="s">
        <v>70</v>
      </c>
      <c r="F1020" s="146" t="s">
        <v>71</v>
      </c>
      <c r="G1020" s="147">
        <v>3000.0</v>
      </c>
      <c r="H1020" s="148">
        <v>22866.0</v>
      </c>
      <c r="I1020" s="149">
        <v>6.8598E7</v>
      </c>
      <c r="J1020" s="149">
        <v>5487840.0</v>
      </c>
      <c r="K1020" s="149">
        <v>7.408584E7</v>
      </c>
      <c r="L1020" s="150" t="s">
        <v>1533</v>
      </c>
      <c r="M1020" s="151" t="str">
        <f>VLOOKUP(L1020,'Đơn đặt'!$C$3:$E$6000,2,0)</f>
        <v>07-02/TS</v>
      </c>
      <c r="N1020" s="151" t="str">
        <f>VLOOKUP(L1020,'Đơn đặt'!$C$3:$E$6000,3,0)</f>
        <v>82-2026/TS-AVP/ĐĐH</v>
      </c>
      <c r="O1020" s="145">
        <v>46219.0</v>
      </c>
      <c r="P1020" s="146" t="s">
        <v>1550</v>
      </c>
      <c r="Q1020" s="148">
        <v>3000.0</v>
      </c>
      <c r="R1020" s="148">
        <v>20709.2</v>
      </c>
      <c r="S1020" s="149">
        <v>6.21276E7</v>
      </c>
      <c r="T1020" s="149">
        <v>4970208.0</v>
      </c>
      <c r="U1020" s="149">
        <f t="shared" si="230"/>
        <v>67097808</v>
      </c>
      <c r="V1020" s="153"/>
      <c r="W1020" s="153"/>
      <c r="X1020" s="153"/>
      <c r="Y1020" s="153"/>
      <c r="Z1020" s="153"/>
      <c r="AA1020" s="153"/>
      <c r="AB1020" s="153"/>
      <c r="AC1020" s="153"/>
      <c r="AD1020" s="153"/>
      <c r="AE1020" s="153"/>
      <c r="AF1020" s="153"/>
      <c r="AG1020" s="153"/>
      <c r="AH1020" s="153"/>
      <c r="AI1020" s="153"/>
      <c r="AJ1020" s="153"/>
      <c r="AK1020" s="153"/>
      <c r="AL1020" s="153"/>
      <c r="AM1020" s="153"/>
      <c r="AN1020" s="153"/>
      <c r="AO1020" s="153"/>
    </row>
    <row r="1021" ht="25.5" customHeight="1">
      <c r="A1021" s="145">
        <v>46220.0</v>
      </c>
      <c r="B1021" s="146" t="s">
        <v>1551</v>
      </c>
      <c r="C1021" s="146" t="s">
        <v>272</v>
      </c>
      <c r="D1021" s="146" t="s">
        <v>273</v>
      </c>
      <c r="E1021" s="159" t="s">
        <v>70</v>
      </c>
      <c r="F1021" s="146" t="s">
        <v>71</v>
      </c>
      <c r="G1021" s="147">
        <v>3000.0</v>
      </c>
      <c r="H1021" s="148">
        <v>18191.0</v>
      </c>
      <c r="I1021" s="149">
        <v>5.4573E7</v>
      </c>
      <c r="J1021" s="149">
        <v>4365840.0</v>
      </c>
      <c r="K1021" s="149">
        <v>5.893884E7</v>
      </c>
      <c r="L1021" s="150" t="s">
        <v>1552</v>
      </c>
      <c r="M1021" s="151" t="str">
        <f>VLOOKUP(L1021,'Đơn đặt'!$C$3:$E$275,2,0)</f>
        <v>05-07-TS</v>
      </c>
      <c r="N1021" s="151" t="str">
        <f>VLOOKUP(L1021,'Đơn đặt'!$C$3:$E$275,3,0)</f>
        <v>65-2026/TS-AVP/ĐĐH</v>
      </c>
      <c r="O1021" s="145">
        <v>46219.0</v>
      </c>
      <c r="P1021" s="146" t="s">
        <v>1553</v>
      </c>
      <c r="Q1021" s="148">
        <v>3000.0</v>
      </c>
      <c r="R1021" s="148">
        <v>17334.2</v>
      </c>
      <c r="S1021" s="149">
        <v>5.20026E7</v>
      </c>
      <c r="T1021" s="149">
        <v>4160208.0</v>
      </c>
      <c r="U1021" s="149">
        <f t="shared" si="230"/>
        <v>56162808</v>
      </c>
      <c r="V1021" s="153"/>
      <c r="W1021" s="153"/>
      <c r="X1021" s="153"/>
      <c r="Y1021" s="153"/>
      <c r="Z1021" s="153"/>
      <c r="AA1021" s="153"/>
      <c r="AB1021" s="153"/>
      <c r="AC1021" s="153"/>
      <c r="AD1021" s="153"/>
      <c r="AE1021" s="153"/>
      <c r="AF1021" s="153"/>
      <c r="AG1021" s="153"/>
      <c r="AH1021" s="153"/>
      <c r="AI1021" s="153"/>
      <c r="AJ1021" s="153"/>
      <c r="AK1021" s="153"/>
      <c r="AL1021" s="153"/>
      <c r="AM1021" s="153"/>
      <c r="AN1021" s="153"/>
      <c r="AO1021" s="153"/>
    </row>
    <row r="1022" ht="25.5" customHeight="1">
      <c r="A1022" s="145">
        <v>46220.0</v>
      </c>
      <c r="B1022" s="146" t="s">
        <v>1551</v>
      </c>
      <c r="C1022" s="146" t="s">
        <v>119</v>
      </c>
      <c r="D1022" s="146" t="s">
        <v>120</v>
      </c>
      <c r="E1022" s="159" t="s">
        <v>70</v>
      </c>
      <c r="F1022" s="146" t="s">
        <v>71</v>
      </c>
      <c r="G1022" s="147">
        <v>1810.0</v>
      </c>
      <c r="H1022" s="148">
        <v>20276.0</v>
      </c>
      <c r="I1022" s="149">
        <f t="shared" ref="I1022:I1023" si="265">G1022*H1022</f>
        <v>36699560</v>
      </c>
      <c r="J1022" s="149">
        <f t="shared" ref="J1022:J1023" si="266">I1022*8%</f>
        <v>2935964.8</v>
      </c>
      <c r="K1022" s="149">
        <f t="shared" ref="K1022:K1023" si="267">I1022+J1022</f>
        <v>39635524.8</v>
      </c>
      <c r="L1022" s="150" t="s">
        <v>1417</v>
      </c>
      <c r="M1022" s="151" t="str">
        <f>VLOOKUP(L1022,'Đơn đặt'!$C$3:$E$275,2,0)</f>
        <v>03-18-TS</v>
      </c>
      <c r="N1022" s="151" t="str">
        <f>VLOOKUP(L1022,'Đơn đặt'!$C$3:$E$275,3,0)</f>
        <v>55-2026/TS-AVP/ĐĐH</v>
      </c>
      <c r="O1022" s="145">
        <v>46219.0</v>
      </c>
      <c r="P1022" s="146" t="s">
        <v>1553</v>
      </c>
      <c r="Q1022" s="147">
        <v>1810.0</v>
      </c>
      <c r="R1022" s="148">
        <v>18311.2</v>
      </c>
      <c r="S1022" s="149">
        <f t="shared" ref="S1022:S1024" si="268">Q1022*R1022</f>
        <v>33143272</v>
      </c>
      <c r="T1022" s="149">
        <f t="shared" ref="T1022:T1024" si="269">S1022*8%</f>
        <v>2651461.76</v>
      </c>
      <c r="U1022" s="149">
        <f t="shared" si="230"/>
        <v>35794733.76</v>
      </c>
      <c r="V1022" s="153"/>
      <c r="W1022" s="153"/>
      <c r="X1022" s="153"/>
      <c r="Y1022" s="153"/>
      <c r="Z1022" s="153"/>
      <c r="AA1022" s="153"/>
      <c r="AB1022" s="153"/>
      <c r="AC1022" s="153"/>
      <c r="AD1022" s="153"/>
      <c r="AE1022" s="153"/>
      <c r="AF1022" s="153"/>
      <c r="AG1022" s="153"/>
      <c r="AH1022" s="153"/>
      <c r="AI1022" s="153"/>
      <c r="AJ1022" s="153"/>
      <c r="AK1022" s="153"/>
      <c r="AL1022" s="153"/>
      <c r="AM1022" s="153"/>
      <c r="AN1022" s="153"/>
      <c r="AO1022" s="153"/>
    </row>
    <row r="1023" ht="25.5" customHeight="1">
      <c r="A1023" s="145">
        <v>46220.0</v>
      </c>
      <c r="B1023" s="146" t="s">
        <v>1551</v>
      </c>
      <c r="C1023" s="146" t="s">
        <v>119</v>
      </c>
      <c r="D1023" s="146" t="s">
        <v>120</v>
      </c>
      <c r="E1023" s="159" t="s">
        <v>70</v>
      </c>
      <c r="F1023" s="146" t="s">
        <v>71</v>
      </c>
      <c r="G1023" s="147">
        <v>690.0</v>
      </c>
      <c r="H1023" s="148">
        <v>20276.0</v>
      </c>
      <c r="I1023" s="149">
        <f t="shared" si="265"/>
        <v>13990440</v>
      </c>
      <c r="J1023" s="149">
        <f t="shared" si="266"/>
        <v>1119235.2</v>
      </c>
      <c r="K1023" s="149">
        <f t="shared" si="267"/>
        <v>15109675.2</v>
      </c>
      <c r="L1023" s="150" t="s">
        <v>1552</v>
      </c>
      <c r="M1023" s="151" t="str">
        <f>VLOOKUP(L1023,'Đơn đặt'!$C$3:$E$275,2,0)</f>
        <v>05-07-TS</v>
      </c>
      <c r="N1023" s="151" t="str">
        <f>VLOOKUP(L1023,'Đơn đặt'!$C$3:$E$275,3,0)</f>
        <v>65-2026/TS-AVP/ĐĐH</v>
      </c>
      <c r="O1023" s="145">
        <v>46219.0</v>
      </c>
      <c r="P1023" s="146" t="s">
        <v>1553</v>
      </c>
      <c r="Q1023" s="147">
        <v>690.0</v>
      </c>
      <c r="R1023" s="148">
        <v>18311.2</v>
      </c>
      <c r="S1023" s="149">
        <f t="shared" si="268"/>
        <v>12634728</v>
      </c>
      <c r="T1023" s="149">
        <f t="shared" si="269"/>
        <v>1010778.24</v>
      </c>
      <c r="U1023" s="149">
        <f t="shared" si="230"/>
        <v>13645506.24</v>
      </c>
      <c r="V1023" s="153"/>
      <c r="W1023" s="153"/>
      <c r="X1023" s="153"/>
      <c r="Y1023" s="153"/>
      <c r="Z1023" s="153"/>
      <c r="AA1023" s="153"/>
      <c r="AB1023" s="153"/>
      <c r="AC1023" s="153"/>
      <c r="AD1023" s="153"/>
      <c r="AE1023" s="153"/>
      <c r="AF1023" s="153"/>
      <c r="AG1023" s="153"/>
      <c r="AH1023" s="153"/>
      <c r="AI1023" s="153"/>
      <c r="AJ1023" s="153"/>
      <c r="AK1023" s="153"/>
      <c r="AL1023" s="153"/>
      <c r="AM1023" s="153"/>
      <c r="AN1023" s="153"/>
      <c r="AO1023" s="153"/>
    </row>
    <row r="1024" ht="25.5" customHeight="1">
      <c r="A1024" s="145">
        <v>46220.0</v>
      </c>
      <c r="B1024" s="146" t="s">
        <v>1551</v>
      </c>
      <c r="C1024" s="146" t="s">
        <v>222</v>
      </c>
      <c r="D1024" s="146" t="s">
        <v>223</v>
      </c>
      <c r="E1024" s="159" t="s">
        <v>70</v>
      </c>
      <c r="F1024" s="146" t="s">
        <v>71</v>
      </c>
      <c r="G1024" s="147">
        <v>500.0</v>
      </c>
      <c r="H1024" s="148">
        <v>20276.0</v>
      </c>
      <c r="I1024" s="149">
        <v>1.0138E7</v>
      </c>
      <c r="J1024" s="149">
        <v>811040.0</v>
      </c>
      <c r="K1024" s="149">
        <v>1.094904E7</v>
      </c>
      <c r="L1024" s="150" t="s">
        <v>1417</v>
      </c>
      <c r="M1024" s="151" t="str">
        <f>VLOOKUP(L1024,'Đơn đặt'!$C$3:$E$275,2,0)</f>
        <v>03-18-TS</v>
      </c>
      <c r="N1024" s="151" t="str">
        <f>VLOOKUP(L1024,'Đơn đặt'!$C$3:$E$275,3,0)</f>
        <v>55-2026/TS-AVP/ĐĐH</v>
      </c>
      <c r="O1024" s="145">
        <v>46219.0</v>
      </c>
      <c r="P1024" s="146" t="s">
        <v>1553</v>
      </c>
      <c r="Q1024" s="152">
        <f>G1024</f>
        <v>500</v>
      </c>
      <c r="R1024" s="148">
        <v>18311.2</v>
      </c>
      <c r="S1024" s="152">
        <f t="shared" si="268"/>
        <v>9155600</v>
      </c>
      <c r="T1024" s="152">
        <f t="shared" si="269"/>
        <v>732448</v>
      </c>
      <c r="U1024" s="149">
        <f t="shared" si="230"/>
        <v>9888048</v>
      </c>
      <c r="V1024" s="153"/>
      <c r="W1024" s="153"/>
      <c r="X1024" s="153"/>
      <c r="Y1024" s="153"/>
      <c r="Z1024" s="153"/>
      <c r="AA1024" s="153"/>
      <c r="AB1024" s="153"/>
      <c r="AC1024" s="153"/>
      <c r="AD1024" s="153"/>
      <c r="AE1024" s="153"/>
      <c r="AF1024" s="153"/>
      <c r="AG1024" s="153"/>
      <c r="AH1024" s="153"/>
      <c r="AI1024" s="153"/>
      <c r="AJ1024" s="153"/>
      <c r="AK1024" s="153"/>
      <c r="AL1024" s="153"/>
      <c r="AM1024" s="153"/>
      <c r="AN1024" s="153"/>
      <c r="AO1024" s="153"/>
    </row>
    <row r="1025" ht="25.5" customHeight="1">
      <c r="A1025" s="145">
        <v>46220.0</v>
      </c>
      <c r="B1025" s="146" t="s">
        <v>1554</v>
      </c>
      <c r="C1025" s="146" t="s">
        <v>59</v>
      </c>
      <c r="D1025" s="146" t="s">
        <v>105</v>
      </c>
      <c r="E1025" s="159" t="s">
        <v>70</v>
      </c>
      <c r="F1025" s="146" t="s">
        <v>71</v>
      </c>
      <c r="G1025" s="147">
        <v>520.0</v>
      </c>
      <c r="H1025" s="148">
        <v>19206.0</v>
      </c>
      <c r="I1025" s="149">
        <v>9987120.0</v>
      </c>
      <c r="J1025" s="149">
        <v>798969.0</v>
      </c>
      <c r="K1025" s="149">
        <v>1.0786089E7</v>
      </c>
      <c r="L1025" s="150" t="s">
        <v>1400</v>
      </c>
      <c r="M1025" s="151" t="str">
        <f>VLOOKUP(L1025,'Đơn đặt'!$C$3:$E$275,2,0)</f>
        <v>05-09-TS</v>
      </c>
      <c r="N1025" s="151" t="str">
        <f>VLOOKUP(L1025,'Đơn đặt'!$C$3:$E$275,3,0)</f>
        <v>68-2026/TS-AVP/ĐĐH</v>
      </c>
      <c r="O1025" s="145">
        <v>46219.0</v>
      </c>
      <c r="P1025" s="146" t="s">
        <v>1553</v>
      </c>
      <c r="Q1025" s="148">
        <v>520.0</v>
      </c>
      <c r="R1025" s="148">
        <v>17073.2</v>
      </c>
      <c r="S1025" s="149">
        <v>8878064.0</v>
      </c>
      <c r="T1025" s="149">
        <v>710245.0</v>
      </c>
      <c r="U1025" s="149">
        <f t="shared" si="230"/>
        <v>9588309</v>
      </c>
      <c r="V1025" s="153"/>
      <c r="W1025" s="153"/>
      <c r="X1025" s="153"/>
      <c r="Y1025" s="153"/>
      <c r="Z1025" s="153"/>
      <c r="AA1025" s="153"/>
      <c r="AB1025" s="153"/>
      <c r="AC1025" s="153"/>
      <c r="AD1025" s="153"/>
      <c r="AE1025" s="153"/>
      <c r="AF1025" s="153"/>
      <c r="AG1025" s="153"/>
      <c r="AH1025" s="153"/>
      <c r="AI1025" s="153"/>
      <c r="AJ1025" s="153"/>
      <c r="AK1025" s="153"/>
      <c r="AL1025" s="153"/>
      <c r="AM1025" s="153"/>
      <c r="AN1025" s="153"/>
      <c r="AO1025" s="153"/>
    </row>
    <row r="1026" ht="25.5" customHeight="1">
      <c r="A1026" s="145">
        <v>46220.0</v>
      </c>
      <c r="B1026" s="146" t="s">
        <v>1554</v>
      </c>
      <c r="C1026" s="146" t="s">
        <v>222</v>
      </c>
      <c r="D1026" s="146" t="s">
        <v>223</v>
      </c>
      <c r="E1026" s="159" t="s">
        <v>70</v>
      </c>
      <c r="F1026" s="146" t="s">
        <v>71</v>
      </c>
      <c r="G1026" s="147">
        <v>1000.0</v>
      </c>
      <c r="H1026" s="148">
        <v>20276.0</v>
      </c>
      <c r="I1026" s="149">
        <v>2.0276E7</v>
      </c>
      <c r="J1026" s="149">
        <v>1622080.0</v>
      </c>
      <c r="K1026" s="149">
        <v>2.189808E7</v>
      </c>
      <c r="L1026" s="150" t="s">
        <v>1417</v>
      </c>
      <c r="M1026" s="151" t="str">
        <f>VLOOKUP(L1026,'Đơn đặt'!$C$3:$E$275,2,0)</f>
        <v>03-18-TS</v>
      </c>
      <c r="N1026" s="151" t="str">
        <f>VLOOKUP(L1026,'Đơn đặt'!$C$3:$E$275,3,0)</f>
        <v>55-2026/TS-AVP/ĐĐH</v>
      </c>
      <c r="O1026" s="145">
        <v>46219.0</v>
      </c>
      <c r="P1026" s="146" t="s">
        <v>1553</v>
      </c>
      <c r="Q1026" s="152">
        <f>G1026</f>
        <v>1000</v>
      </c>
      <c r="R1026" s="148">
        <v>18311.2</v>
      </c>
      <c r="S1026" s="152">
        <f>Q1026*R1026</f>
        <v>18311200</v>
      </c>
      <c r="T1026" s="152">
        <f>S1026*8%</f>
        <v>1464896</v>
      </c>
      <c r="U1026" s="149">
        <f t="shared" si="230"/>
        <v>19776096</v>
      </c>
      <c r="V1026" s="153"/>
      <c r="W1026" s="153"/>
      <c r="X1026" s="153"/>
      <c r="Y1026" s="153"/>
      <c r="Z1026" s="153"/>
      <c r="AA1026" s="153"/>
      <c r="AB1026" s="153"/>
      <c r="AC1026" s="153"/>
      <c r="AD1026" s="153"/>
      <c r="AE1026" s="153"/>
      <c r="AF1026" s="153"/>
      <c r="AG1026" s="153"/>
      <c r="AH1026" s="153"/>
      <c r="AI1026" s="153"/>
      <c r="AJ1026" s="153"/>
      <c r="AK1026" s="153"/>
      <c r="AL1026" s="153"/>
      <c r="AM1026" s="153"/>
      <c r="AN1026" s="153"/>
      <c r="AO1026" s="153"/>
    </row>
    <row r="1027" ht="25.5" customHeight="1">
      <c r="A1027" s="145">
        <v>46220.0</v>
      </c>
      <c r="B1027" s="146" t="s">
        <v>1554</v>
      </c>
      <c r="C1027" s="146" t="s">
        <v>275</v>
      </c>
      <c r="D1027" s="146" t="s">
        <v>276</v>
      </c>
      <c r="E1027" s="159" t="s">
        <v>70</v>
      </c>
      <c r="F1027" s="146" t="s">
        <v>71</v>
      </c>
      <c r="G1027" s="147">
        <v>620.0</v>
      </c>
      <c r="H1027" s="148">
        <v>18191.0</v>
      </c>
      <c r="I1027" s="149">
        <v>1.127842E7</v>
      </c>
      <c r="J1027" s="149">
        <v>902274.0</v>
      </c>
      <c r="K1027" s="149">
        <v>1.2180694E7</v>
      </c>
      <c r="L1027" s="150" t="s">
        <v>1555</v>
      </c>
      <c r="M1027" s="151" t="str">
        <f>VLOOKUP(L1027,'Đơn đặt'!$C$3:$E$6000,2,0)</f>
        <v>07-04/TS</v>
      </c>
      <c r="N1027" s="151" t="str">
        <f>VLOOKUP(L1027,'Đơn đặt'!$C$3:$E$6000,3,0)</f>
        <v> 83-2026/TS-AVP/ĐĐH</v>
      </c>
      <c r="O1027" s="145">
        <v>46219.0</v>
      </c>
      <c r="P1027" s="146" t="s">
        <v>1553</v>
      </c>
      <c r="Q1027" s="148">
        <v>620.0</v>
      </c>
      <c r="R1027" s="148">
        <v>18102.2</v>
      </c>
      <c r="S1027" s="149">
        <v>1.1223364E7</v>
      </c>
      <c r="T1027" s="149">
        <v>897869.0</v>
      </c>
      <c r="U1027" s="149">
        <f t="shared" si="230"/>
        <v>12121233</v>
      </c>
      <c r="V1027" s="153"/>
      <c r="W1027" s="153"/>
      <c r="X1027" s="153"/>
      <c r="Y1027" s="153"/>
      <c r="Z1027" s="153"/>
      <c r="AA1027" s="153"/>
      <c r="AB1027" s="153"/>
      <c r="AC1027" s="153"/>
      <c r="AD1027" s="153"/>
      <c r="AE1027" s="153"/>
      <c r="AF1027" s="153"/>
      <c r="AG1027" s="153"/>
      <c r="AH1027" s="153"/>
      <c r="AI1027" s="153"/>
      <c r="AJ1027" s="153"/>
      <c r="AK1027" s="153"/>
      <c r="AL1027" s="153"/>
      <c r="AM1027" s="153"/>
      <c r="AN1027" s="153"/>
      <c r="AO1027" s="153"/>
    </row>
    <row r="1028" ht="25.5" customHeight="1">
      <c r="A1028" s="145">
        <v>46220.0</v>
      </c>
      <c r="B1028" s="146" t="s">
        <v>1554</v>
      </c>
      <c r="C1028" s="146" t="s">
        <v>279</v>
      </c>
      <c r="D1028" s="146" t="s">
        <v>280</v>
      </c>
      <c r="E1028" s="159" t="s">
        <v>70</v>
      </c>
      <c r="F1028" s="146" t="s">
        <v>71</v>
      </c>
      <c r="G1028" s="147">
        <v>300.0</v>
      </c>
      <c r="H1028" s="148">
        <v>18191.0</v>
      </c>
      <c r="I1028" s="149">
        <v>5457300.0</v>
      </c>
      <c r="J1028" s="149">
        <v>436584.0</v>
      </c>
      <c r="K1028" s="149">
        <v>5893884.0</v>
      </c>
      <c r="L1028" s="150" t="s">
        <v>1555</v>
      </c>
      <c r="M1028" s="151" t="str">
        <f>VLOOKUP(L1028,'Đơn đặt'!$C$3:$E$6000,2,0)</f>
        <v>07-04/TS</v>
      </c>
      <c r="N1028" s="151" t="str">
        <f>VLOOKUP(L1028,'Đơn đặt'!$C$3:$E$6000,3,0)</f>
        <v> 83-2026/TS-AVP/ĐĐH</v>
      </c>
      <c r="O1028" s="145">
        <v>46219.0</v>
      </c>
      <c r="P1028" s="146" t="s">
        <v>1553</v>
      </c>
      <c r="Q1028" s="148">
        <v>300.0</v>
      </c>
      <c r="R1028" s="148">
        <v>18102.2</v>
      </c>
      <c r="S1028" s="149">
        <v>5430660.0</v>
      </c>
      <c r="T1028" s="149">
        <v>434453.0</v>
      </c>
      <c r="U1028" s="149">
        <f t="shared" si="230"/>
        <v>5865113</v>
      </c>
      <c r="V1028" s="153"/>
      <c r="W1028" s="153"/>
      <c r="X1028" s="153"/>
      <c r="Y1028" s="153"/>
      <c r="Z1028" s="153"/>
      <c r="AA1028" s="153"/>
      <c r="AB1028" s="153"/>
      <c r="AC1028" s="153"/>
      <c r="AD1028" s="153"/>
      <c r="AE1028" s="153"/>
      <c r="AF1028" s="153"/>
      <c r="AG1028" s="153"/>
      <c r="AH1028" s="153"/>
      <c r="AI1028" s="153"/>
      <c r="AJ1028" s="153"/>
      <c r="AK1028" s="153"/>
      <c r="AL1028" s="153"/>
      <c r="AM1028" s="153"/>
      <c r="AN1028" s="153"/>
      <c r="AO1028" s="153"/>
    </row>
    <row r="1029" ht="25.5" customHeight="1">
      <c r="A1029" s="145">
        <v>46220.0</v>
      </c>
      <c r="B1029" s="146" t="s">
        <v>1556</v>
      </c>
      <c r="C1029" s="146" t="s">
        <v>48</v>
      </c>
      <c r="D1029" s="146" t="s">
        <v>47</v>
      </c>
      <c r="E1029" s="159" t="s">
        <v>70</v>
      </c>
      <c r="F1029" s="146" t="s">
        <v>71</v>
      </c>
      <c r="G1029" s="147">
        <v>7000.0</v>
      </c>
      <c r="H1029" s="148">
        <v>19206.0</v>
      </c>
      <c r="I1029" s="149">
        <v>1.34442E8</v>
      </c>
      <c r="J1029" s="149">
        <v>1.075536E7</v>
      </c>
      <c r="K1029" s="149">
        <v>1.4519736E8</v>
      </c>
      <c r="L1029" s="150" t="s">
        <v>1400</v>
      </c>
      <c r="M1029" s="151" t="str">
        <f>VLOOKUP(L1029,'Đơn đặt'!$C$3:$E$275,2,0)</f>
        <v>05-09-TS</v>
      </c>
      <c r="N1029" s="151" t="str">
        <f>VLOOKUP(L1029,'Đơn đặt'!$C$3:$E$275,3,0)</f>
        <v>68-2026/TS-AVP/ĐĐH</v>
      </c>
      <c r="O1029" s="145">
        <v>46220.0</v>
      </c>
      <c r="P1029" s="146" t="s">
        <v>1557</v>
      </c>
      <c r="Q1029" s="148">
        <v>7000.0</v>
      </c>
      <c r="R1029" s="148">
        <v>15209.2</v>
      </c>
      <c r="S1029" s="149">
        <v>1.064644E8</v>
      </c>
      <c r="T1029" s="149">
        <v>8517152.0</v>
      </c>
      <c r="U1029" s="149">
        <f t="shared" si="230"/>
        <v>114981552</v>
      </c>
      <c r="V1029" s="153"/>
      <c r="W1029" s="153"/>
      <c r="X1029" s="153"/>
      <c r="Y1029" s="153"/>
      <c r="Z1029" s="153"/>
      <c r="AA1029" s="153"/>
      <c r="AB1029" s="153"/>
      <c r="AC1029" s="153"/>
      <c r="AD1029" s="153"/>
      <c r="AE1029" s="153"/>
      <c r="AF1029" s="153"/>
      <c r="AG1029" s="153"/>
      <c r="AH1029" s="153"/>
      <c r="AI1029" s="153"/>
      <c r="AJ1029" s="153"/>
      <c r="AK1029" s="153"/>
      <c r="AL1029" s="153"/>
      <c r="AM1029" s="153"/>
      <c r="AN1029" s="153"/>
      <c r="AO1029" s="153"/>
    </row>
    <row r="1030" ht="25.5" customHeight="1">
      <c r="A1030" s="145">
        <v>46220.0</v>
      </c>
      <c r="B1030" s="146" t="s">
        <v>1556</v>
      </c>
      <c r="C1030" s="146" t="s">
        <v>50</v>
      </c>
      <c r="D1030" s="146" t="s">
        <v>49</v>
      </c>
      <c r="E1030" s="159" t="s">
        <v>70</v>
      </c>
      <c r="F1030" s="146" t="s">
        <v>71</v>
      </c>
      <c r="G1030" s="147">
        <v>2000.0</v>
      </c>
      <c r="H1030" s="148">
        <v>19206.0</v>
      </c>
      <c r="I1030" s="149">
        <v>3.8412E7</v>
      </c>
      <c r="J1030" s="149">
        <v>3072960.0</v>
      </c>
      <c r="K1030" s="149">
        <v>4.148496E7</v>
      </c>
      <c r="L1030" s="150" t="s">
        <v>1400</v>
      </c>
      <c r="M1030" s="151" t="str">
        <f>VLOOKUP(L1030,'Đơn đặt'!$C$3:$E$275,2,0)</f>
        <v>05-09-TS</v>
      </c>
      <c r="N1030" s="151" t="str">
        <f>VLOOKUP(L1030,'Đơn đặt'!$C$3:$E$275,3,0)</f>
        <v>68-2026/TS-AVP/ĐĐH</v>
      </c>
      <c r="O1030" s="145">
        <v>46220.0</v>
      </c>
      <c r="P1030" s="146" t="s">
        <v>1557</v>
      </c>
      <c r="Q1030" s="148">
        <v>2000.0</v>
      </c>
      <c r="R1030" s="148">
        <v>15209.2</v>
      </c>
      <c r="S1030" s="149">
        <v>3.04184E7</v>
      </c>
      <c r="T1030" s="149">
        <v>2433472.0</v>
      </c>
      <c r="U1030" s="149">
        <f t="shared" si="230"/>
        <v>32851872</v>
      </c>
      <c r="V1030" s="153"/>
      <c r="W1030" s="153"/>
      <c r="X1030" s="153"/>
      <c r="Y1030" s="153"/>
      <c r="Z1030" s="153"/>
      <c r="AA1030" s="153"/>
      <c r="AB1030" s="153"/>
      <c r="AC1030" s="153"/>
      <c r="AD1030" s="153"/>
      <c r="AE1030" s="153"/>
      <c r="AF1030" s="153"/>
      <c r="AG1030" s="153"/>
      <c r="AH1030" s="153"/>
      <c r="AI1030" s="153"/>
      <c r="AJ1030" s="153"/>
      <c r="AK1030" s="153"/>
      <c r="AL1030" s="153"/>
      <c r="AM1030" s="153"/>
      <c r="AN1030" s="153"/>
      <c r="AO1030" s="153"/>
    </row>
    <row r="1031" ht="25.5" customHeight="1">
      <c r="A1031" s="145">
        <v>46220.0</v>
      </c>
      <c r="B1031" s="146" t="s">
        <v>1558</v>
      </c>
      <c r="C1031" s="146" t="s">
        <v>59</v>
      </c>
      <c r="D1031" s="146" t="s">
        <v>105</v>
      </c>
      <c r="E1031" s="159" t="s">
        <v>70</v>
      </c>
      <c r="F1031" s="146" t="s">
        <v>71</v>
      </c>
      <c r="G1031" s="147">
        <v>2000.0</v>
      </c>
      <c r="H1031" s="148">
        <v>19206.0</v>
      </c>
      <c r="I1031" s="149">
        <v>3.8412E7</v>
      </c>
      <c r="J1031" s="149">
        <v>3072960.0</v>
      </c>
      <c r="K1031" s="149">
        <v>4.148496E7</v>
      </c>
      <c r="L1031" s="150" t="s">
        <v>1400</v>
      </c>
      <c r="M1031" s="151" t="str">
        <f>VLOOKUP(L1031,'Đơn đặt'!$C$3:$E$275,2,0)</f>
        <v>05-09-TS</v>
      </c>
      <c r="N1031" s="151" t="str">
        <f>VLOOKUP(L1031,'Đơn đặt'!$C$3:$E$275,3,0)</f>
        <v>68-2026/TS-AVP/ĐĐH</v>
      </c>
      <c r="O1031" s="145">
        <v>46220.0</v>
      </c>
      <c r="P1031" s="146" t="s">
        <v>1559</v>
      </c>
      <c r="Q1031" s="152">
        <f>G1031</f>
        <v>2000</v>
      </c>
      <c r="R1031" s="148">
        <v>17073.2</v>
      </c>
      <c r="S1031" s="152">
        <f>Q1031*R1031</f>
        <v>34146400</v>
      </c>
      <c r="T1031" s="152">
        <f>S1031*8%</f>
        <v>2731712</v>
      </c>
      <c r="U1031" s="149">
        <f t="shared" si="230"/>
        <v>36878112</v>
      </c>
      <c r="V1031" s="153"/>
      <c r="W1031" s="153"/>
      <c r="X1031" s="153"/>
      <c r="Y1031" s="153"/>
      <c r="Z1031" s="153"/>
      <c r="AA1031" s="153"/>
      <c r="AB1031" s="153"/>
      <c r="AC1031" s="153"/>
      <c r="AD1031" s="153"/>
      <c r="AE1031" s="153"/>
      <c r="AF1031" s="153"/>
      <c r="AG1031" s="153"/>
      <c r="AH1031" s="153"/>
      <c r="AI1031" s="153"/>
      <c r="AJ1031" s="153"/>
      <c r="AK1031" s="153"/>
      <c r="AL1031" s="153"/>
      <c r="AM1031" s="153"/>
      <c r="AN1031" s="153"/>
      <c r="AO1031" s="153"/>
    </row>
    <row r="1032" ht="25.5" customHeight="1">
      <c r="A1032" s="145">
        <v>46220.0</v>
      </c>
      <c r="B1032" s="146" t="s">
        <v>1558</v>
      </c>
      <c r="C1032" s="146" t="s">
        <v>14</v>
      </c>
      <c r="D1032" s="146" t="s">
        <v>13</v>
      </c>
      <c r="E1032" s="159" t="s">
        <v>70</v>
      </c>
      <c r="F1032" s="146" t="s">
        <v>71</v>
      </c>
      <c r="G1032" s="147">
        <v>1500.0</v>
      </c>
      <c r="H1032" s="148">
        <v>20374.0</v>
      </c>
      <c r="I1032" s="149">
        <v>3.0561E7</v>
      </c>
      <c r="J1032" s="149">
        <v>2444880.0</v>
      </c>
      <c r="K1032" s="149">
        <v>3.300588E7</v>
      </c>
      <c r="L1032" s="150" t="s">
        <v>1400</v>
      </c>
      <c r="M1032" s="151" t="str">
        <f>VLOOKUP(L1032,'Đơn đặt'!$C$3:$E$275,2,0)</f>
        <v>05-09-TS</v>
      </c>
      <c r="N1032" s="151" t="str">
        <f>VLOOKUP(L1032,'Đơn đặt'!$C$3:$E$275,3,0)</f>
        <v>68-2026/TS-AVP/ĐĐH</v>
      </c>
      <c r="O1032" s="145">
        <v>46220.0</v>
      </c>
      <c r="P1032" s="146" t="s">
        <v>1559</v>
      </c>
      <c r="Q1032" s="148">
        <v>1500.0</v>
      </c>
      <c r="R1032" s="148">
        <v>18666.8</v>
      </c>
      <c r="S1032" s="149">
        <v>2.80002E7</v>
      </c>
      <c r="T1032" s="149">
        <v>2240016.0</v>
      </c>
      <c r="U1032" s="149">
        <f t="shared" si="230"/>
        <v>30240216</v>
      </c>
      <c r="V1032" s="153"/>
      <c r="W1032" s="153"/>
      <c r="X1032" s="153"/>
      <c r="Y1032" s="153"/>
      <c r="Z1032" s="153"/>
      <c r="AA1032" s="153"/>
      <c r="AB1032" s="153"/>
      <c r="AC1032" s="153"/>
      <c r="AD1032" s="153"/>
      <c r="AE1032" s="153"/>
      <c r="AF1032" s="153"/>
      <c r="AG1032" s="153"/>
      <c r="AH1032" s="153"/>
      <c r="AI1032" s="153"/>
      <c r="AJ1032" s="153"/>
      <c r="AK1032" s="153"/>
      <c r="AL1032" s="153"/>
      <c r="AM1032" s="153"/>
      <c r="AN1032" s="153"/>
      <c r="AO1032" s="153"/>
    </row>
    <row r="1033" ht="25.5" customHeight="1">
      <c r="A1033" s="145">
        <v>46220.0</v>
      </c>
      <c r="B1033" s="146" t="s">
        <v>1560</v>
      </c>
      <c r="C1033" s="146" t="s">
        <v>59</v>
      </c>
      <c r="D1033" s="146" t="s">
        <v>105</v>
      </c>
      <c r="E1033" s="159" t="s">
        <v>70</v>
      </c>
      <c r="F1033" s="146" t="s">
        <v>71</v>
      </c>
      <c r="G1033" s="147">
        <v>400.0</v>
      </c>
      <c r="H1033" s="148">
        <v>19206.0</v>
      </c>
      <c r="I1033" s="149">
        <v>7682400.0</v>
      </c>
      <c r="J1033" s="149">
        <v>614592.0</v>
      </c>
      <c r="K1033" s="149">
        <v>8296992.0</v>
      </c>
      <c r="L1033" s="150" t="s">
        <v>1400</v>
      </c>
      <c r="M1033" s="151" t="str">
        <f>VLOOKUP(L1033,'Đơn đặt'!$C$3:$E$275,2,0)</f>
        <v>05-09-TS</v>
      </c>
      <c r="N1033" s="151" t="str">
        <f>VLOOKUP(L1033,'Đơn đặt'!$C$3:$E$275,3,0)</f>
        <v>68-2026/TS-AVP/ĐĐH</v>
      </c>
      <c r="O1033" s="145">
        <v>46220.0</v>
      </c>
      <c r="P1033" s="146" t="s">
        <v>1559</v>
      </c>
      <c r="Q1033" s="152">
        <f>G1033</f>
        <v>400</v>
      </c>
      <c r="R1033" s="148">
        <v>17073.2</v>
      </c>
      <c r="S1033" s="152">
        <f>Q1033*R1033</f>
        <v>6829280</v>
      </c>
      <c r="T1033" s="152">
        <f>S1033*8%</f>
        <v>546342.4</v>
      </c>
      <c r="U1033" s="149">
        <f t="shared" si="230"/>
        <v>7375622.4</v>
      </c>
      <c r="V1033" s="153"/>
      <c r="W1033" s="153"/>
      <c r="X1033" s="153"/>
      <c r="Y1033" s="153"/>
      <c r="Z1033" s="153"/>
      <c r="AA1033" s="153"/>
      <c r="AB1033" s="153"/>
      <c r="AC1033" s="153"/>
      <c r="AD1033" s="153"/>
      <c r="AE1033" s="153"/>
      <c r="AF1033" s="153"/>
      <c r="AG1033" s="153"/>
      <c r="AH1033" s="153"/>
      <c r="AI1033" s="153"/>
      <c r="AJ1033" s="153"/>
      <c r="AK1033" s="153"/>
      <c r="AL1033" s="153"/>
      <c r="AM1033" s="153"/>
      <c r="AN1033" s="153"/>
      <c r="AO1033" s="153"/>
    </row>
    <row r="1034" ht="25.5" customHeight="1">
      <c r="A1034" s="145">
        <v>46220.0</v>
      </c>
      <c r="B1034" s="146" t="s">
        <v>1560</v>
      </c>
      <c r="C1034" s="146" t="s">
        <v>266</v>
      </c>
      <c r="D1034" s="146" t="s">
        <v>516</v>
      </c>
      <c r="E1034" s="159" t="s">
        <v>70</v>
      </c>
      <c r="F1034" s="146" t="s">
        <v>71</v>
      </c>
      <c r="G1034" s="147">
        <v>1605.0</v>
      </c>
      <c r="H1034" s="148">
        <v>18191.0</v>
      </c>
      <c r="I1034" s="149">
        <v>2.9196555E7</v>
      </c>
      <c r="J1034" s="149">
        <v>2335724.0</v>
      </c>
      <c r="K1034" s="149">
        <v>3.1532279E7</v>
      </c>
      <c r="L1034" s="150" t="s">
        <v>1426</v>
      </c>
      <c r="M1034" s="151" t="str">
        <f>VLOOKUP(L1034,'Đơn đặt'!$C$3:$E$275,2,0)</f>
        <v>02-11-TS</v>
      </c>
      <c r="N1034" s="151" t="str">
        <f>VLOOKUP(L1034,'Đơn đặt'!$C$3:$E$275,3,0)</f>
        <v>52-2026/TS-AVP/ĐĐH</v>
      </c>
      <c r="O1034" s="145">
        <v>46220.0</v>
      </c>
      <c r="P1034" s="146" t="s">
        <v>1559</v>
      </c>
      <c r="Q1034" s="148">
        <v>1605.0</v>
      </c>
      <c r="R1034" s="148">
        <v>17454.2</v>
      </c>
      <c r="S1034" s="149">
        <v>2.8013991E7</v>
      </c>
      <c r="T1034" s="149">
        <v>2241119.0</v>
      </c>
      <c r="U1034" s="149">
        <f t="shared" si="230"/>
        <v>30255110</v>
      </c>
      <c r="V1034" s="153"/>
      <c r="W1034" s="153"/>
      <c r="X1034" s="153"/>
      <c r="Y1034" s="153"/>
      <c r="Z1034" s="153"/>
      <c r="AA1034" s="153"/>
      <c r="AB1034" s="153"/>
      <c r="AC1034" s="153"/>
      <c r="AD1034" s="153"/>
      <c r="AE1034" s="153"/>
      <c r="AF1034" s="153"/>
      <c r="AG1034" s="153"/>
      <c r="AH1034" s="153"/>
      <c r="AI1034" s="153"/>
      <c r="AJ1034" s="153"/>
      <c r="AK1034" s="153"/>
      <c r="AL1034" s="153"/>
      <c r="AM1034" s="153"/>
      <c r="AN1034" s="153"/>
      <c r="AO1034" s="153"/>
    </row>
    <row r="1035" ht="25.5" customHeight="1">
      <c r="A1035" s="145">
        <v>46220.0</v>
      </c>
      <c r="B1035" s="146" t="s">
        <v>1561</v>
      </c>
      <c r="C1035" s="146" t="s">
        <v>48</v>
      </c>
      <c r="D1035" s="146" t="s">
        <v>47</v>
      </c>
      <c r="E1035" s="159" t="s">
        <v>70</v>
      </c>
      <c r="F1035" s="146" t="s">
        <v>71</v>
      </c>
      <c r="G1035" s="147">
        <v>1500.0</v>
      </c>
      <c r="H1035" s="148">
        <v>19206.0</v>
      </c>
      <c r="I1035" s="149">
        <v>2.8809E7</v>
      </c>
      <c r="J1035" s="149">
        <v>2304720.0</v>
      </c>
      <c r="K1035" s="149">
        <v>3.111372E7</v>
      </c>
      <c r="L1035" s="150" t="s">
        <v>1400</v>
      </c>
      <c r="M1035" s="151" t="str">
        <f>VLOOKUP(L1035,'Đơn đặt'!$C$3:$E$275,2,0)</f>
        <v>05-09-TS</v>
      </c>
      <c r="N1035" s="151" t="str">
        <f>VLOOKUP(L1035,'Đơn đặt'!$C$3:$E$275,3,0)</f>
        <v>68-2026/TS-AVP/ĐĐH</v>
      </c>
      <c r="O1035" s="145">
        <v>46220.0</v>
      </c>
      <c r="P1035" s="146" t="s">
        <v>1562</v>
      </c>
      <c r="Q1035" s="148">
        <v>1500.0</v>
      </c>
      <c r="R1035" s="148">
        <v>15209.2</v>
      </c>
      <c r="S1035" s="149">
        <v>2.28138E7</v>
      </c>
      <c r="T1035" s="149">
        <v>1825104.0</v>
      </c>
      <c r="U1035" s="149">
        <f t="shared" si="230"/>
        <v>24638904</v>
      </c>
      <c r="V1035" s="153"/>
      <c r="W1035" s="153"/>
      <c r="X1035" s="153"/>
      <c r="Y1035" s="153"/>
      <c r="Z1035" s="153"/>
      <c r="AA1035" s="153"/>
      <c r="AB1035" s="153"/>
      <c r="AC1035" s="153"/>
      <c r="AD1035" s="153"/>
      <c r="AE1035" s="153"/>
      <c r="AF1035" s="153"/>
      <c r="AG1035" s="153"/>
      <c r="AH1035" s="153"/>
      <c r="AI1035" s="153"/>
      <c r="AJ1035" s="153"/>
      <c r="AK1035" s="153"/>
      <c r="AL1035" s="153"/>
      <c r="AM1035" s="153"/>
      <c r="AN1035" s="153"/>
      <c r="AO1035" s="153"/>
    </row>
    <row r="1036" ht="25.5" customHeight="1">
      <c r="A1036" s="145">
        <v>46221.0</v>
      </c>
      <c r="B1036" s="146" t="s">
        <v>1563</v>
      </c>
      <c r="C1036" s="146" t="s">
        <v>77</v>
      </c>
      <c r="D1036" s="146" t="s">
        <v>78</v>
      </c>
      <c r="E1036" s="159" t="s">
        <v>70</v>
      </c>
      <c r="F1036" s="146" t="s">
        <v>71</v>
      </c>
      <c r="G1036" s="147">
        <v>3190.0</v>
      </c>
      <c r="H1036" s="148">
        <v>22866.0</v>
      </c>
      <c r="I1036" s="149">
        <v>7.294254E7</v>
      </c>
      <c r="J1036" s="149">
        <v>5835403.0</v>
      </c>
      <c r="K1036" s="149">
        <v>7.8777943E7</v>
      </c>
      <c r="L1036" s="150" t="s">
        <v>1533</v>
      </c>
      <c r="M1036" s="151" t="str">
        <f>VLOOKUP(L1036,'Đơn đặt'!$C$3:$E$6000,2,0)</f>
        <v>07-02/TS</v>
      </c>
      <c r="N1036" s="151" t="str">
        <f>VLOOKUP(L1036,'Đơn đặt'!$C$3:$E$6000,3,0)</f>
        <v>82-2026/TS-AVP/ĐĐH</v>
      </c>
      <c r="O1036" s="145">
        <v>46221.0</v>
      </c>
      <c r="P1036" s="146" t="s">
        <v>1564</v>
      </c>
      <c r="Q1036" s="148">
        <v>3190.0</v>
      </c>
      <c r="R1036" s="148">
        <v>20709.2</v>
      </c>
      <c r="S1036" s="149">
        <v>6.6062348E7</v>
      </c>
      <c r="T1036" s="149">
        <v>5284988.0</v>
      </c>
      <c r="U1036" s="149">
        <f t="shared" si="230"/>
        <v>71347336</v>
      </c>
      <c r="V1036" s="153"/>
      <c r="W1036" s="153"/>
      <c r="X1036" s="153"/>
      <c r="Y1036" s="153"/>
      <c r="Z1036" s="153"/>
      <c r="AA1036" s="153"/>
      <c r="AB1036" s="153"/>
      <c r="AC1036" s="153"/>
      <c r="AD1036" s="153"/>
      <c r="AE1036" s="153"/>
      <c r="AF1036" s="153"/>
      <c r="AG1036" s="153"/>
      <c r="AH1036" s="153"/>
      <c r="AI1036" s="153"/>
      <c r="AJ1036" s="153"/>
      <c r="AK1036" s="153"/>
      <c r="AL1036" s="153"/>
      <c r="AM1036" s="153"/>
      <c r="AN1036" s="153"/>
      <c r="AO1036" s="153"/>
    </row>
    <row r="1037" ht="25.5" customHeight="1">
      <c r="A1037" s="145">
        <v>46221.0</v>
      </c>
      <c r="B1037" s="146" t="s">
        <v>1565</v>
      </c>
      <c r="C1037" s="146" t="s">
        <v>119</v>
      </c>
      <c r="D1037" s="146" t="s">
        <v>120</v>
      </c>
      <c r="E1037" s="159" t="s">
        <v>70</v>
      </c>
      <c r="F1037" s="146" t="s">
        <v>71</v>
      </c>
      <c r="G1037" s="147">
        <v>1020.0</v>
      </c>
      <c r="H1037" s="148">
        <v>20276.0</v>
      </c>
      <c r="I1037" s="149">
        <f t="shared" ref="I1037:I1038" si="270">G1037*H1037</f>
        <v>20681520</v>
      </c>
      <c r="J1037" s="149">
        <f t="shared" ref="J1037:J1038" si="271">I1037*8%</f>
        <v>1654521.6</v>
      </c>
      <c r="K1037" s="149">
        <f t="shared" ref="K1037:K1038" si="272">I1037+J1037</f>
        <v>22336041.6</v>
      </c>
      <c r="L1037" s="150" t="s">
        <v>1417</v>
      </c>
      <c r="M1037" s="151" t="str">
        <f>VLOOKUP(L1037,'Đơn đặt'!$C$3:$E$275,2,0)</f>
        <v>03-18-TS</v>
      </c>
      <c r="N1037" s="151" t="str">
        <f>VLOOKUP(L1037,'Đơn đặt'!$C$3:$E$275,3,0)</f>
        <v>55-2026/TS-AVP/ĐĐH</v>
      </c>
      <c r="O1037" s="145">
        <v>46221.0</v>
      </c>
      <c r="P1037" s="146" t="s">
        <v>1566</v>
      </c>
      <c r="Q1037" s="147">
        <v>1020.0</v>
      </c>
      <c r="R1037" s="148">
        <v>18311.2</v>
      </c>
      <c r="S1037" s="149">
        <f t="shared" ref="S1037:S1038" si="273">Q1037*R1037</f>
        <v>18677424</v>
      </c>
      <c r="T1037" s="149">
        <f t="shared" ref="T1037:T1038" si="274">S1037*8%</f>
        <v>1494193.92</v>
      </c>
      <c r="U1037" s="149">
        <f t="shared" si="230"/>
        <v>20171617.92</v>
      </c>
      <c r="V1037" s="153"/>
      <c r="W1037" s="153"/>
      <c r="X1037" s="153"/>
      <c r="Y1037" s="153"/>
      <c r="Z1037" s="153"/>
      <c r="AA1037" s="153"/>
      <c r="AB1037" s="153"/>
      <c r="AC1037" s="153"/>
      <c r="AD1037" s="153"/>
      <c r="AE1037" s="153"/>
      <c r="AF1037" s="153"/>
      <c r="AG1037" s="153"/>
      <c r="AH1037" s="153"/>
      <c r="AI1037" s="153"/>
      <c r="AJ1037" s="153"/>
      <c r="AK1037" s="153"/>
      <c r="AL1037" s="153"/>
      <c r="AM1037" s="153"/>
      <c r="AN1037" s="153"/>
      <c r="AO1037" s="153"/>
    </row>
    <row r="1038" ht="25.5" customHeight="1">
      <c r="A1038" s="145">
        <v>46221.0</v>
      </c>
      <c r="B1038" s="146" t="s">
        <v>1565</v>
      </c>
      <c r="C1038" s="146" t="s">
        <v>119</v>
      </c>
      <c r="D1038" s="146" t="s">
        <v>120</v>
      </c>
      <c r="E1038" s="159" t="s">
        <v>70</v>
      </c>
      <c r="F1038" s="146" t="s">
        <v>71</v>
      </c>
      <c r="G1038" s="147">
        <v>1000.0</v>
      </c>
      <c r="H1038" s="148">
        <v>20276.0</v>
      </c>
      <c r="I1038" s="149">
        <f t="shared" si="270"/>
        <v>20276000</v>
      </c>
      <c r="J1038" s="149">
        <f t="shared" si="271"/>
        <v>1622080</v>
      </c>
      <c r="K1038" s="149">
        <f t="shared" si="272"/>
        <v>21898080</v>
      </c>
      <c r="L1038" s="150" t="s">
        <v>1552</v>
      </c>
      <c r="M1038" s="151" t="str">
        <f>VLOOKUP(L1038,'Đơn đặt'!$C$3:$E$275,2,0)</f>
        <v>05-07-TS</v>
      </c>
      <c r="N1038" s="151" t="str">
        <f>VLOOKUP(L1038,'Đơn đặt'!$C$3:$E$275,3,0)</f>
        <v>65-2026/TS-AVP/ĐĐH</v>
      </c>
      <c r="O1038" s="145">
        <v>46221.0</v>
      </c>
      <c r="P1038" s="146" t="s">
        <v>1566</v>
      </c>
      <c r="Q1038" s="147">
        <v>1000.0</v>
      </c>
      <c r="R1038" s="148">
        <v>18311.2</v>
      </c>
      <c r="S1038" s="149">
        <f t="shared" si="273"/>
        <v>18311200</v>
      </c>
      <c r="T1038" s="149">
        <f t="shared" si="274"/>
        <v>1464896</v>
      </c>
      <c r="U1038" s="149">
        <f t="shared" si="230"/>
        <v>19776096</v>
      </c>
      <c r="V1038" s="153"/>
      <c r="W1038" s="153"/>
      <c r="X1038" s="153"/>
      <c r="Y1038" s="153"/>
      <c r="Z1038" s="153"/>
      <c r="AA1038" s="153"/>
      <c r="AB1038" s="153"/>
      <c r="AC1038" s="153"/>
      <c r="AD1038" s="153"/>
      <c r="AE1038" s="153"/>
      <c r="AF1038" s="153"/>
      <c r="AG1038" s="153"/>
      <c r="AH1038" s="153"/>
      <c r="AI1038" s="153"/>
      <c r="AJ1038" s="153"/>
      <c r="AK1038" s="153"/>
      <c r="AL1038" s="153"/>
      <c r="AM1038" s="153"/>
      <c r="AN1038" s="153"/>
      <c r="AO1038" s="153"/>
    </row>
    <row r="1039" ht="25.5" customHeight="1">
      <c r="A1039" s="145">
        <v>46221.0</v>
      </c>
      <c r="B1039" s="146" t="s">
        <v>1567</v>
      </c>
      <c r="C1039" s="146" t="s">
        <v>55</v>
      </c>
      <c r="D1039" s="146" t="s">
        <v>53</v>
      </c>
      <c r="E1039" s="159" t="s">
        <v>70</v>
      </c>
      <c r="F1039" s="146" t="s">
        <v>71</v>
      </c>
      <c r="G1039" s="147">
        <v>2500.0</v>
      </c>
      <c r="H1039" s="148">
        <v>21025.0</v>
      </c>
      <c r="I1039" s="149">
        <v>5.25625E7</v>
      </c>
      <c r="J1039" s="149">
        <v>4205000.0</v>
      </c>
      <c r="K1039" s="149">
        <v>5.67675E7</v>
      </c>
      <c r="L1039" s="150" t="s">
        <v>1305</v>
      </c>
      <c r="M1039" s="151" t="str">
        <f>VLOOKUP(L1039,'Đơn đặt'!$C$3:$E$275,2,0)</f>
        <v>04-08-TS</v>
      </c>
      <c r="N1039" s="151" t="str">
        <f>VLOOKUP(L1039,'Đơn đặt'!$C$3:$E$275,3,0)</f>
        <v>59-2026/TS-AVP/ĐĐH</v>
      </c>
      <c r="O1039" s="145">
        <v>46221.0</v>
      </c>
      <c r="P1039" s="146" t="s">
        <v>1568</v>
      </c>
      <c r="Q1039" s="148">
        <v>2500.0</v>
      </c>
      <c r="R1039" s="148">
        <v>17629.0</v>
      </c>
      <c r="S1039" s="149">
        <v>4.40725E7</v>
      </c>
      <c r="T1039" s="149">
        <v>3525800.0</v>
      </c>
      <c r="U1039" s="149">
        <f t="shared" si="230"/>
        <v>47598300</v>
      </c>
      <c r="V1039" s="153"/>
      <c r="W1039" s="153"/>
      <c r="X1039" s="153"/>
      <c r="Y1039" s="153"/>
      <c r="Z1039" s="153"/>
      <c r="AA1039" s="153"/>
      <c r="AB1039" s="153"/>
      <c r="AC1039" s="153"/>
      <c r="AD1039" s="153"/>
      <c r="AE1039" s="153"/>
      <c r="AF1039" s="153"/>
      <c r="AG1039" s="153"/>
      <c r="AH1039" s="153"/>
      <c r="AI1039" s="153"/>
      <c r="AJ1039" s="153"/>
      <c r="AK1039" s="153"/>
      <c r="AL1039" s="153"/>
      <c r="AM1039" s="153"/>
      <c r="AN1039" s="153"/>
      <c r="AO1039" s="153"/>
    </row>
    <row r="1040" ht="25.5" customHeight="1">
      <c r="A1040" s="145">
        <v>46223.0</v>
      </c>
      <c r="B1040" s="146" t="s">
        <v>1569</v>
      </c>
      <c r="C1040" s="146" t="s">
        <v>48</v>
      </c>
      <c r="D1040" s="146" t="s">
        <v>47</v>
      </c>
      <c r="E1040" s="159" t="s">
        <v>70</v>
      </c>
      <c r="F1040" s="146" t="s">
        <v>71</v>
      </c>
      <c r="G1040" s="147">
        <v>8000.0</v>
      </c>
      <c r="H1040" s="148">
        <v>19206.0</v>
      </c>
      <c r="I1040" s="149">
        <v>1.53648E8</v>
      </c>
      <c r="J1040" s="149">
        <v>1.229184E7</v>
      </c>
      <c r="K1040" s="149">
        <v>1.6593984E8</v>
      </c>
      <c r="L1040" s="150" t="s">
        <v>1400</v>
      </c>
      <c r="M1040" s="151" t="str">
        <f>VLOOKUP(L1040,'Đơn đặt'!$C$3:$E$275,2,0)</f>
        <v>05-09-TS</v>
      </c>
      <c r="N1040" s="151" t="str">
        <f>VLOOKUP(L1040,'Đơn đặt'!$C$3:$E$275,3,0)</f>
        <v>68-2026/TS-AVP/ĐĐH</v>
      </c>
      <c r="O1040" s="145">
        <v>46223.0</v>
      </c>
      <c r="P1040" s="146" t="s">
        <v>1570</v>
      </c>
      <c r="Q1040" s="152">
        <f>G1040</f>
        <v>8000</v>
      </c>
      <c r="R1040" s="148">
        <v>15209.2</v>
      </c>
      <c r="S1040" s="152">
        <v>1.216736E8</v>
      </c>
      <c r="T1040" s="152">
        <v>9733888.0</v>
      </c>
      <c r="U1040" s="149">
        <f t="shared" si="230"/>
        <v>131407488</v>
      </c>
      <c r="V1040" s="153"/>
      <c r="W1040" s="153"/>
      <c r="X1040" s="153"/>
      <c r="Y1040" s="153"/>
      <c r="Z1040" s="153"/>
      <c r="AA1040" s="153"/>
      <c r="AB1040" s="153"/>
      <c r="AC1040" s="153"/>
      <c r="AD1040" s="153"/>
      <c r="AE1040" s="153"/>
      <c r="AF1040" s="153"/>
      <c r="AG1040" s="153"/>
      <c r="AH1040" s="153"/>
      <c r="AI1040" s="153"/>
      <c r="AJ1040" s="153"/>
      <c r="AK1040" s="153"/>
      <c r="AL1040" s="153"/>
      <c r="AM1040" s="153"/>
      <c r="AN1040" s="153"/>
      <c r="AO1040" s="153"/>
    </row>
    <row r="1041" ht="25.5" customHeight="1">
      <c r="A1041" s="145">
        <v>46223.0</v>
      </c>
      <c r="B1041" s="146" t="s">
        <v>1569</v>
      </c>
      <c r="C1041" s="146" t="s">
        <v>50</v>
      </c>
      <c r="D1041" s="146" t="s">
        <v>49</v>
      </c>
      <c r="E1041" s="159" t="s">
        <v>70</v>
      </c>
      <c r="F1041" s="146" t="s">
        <v>71</v>
      </c>
      <c r="G1041" s="147">
        <v>2500.0</v>
      </c>
      <c r="H1041" s="148">
        <v>19206.0</v>
      </c>
      <c r="I1041" s="149">
        <v>4.8015E7</v>
      </c>
      <c r="J1041" s="149">
        <v>3841200.0</v>
      </c>
      <c r="K1041" s="149">
        <v>5.18562E7</v>
      </c>
      <c r="L1041" s="150" t="s">
        <v>1400</v>
      </c>
      <c r="M1041" s="151" t="str">
        <f>VLOOKUP(L1041,'Đơn đặt'!$C$3:$E$275,2,0)</f>
        <v>05-09-TS</v>
      </c>
      <c r="N1041" s="151" t="str">
        <f>VLOOKUP(L1041,'Đơn đặt'!$C$3:$E$275,3,0)</f>
        <v>68-2026/TS-AVP/ĐĐH</v>
      </c>
      <c r="O1041" s="145">
        <v>46223.0</v>
      </c>
      <c r="P1041" s="146" t="s">
        <v>1571</v>
      </c>
      <c r="Q1041" s="148">
        <v>2500.0</v>
      </c>
      <c r="R1041" s="148">
        <v>15209.2</v>
      </c>
      <c r="S1041" s="149">
        <v>3.8023E7</v>
      </c>
      <c r="T1041" s="149">
        <v>3041840.0</v>
      </c>
      <c r="U1041" s="149">
        <f t="shared" si="230"/>
        <v>41064840</v>
      </c>
      <c r="V1041" s="153"/>
      <c r="W1041" s="153"/>
      <c r="X1041" s="153"/>
      <c r="Y1041" s="153"/>
      <c r="Z1041" s="153"/>
      <c r="AA1041" s="153"/>
      <c r="AB1041" s="153"/>
      <c r="AC1041" s="153"/>
      <c r="AD1041" s="153"/>
      <c r="AE1041" s="153"/>
      <c r="AF1041" s="153"/>
      <c r="AG1041" s="153"/>
      <c r="AH1041" s="153"/>
      <c r="AI1041" s="153"/>
      <c r="AJ1041" s="153"/>
      <c r="AK1041" s="153"/>
      <c r="AL1041" s="153"/>
      <c r="AM1041" s="153"/>
      <c r="AN1041" s="153"/>
      <c r="AO1041" s="153"/>
    </row>
    <row r="1042" ht="25.5" customHeight="1">
      <c r="A1042" s="145">
        <v>46223.0</v>
      </c>
      <c r="B1042" s="146" t="s">
        <v>1572</v>
      </c>
      <c r="C1042" s="146" t="s">
        <v>140</v>
      </c>
      <c r="D1042" s="146" t="s">
        <v>141</v>
      </c>
      <c r="E1042" s="159" t="s">
        <v>70</v>
      </c>
      <c r="F1042" s="146" t="s">
        <v>112</v>
      </c>
      <c r="G1042" s="147">
        <v>3000.0</v>
      </c>
      <c r="H1042" s="148">
        <v>42560.0</v>
      </c>
      <c r="I1042" s="149">
        <v>1.2768E8</v>
      </c>
      <c r="J1042" s="149">
        <v>1.02144E7</v>
      </c>
      <c r="K1042" s="149">
        <v>1.378944E8</v>
      </c>
      <c r="L1042" s="150" t="s">
        <v>1573</v>
      </c>
      <c r="M1042" s="151" t="s">
        <v>844</v>
      </c>
      <c r="N1042" s="151" t="s">
        <v>845</v>
      </c>
      <c r="O1042" s="145">
        <v>46223.0</v>
      </c>
      <c r="P1042" s="146" t="s">
        <v>1574</v>
      </c>
      <c r="Q1042" s="148">
        <v>3000.0</v>
      </c>
      <c r="R1042" s="148">
        <v>38912.0</v>
      </c>
      <c r="S1042" s="149">
        <v>1.16736E8</v>
      </c>
      <c r="T1042" s="149">
        <v>9338880.0</v>
      </c>
      <c r="U1042" s="149">
        <f t="shared" si="230"/>
        <v>126074880</v>
      </c>
      <c r="V1042" s="153"/>
      <c r="W1042" s="153"/>
      <c r="X1042" s="153"/>
      <c r="Y1042" s="153"/>
      <c r="Z1042" s="153"/>
      <c r="AA1042" s="153"/>
      <c r="AB1042" s="153"/>
      <c r="AC1042" s="153"/>
      <c r="AD1042" s="153"/>
      <c r="AE1042" s="153"/>
      <c r="AF1042" s="153"/>
      <c r="AG1042" s="153"/>
      <c r="AH1042" s="153"/>
      <c r="AI1042" s="153"/>
      <c r="AJ1042" s="153"/>
      <c r="AK1042" s="153"/>
      <c r="AL1042" s="153"/>
      <c r="AM1042" s="153"/>
      <c r="AN1042" s="153"/>
      <c r="AO1042" s="153"/>
    </row>
    <row r="1043" ht="25.5" customHeight="1">
      <c r="A1043" s="145">
        <v>46223.0</v>
      </c>
      <c r="B1043" s="146" t="s">
        <v>1575</v>
      </c>
      <c r="C1043" s="146" t="s">
        <v>59</v>
      </c>
      <c r="D1043" s="146" t="s">
        <v>105</v>
      </c>
      <c r="E1043" s="159" t="s">
        <v>70</v>
      </c>
      <c r="F1043" s="146" t="s">
        <v>71</v>
      </c>
      <c r="G1043" s="147">
        <v>1200.0</v>
      </c>
      <c r="H1043" s="148">
        <v>19206.0</v>
      </c>
      <c r="I1043" s="149">
        <v>2.30472E7</v>
      </c>
      <c r="J1043" s="149">
        <v>1843776.0</v>
      </c>
      <c r="K1043" s="149">
        <v>2.4890976E7</v>
      </c>
      <c r="L1043" s="150" t="s">
        <v>1400</v>
      </c>
      <c r="M1043" s="151" t="str">
        <f>VLOOKUP(L1043,'Đơn đặt'!$C$3:$E$275,2,0)</f>
        <v>05-09-TS</v>
      </c>
      <c r="N1043" s="151" t="str">
        <f>VLOOKUP(L1043,'Đơn đặt'!$C$3:$E$275,3,0)</f>
        <v>68-2026/TS-AVP/ĐĐH</v>
      </c>
      <c r="O1043" s="145">
        <v>46223.0</v>
      </c>
      <c r="P1043" s="146" t="s">
        <v>1576</v>
      </c>
      <c r="Q1043" s="152">
        <f>G1043</f>
        <v>1200</v>
      </c>
      <c r="R1043" s="148">
        <v>17073.2</v>
      </c>
      <c r="S1043" s="152">
        <f>Q1043*R1043</f>
        <v>20487840</v>
      </c>
      <c r="T1043" s="152">
        <f>S1043*8%</f>
        <v>1639027.2</v>
      </c>
      <c r="U1043" s="149">
        <f t="shared" si="230"/>
        <v>22126867.2</v>
      </c>
      <c r="V1043" s="153"/>
      <c r="W1043" s="153"/>
      <c r="X1043" s="153"/>
      <c r="Y1043" s="153"/>
      <c r="Z1043" s="153"/>
      <c r="AA1043" s="153"/>
      <c r="AB1043" s="153"/>
      <c r="AC1043" s="153"/>
      <c r="AD1043" s="153"/>
      <c r="AE1043" s="153"/>
      <c r="AF1043" s="153"/>
      <c r="AG1043" s="153"/>
      <c r="AH1043" s="153"/>
      <c r="AI1043" s="153"/>
      <c r="AJ1043" s="153"/>
      <c r="AK1043" s="153"/>
      <c r="AL1043" s="153"/>
      <c r="AM1043" s="153"/>
      <c r="AN1043" s="153"/>
      <c r="AO1043" s="153"/>
    </row>
    <row r="1044" ht="25.5" customHeight="1">
      <c r="A1044" s="145">
        <v>46223.0</v>
      </c>
      <c r="B1044" s="146" t="s">
        <v>1575</v>
      </c>
      <c r="C1044" s="146" t="s">
        <v>14</v>
      </c>
      <c r="D1044" s="146" t="s">
        <v>13</v>
      </c>
      <c r="E1044" s="159" t="s">
        <v>70</v>
      </c>
      <c r="F1044" s="146" t="s">
        <v>71</v>
      </c>
      <c r="G1044" s="147">
        <v>2000.0</v>
      </c>
      <c r="H1044" s="148">
        <v>20374.0</v>
      </c>
      <c r="I1044" s="149">
        <v>4.0748E7</v>
      </c>
      <c r="J1044" s="149">
        <v>3259840.0</v>
      </c>
      <c r="K1044" s="149">
        <v>4.400784E7</v>
      </c>
      <c r="L1044" s="150" t="s">
        <v>1400</v>
      </c>
      <c r="M1044" s="151" t="str">
        <f>VLOOKUP(L1044,'Đơn đặt'!$C$3:$E$275,2,0)</f>
        <v>05-09-TS</v>
      </c>
      <c r="N1044" s="151" t="str">
        <f>VLOOKUP(L1044,'Đơn đặt'!$C$3:$E$275,3,0)</f>
        <v>68-2026/TS-AVP/ĐĐH</v>
      </c>
      <c r="O1044" s="145">
        <v>46223.0</v>
      </c>
      <c r="P1044" s="146" t="s">
        <v>1576</v>
      </c>
      <c r="Q1044" s="148">
        <v>2000.0</v>
      </c>
      <c r="R1044" s="148">
        <v>18666.8</v>
      </c>
      <c r="S1044" s="149">
        <v>3.73336E7</v>
      </c>
      <c r="T1044" s="149">
        <v>2986688.0</v>
      </c>
      <c r="U1044" s="149">
        <f t="shared" si="230"/>
        <v>40320288</v>
      </c>
      <c r="V1044" s="153"/>
      <c r="W1044" s="153"/>
      <c r="X1044" s="153"/>
      <c r="Y1044" s="153"/>
      <c r="Z1044" s="153"/>
      <c r="AA1044" s="153"/>
      <c r="AB1044" s="153"/>
      <c r="AC1044" s="153"/>
      <c r="AD1044" s="153"/>
      <c r="AE1044" s="153"/>
      <c r="AF1044" s="153"/>
      <c r="AG1044" s="153"/>
      <c r="AH1044" s="153"/>
      <c r="AI1044" s="153"/>
      <c r="AJ1044" s="153"/>
      <c r="AK1044" s="153"/>
      <c r="AL1044" s="153"/>
      <c r="AM1044" s="153"/>
      <c r="AN1044" s="153"/>
      <c r="AO1044" s="153"/>
    </row>
    <row r="1045" ht="25.5" customHeight="1">
      <c r="A1045" s="145">
        <v>46223.0</v>
      </c>
      <c r="B1045" s="146" t="s">
        <v>1577</v>
      </c>
      <c r="C1045" s="146" t="s">
        <v>59</v>
      </c>
      <c r="D1045" s="146" t="s">
        <v>105</v>
      </c>
      <c r="E1045" s="159" t="s">
        <v>70</v>
      </c>
      <c r="F1045" s="146" t="s">
        <v>71</v>
      </c>
      <c r="G1045" s="147">
        <v>1380.0</v>
      </c>
      <c r="H1045" s="148">
        <v>19206.0</v>
      </c>
      <c r="I1045" s="149">
        <v>2.650428E7</v>
      </c>
      <c r="J1045" s="149">
        <v>2120342.0</v>
      </c>
      <c r="K1045" s="149">
        <v>2.8624622E7</v>
      </c>
      <c r="L1045" s="150" t="s">
        <v>1400</v>
      </c>
      <c r="M1045" s="151" t="str">
        <f>VLOOKUP(L1045,'Đơn đặt'!$C$3:$E$275,2,0)</f>
        <v>05-09-TS</v>
      </c>
      <c r="N1045" s="151" t="str">
        <f>VLOOKUP(L1045,'Đơn đặt'!$C$3:$E$275,3,0)</f>
        <v>68-2026/TS-AVP/ĐĐH</v>
      </c>
      <c r="O1045" s="145">
        <v>46223.0</v>
      </c>
      <c r="P1045" s="146" t="s">
        <v>1576</v>
      </c>
      <c r="Q1045" s="152">
        <f>G1045</f>
        <v>1380</v>
      </c>
      <c r="R1045" s="148">
        <v>17073.2</v>
      </c>
      <c r="S1045" s="152">
        <f>Q1045*R1045</f>
        <v>23561016</v>
      </c>
      <c r="T1045" s="152">
        <f>S1045*8%</f>
        <v>1884881.28</v>
      </c>
      <c r="U1045" s="149">
        <f t="shared" si="230"/>
        <v>25445897.28</v>
      </c>
      <c r="V1045" s="153"/>
      <c r="W1045" s="153"/>
      <c r="X1045" s="153"/>
      <c r="Y1045" s="153"/>
      <c r="Z1045" s="153"/>
      <c r="AA1045" s="153"/>
      <c r="AB1045" s="153"/>
      <c r="AC1045" s="153"/>
      <c r="AD1045" s="153"/>
      <c r="AE1045" s="153"/>
      <c r="AF1045" s="153"/>
      <c r="AG1045" s="153"/>
      <c r="AH1045" s="153"/>
      <c r="AI1045" s="153"/>
      <c r="AJ1045" s="153"/>
      <c r="AK1045" s="153"/>
      <c r="AL1045" s="153"/>
      <c r="AM1045" s="153"/>
      <c r="AN1045" s="153"/>
      <c r="AO1045" s="153"/>
    </row>
    <row r="1046" ht="25.5" customHeight="1">
      <c r="A1046" s="145">
        <v>46224.0</v>
      </c>
      <c r="B1046" s="146" t="s">
        <v>1578</v>
      </c>
      <c r="C1046" s="146" t="s">
        <v>3</v>
      </c>
      <c r="D1046" s="146" t="s">
        <v>164</v>
      </c>
      <c r="E1046" s="159" t="s">
        <v>70</v>
      </c>
      <c r="F1046" s="146" t="s">
        <v>112</v>
      </c>
      <c r="G1046" s="147">
        <v>5000.0</v>
      </c>
      <c r="H1046" s="148">
        <v>42560.0</v>
      </c>
      <c r="I1046" s="149">
        <v>2.128E8</v>
      </c>
      <c r="J1046" s="149">
        <v>1.7024E7</v>
      </c>
      <c r="K1046" s="149">
        <v>2.29824E8</v>
      </c>
      <c r="L1046" s="150" t="s">
        <v>1579</v>
      </c>
      <c r="M1046" s="151" t="s">
        <v>844</v>
      </c>
      <c r="N1046" s="151" t="s">
        <v>845</v>
      </c>
      <c r="O1046" s="145">
        <v>46224.0</v>
      </c>
      <c r="P1046" s="146" t="s">
        <v>1580</v>
      </c>
      <c r="Q1046" s="148">
        <v>5000.0</v>
      </c>
      <c r="R1046" s="148">
        <v>38912.0</v>
      </c>
      <c r="S1046" s="149">
        <v>1.9456E8</v>
      </c>
      <c r="T1046" s="149">
        <v>1.55648E7</v>
      </c>
      <c r="U1046" s="149">
        <f t="shared" si="230"/>
        <v>210124800</v>
      </c>
      <c r="V1046" s="153"/>
      <c r="W1046" s="153"/>
      <c r="X1046" s="153"/>
      <c r="Y1046" s="153"/>
      <c r="Z1046" s="153"/>
      <c r="AA1046" s="153"/>
      <c r="AB1046" s="153"/>
      <c r="AC1046" s="153"/>
      <c r="AD1046" s="153"/>
      <c r="AE1046" s="153"/>
      <c r="AF1046" s="153"/>
      <c r="AG1046" s="153"/>
      <c r="AH1046" s="153"/>
      <c r="AI1046" s="153"/>
      <c r="AJ1046" s="153"/>
      <c r="AK1046" s="153"/>
      <c r="AL1046" s="153"/>
      <c r="AM1046" s="153"/>
      <c r="AN1046" s="153"/>
      <c r="AO1046" s="153"/>
    </row>
    <row r="1047" ht="25.5" customHeight="1">
      <c r="A1047" s="145">
        <v>46224.0</v>
      </c>
      <c r="B1047" s="146" t="s">
        <v>1025</v>
      </c>
      <c r="C1047" s="146" t="s">
        <v>272</v>
      </c>
      <c r="D1047" s="146" t="s">
        <v>273</v>
      </c>
      <c r="E1047" s="159" t="s">
        <v>70</v>
      </c>
      <c r="F1047" s="146" t="s">
        <v>71</v>
      </c>
      <c r="G1047" s="147">
        <v>1700.0</v>
      </c>
      <c r="H1047" s="148">
        <v>18191.0</v>
      </c>
      <c r="I1047" s="149">
        <v>3.09247E7</v>
      </c>
      <c r="J1047" s="149">
        <v>2473976.0</v>
      </c>
      <c r="K1047" s="149">
        <v>3.3398676E7</v>
      </c>
      <c r="L1047" s="150" t="s">
        <v>1581</v>
      </c>
      <c r="M1047" s="151" t="str">
        <f>VLOOKUP(L1047,'Đơn đặt'!$C$3:$E$275,2,0)</f>
        <v>05-07-TS</v>
      </c>
      <c r="N1047" s="151" t="str">
        <f>VLOOKUP(L1047,'Đơn đặt'!$C$3:$E$275,3,0)</f>
        <v>65-2026/TS-AVP/ĐĐH</v>
      </c>
      <c r="O1047" s="145">
        <v>46224.0</v>
      </c>
      <c r="P1047" s="146" t="s">
        <v>1582</v>
      </c>
      <c r="Q1047" s="152">
        <f>G1047</f>
        <v>1700</v>
      </c>
      <c r="R1047" s="148">
        <v>17334.2</v>
      </c>
      <c r="S1047" s="152">
        <f>Q1047*R1047</f>
        <v>29468140</v>
      </c>
      <c r="T1047" s="152">
        <f>S1047*8%</f>
        <v>2357451.2</v>
      </c>
      <c r="U1047" s="149">
        <f t="shared" si="230"/>
        <v>31825591.2</v>
      </c>
      <c r="V1047" s="153"/>
      <c r="W1047" s="153"/>
      <c r="X1047" s="153"/>
      <c r="Y1047" s="153"/>
      <c r="Z1047" s="153"/>
      <c r="AA1047" s="153"/>
      <c r="AB1047" s="153"/>
      <c r="AC1047" s="153"/>
      <c r="AD1047" s="153"/>
      <c r="AE1047" s="153"/>
      <c r="AF1047" s="153"/>
      <c r="AG1047" s="153"/>
      <c r="AH1047" s="153"/>
      <c r="AI1047" s="153"/>
      <c r="AJ1047" s="153"/>
      <c r="AK1047" s="153"/>
      <c r="AL1047" s="153"/>
      <c r="AM1047" s="153"/>
      <c r="AN1047" s="153"/>
      <c r="AO1047" s="153"/>
    </row>
    <row r="1048" ht="25.5" customHeight="1">
      <c r="A1048" s="145">
        <v>46224.0</v>
      </c>
      <c r="B1048" s="146" t="s">
        <v>1025</v>
      </c>
      <c r="C1048" s="146" t="s">
        <v>222</v>
      </c>
      <c r="D1048" s="146" t="s">
        <v>223</v>
      </c>
      <c r="E1048" s="159" t="s">
        <v>70</v>
      </c>
      <c r="F1048" s="146" t="s">
        <v>71</v>
      </c>
      <c r="G1048" s="147">
        <v>1500.0</v>
      </c>
      <c r="H1048" s="148">
        <v>20276.0</v>
      </c>
      <c r="I1048" s="149">
        <v>3.0414E7</v>
      </c>
      <c r="J1048" s="149">
        <v>2433120.0</v>
      </c>
      <c r="K1048" s="149">
        <v>3.284712E7</v>
      </c>
      <c r="L1048" s="150" t="s">
        <v>1417</v>
      </c>
      <c r="M1048" s="151" t="str">
        <f>VLOOKUP(L1048,'Đơn đặt'!$C$3:$E$275,2,0)</f>
        <v>03-18-TS</v>
      </c>
      <c r="N1048" s="151" t="str">
        <f>VLOOKUP(L1048,'Đơn đặt'!$C$3:$E$275,3,0)</f>
        <v>55-2026/TS-AVP/ĐĐH</v>
      </c>
      <c r="O1048" s="145">
        <v>46224.0</v>
      </c>
      <c r="P1048" s="146" t="s">
        <v>1582</v>
      </c>
      <c r="Q1048" s="148">
        <v>1500.0</v>
      </c>
      <c r="R1048" s="148">
        <v>18311.2</v>
      </c>
      <c r="S1048" s="149">
        <v>2.74668E7</v>
      </c>
      <c r="T1048" s="149">
        <v>2197344.0</v>
      </c>
      <c r="U1048" s="149">
        <f t="shared" si="230"/>
        <v>29664144</v>
      </c>
      <c r="V1048" s="153"/>
      <c r="W1048" s="153"/>
      <c r="X1048" s="153"/>
      <c r="Y1048" s="153"/>
      <c r="Z1048" s="153"/>
      <c r="AA1048" s="153"/>
      <c r="AB1048" s="153"/>
      <c r="AC1048" s="153"/>
      <c r="AD1048" s="153"/>
      <c r="AE1048" s="153"/>
      <c r="AF1048" s="153"/>
      <c r="AG1048" s="153"/>
      <c r="AH1048" s="153"/>
      <c r="AI1048" s="153"/>
      <c r="AJ1048" s="153"/>
      <c r="AK1048" s="153"/>
      <c r="AL1048" s="153"/>
      <c r="AM1048" s="153"/>
      <c r="AN1048" s="153"/>
      <c r="AO1048" s="153"/>
    </row>
    <row r="1049" ht="25.5" customHeight="1">
      <c r="A1049" s="145">
        <v>46224.0</v>
      </c>
      <c r="B1049" s="146" t="s">
        <v>1027</v>
      </c>
      <c r="C1049" s="146" t="s">
        <v>59</v>
      </c>
      <c r="D1049" s="146" t="s">
        <v>105</v>
      </c>
      <c r="E1049" s="159" t="s">
        <v>70</v>
      </c>
      <c r="F1049" s="146" t="s">
        <v>71</v>
      </c>
      <c r="G1049" s="147">
        <v>1600.0</v>
      </c>
      <c r="H1049" s="148">
        <v>19206.0</v>
      </c>
      <c r="I1049" s="149">
        <v>3.07296E7</v>
      </c>
      <c r="J1049" s="149">
        <v>2458368.0</v>
      </c>
      <c r="K1049" s="149">
        <v>3.3187968E7</v>
      </c>
      <c r="L1049" s="150" t="s">
        <v>1400</v>
      </c>
      <c r="M1049" s="151" t="str">
        <f>VLOOKUP(L1049,'Đơn đặt'!$C$3:$E$275,2,0)</f>
        <v>05-09-TS</v>
      </c>
      <c r="N1049" s="151" t="str">
        <f>VLOOKUP(L1049,'Đơn đặt'!$C$3:$E$275,3,0)</f>
        <v>68-2026/TS-AVP/ĐĐH</v>
      </c>
      <c r="O1049" s="145">
        <v>46224.0</v>
      </c>
      <c r="P1049" s="146" t="s">
        <v>1582</v>
      </c>
      <c r="Q1049" s="148">
        <v>1600.0</v>
      </c>
      <c r="R1049" s="148">
        <v>17073.2</v>
      </c>
      <c r="S1049" s="149">
        <v>2.731712E7</v>
      </c>
      <c r="T1049" s="149">
        <v>2185369.0</v>
      </c>
      <c r="U1049" s="149">
        <f t="shared" si="230"/>
        <v>29502489</v>
      </c>
      <c r="V1049" s="153"/>
      <c r="W1049" s="153"/>
      <c r="X1049" s="153"/>
      <c r="Y1049" s="153"/>
      <c r="Z1049" s="153"/>
      <c r="AA1049" s="153"/>
      <c r="AB1049" s="153"/>
      <c r="AC1049" s="153"/>
      <c r="AD1049" s="153"/>
      <c r="AE1049" s="153"/>
      <c r="AF1049" s="153"/>
      <c r="AG1049" s="153"/>
      <c r="AH1049" s="153"/>
      <c r="AI1049" s="153"/>
      <c r="AJ1049" s="153"/>
      <c r="AK1049" s="153"/>
      <c r="AL1049" s="153"/>
      <c r="AM1049" s="153"/>
      <c r="AN1049" s="153"/>
      <c r="AO1049" s="153"/>
    </row>
    <row r="1050" ht="25.5" customHeight="1">
      <c r="A1050" s="145">
        <v>46224.0</v>
      </c>
      <c r="B1050" s="146" t="s">
        <v>1021</v>
      </c>
      <c r="C1050" s="146" t="s">
        <v>119</v>
      </c>
      <c r="D1050" s="146" t="s">
        <v>120</v>
      </c>
      <c r="E1050" s="159" t="s">
        <v>70</v>
      </c>
      <c r="F1050" s="146" t="s">
        <v>71</v>
      </c>
      <c r="G1050" s="147">
        <v>2460.0</v>
      </c>
      <c r="H1050" s="148">
        <v>20276.0</v>
      </c>
      <c r="I1050" s="149">
        <v>4.987896E7</v>
      </c>
      <c r="J1050" s="149">
        <v>3990317.0</v>
      </c>
      <c r="K1050" s="149">
        <v>5.3869277E7</v>
      </c>
      <c r="L1050" s="150" t="s">
        <v>1581</v>
      </c>
      <c r="M1050" s="151" t="str">
        <f>VLOOKUP(L1050,'Đơn đặt'!$C$3:$E$275,2,0)</f>
        <v>05-07-TS</v>
      </c>
      <c r="N1050" s="151" t="str">
        <f>VLOOKUP(L1050,'Đơn đặt'!$C$3:$E$275,3,0)</f>
        <v>65-2026/TS-AVP/ĐĐH</v>
      </c>
      <c r="O1050" s="145">
        <v>46224.0</v>
      </c>
      <c r="P1050" s="146" t="s">
        <v>1582</v>
      </c>
      <c r="Q1050" s="148">
        <v>2460.0</v>
      </c>
      <c r="R1050" s="148">
        <v>18311.2</v>
      </c>
      <c r="S1050" s="149">
        <v>4.5045552E7</v>
      </c>
      <c r="T1050" s="149">
        <v>3603644.0</v>
      </c>
      <c r="U1050" s="149">
        <f t="shared" si="230"/>
        <v>48649196</v>
      </c>
      <c r="V1050" s="153"/>
      <c r="W1050" s="153"/>
      <c r="X1050" s="153"/>
      <c r="Y1050" s="153"/>
      <c r="Z1050" s="153"/>
      <c r="AA1050" s="153"/>
      <c r="AB1050" s="153"/>
      <c r="AC1050" s="153"/>
      <c r="AD1050" s="153"/>
      <c r="AE1050" s="153"/>
      <c r="AF1050" s="153"/>
      <c r="AG1050" s="153"/>
      <c r="AH1050" s="153"/>
      <c r="AI1050" s="153"/>
      <c r="AJ1050" s="153"/>
      <c r="AK1050" s="153"/>
      <c r="AL1050" s="153"/>
      <c r="AM1050" s="153"/>
      <c r="AN1050" s="153"/>
      <c r="AO1050" s="153"/>
    </row>
    <row r="1051" ht="25.5" customHeight="1">
      <c r="A1051" s="145">
        <v>46224.0</v>
      </c>
      <c r="B1051" s="146" t="s">
        <v>1021</v>
      </c>
      <c r="C1051" s="146" t="s">
        <v>206</v>
      </c>
      <c r="D1051" s="146" t="s">
        <v>207</v>
      </c>
      <c r="E1051" s="159" t="s">
        <v>70</v>
      </c>
      <c r="F1051" s="146" t="s">
        <v>71</v>
      </c>
      <c r="G1051" s="147">
        <v>2500.0</v>
      </c>
      <c r="H1051" s="148">
        <v>19041.0</v>
      </c>
      <c r="I1051" s="149">
        <v>4.76025E7</v>
      </c>
      <c r="J1051" s="149">
        <v>3808200.0</v>
      </c>
      <c r="K1051" s="149">
        <v>5.14107E7</v>
      </c>
      <c r="L1051" s="150" t="s">
        <v>1417</v>
      </c>
      <c r="M1051" s="151" t="str">
        <f>VLOOKUP(L1051,'Đơn đặt'!$C$3:$E$275,2,0)</f>
        <v>03-18-TS</v>
      </c>
      <c r="N1051" s="151" t="str">
        <f>VLOOKUP(L1051,'Đơn đặt'!$C$3:$E$275,3,0)</f>
        <v>55-2026/TS-AVP/ĐĐH</v>
      </c>
      <c r="O1051" s="145">
        <v>46224.0</v>
      </c>
      <c r="P1051" s="146" t="s">
        <v>1582</v>
      </c>
      <c r="Q1051" s="148">
        <v>2500.0</v>
      </c>
      <c r="R1051" s="148">
        <v>18064.2</v>
      </c>
      <c r="S1051" s="149">
        <v>4.51605E7</v>
      </c>
      <c r="T1051" s="149">
        <v>3612840.0</v>
      </c>
      <c r="U1051" s="149">
        <f t="shared" si="230"/>
        <v>48773340</v>
      </c>
      <c r="V1051" s="153"/>
      <c r="W1051" s="153"/>
      <c r="X1051" s="153"/>
      <c r="Y1051" s="153"/>
      <c r="Z1051" s="153"/>
      <c r="AA1051" s="153"/>
      <c r="AB1051" s="153"/>
      <c r="AC1051" s="153"/>
      <c r="AD1051" s="153"/>
      <c r="AE1051" s="153"/>
      <c r="AF1051" s="153"/>
      <c r="AG1051" s="153"/>
      <c r="AH1051" s="153"/>
      <c r="AI1051" s="153"/>
      <c r="AJ1051" s="153"/>
      <c r="AK1051" s="153"/>
      <c r="AL1051" s="153"/>
      <c r="AM1051" s="153"/>
      <c r="AN1051" s="153"/>
      <c r="AO1051" s="153"/>
    </row>
    <row r="1052" ht="25.5" customHeight="1">
      <c r="A1052" s="145">
        <v>46224.0</v>
      </c>
      <c r="B1052" s="146" t="s">
        <v>1021</v>
      </c>
      <c r="C1052" s="146" t="s">
        <v>272</v>
      </c>
      <c r="D1052" s="146" t="s">
        <v>273</v>
      </c>
      <c r="E1052" s="159" t="s">
        <v>70</v>
      </c>
      <c r="F1052" s="146" t="s">
        <v>71</v>
      </c>
      <c r="G1052" s="147">
        <v>300.0</v>
      </c>
      <c r="H1052" s="148">
        <v>18191.0</v>
      </c>
      <c r="I1052" s="149">
        <v>5457300.0</v>
      </c>
      <c r="J1052" s="149">
        <v>436584.0</v>
      </c>
      <c r="K1052" s="149">
        <v>5893884.0</v>
      </c>
      <c r="L1052" s="150" t="s">
        <v>1581</v>
      </c>
      <c r="M1052" s="151" t="str">
        <f>VLOOKUP(L1052,'Đơn đặt'!$C$3:$E$275,2,0)</f>
        <v>05-07-TS</v>
      </c>
      <c r="N1052" s="151" t="str">
        <f>VLOOKUP(L1052,'Đơn đặt'!$C$3:$E$275,3,0)</f>
        <v>65-2026/TS-AVP/ĐĐH</v>
      </c>
      <c r="O1052" s="145">
        <v>46224.0</v>
      </c>
      <c r="P1052" s="146" t="s">
        <v>1582</v>
      </c>
      <c r="Q1052" s="152">
        <f>G1052</f>
        <v>300</v>
      </c>
      <c r="R1052" s="148">
        <v>17334.2</v>
      </c>
      <c r="S1052" s="152">
        <f>Q1052*R1052</f>
        <v>5200260</v>
      </c>
      <c r="T1052" s="152">
        <f>S1052*8%</f>
        <v>416020.8</v>
      </c>
      <c r="U1052" s="149">
        <f t="shared" si="230"/>
        <v>5616280.8</v>
      </c>
      <c r="V1052" s="153"/>
      <c r="W1052" s="153"/>
      <c r="X1052" s="153"/>
      <c r="Y1052" s="153"/>
      <c r="Z1052" s="153"/>
      <c r="AA1052" s="153"/>
      <c r="AB1052" s="153"/>
      <c r="AC1052" s="153"/>
      <c r="AD1052" s="153"/>
      <c r="AE1052" s="153"/>
      <c r="AF1052" s="153"/>
      <c r="AG1052" s="153"/>
      <c r="AH1052" s="153"/>
      <c r="AI1052" s="153"/>
      <c r="AJ1052" s="153"/>
      <c r="AK1052" s="153"/>
      <c r="AL1052" s="153"/>
      <c r="AM1052" s="153"/>
      <c r="AN1052" s="153"/>
      <c r="AO1052" s="153"/>
    </row>
    <row r="1053" ht="25.5" customHeight="1">
      <c r="A1053" s="145">
        <v>46224.0</v>
      </c>
      <c r="B1053" s="146" t="s">
        <v>1021</v>
      </c>
      <c r="C1053" s="146" t="s">
        <v>14</v>
      </c>
      <c r="D1053" s="146" t="s">
        <v>13</v>
      </c>
      <c r="E1053" s="159" t="s">
        <v>70</v>
      </c>
      <c r="F1053" s="146" t="s">
        <v>71</v>
      </c>
      <c r="G1053" s="147">
        <v>400.0</v>
      </c>
      <c r="H1053" s="148">
        <v>20374.0</v>
      </c>
      <c r="I1053" s="149">
        <v>8149600.0</v>
      </c>
      <c r="J1053" s="149">
        <v>651968.0</v>
      </c>
      <c r="K1053" s="149">
        <v>8801568.0</v>
      </c>
      <c r="L1053" s="150" t="s">
        <v>1400</v>
      </c>
      <c r="M1053" s="151" t="str">
        <f>VLOOKUP(L1053,'Đơn đặt'!$C$3:$E$275,2,0)</f>
        <v>05-09-TS</v>
      </c>
      <c r="N1053" s="151" t="str">
        <f>VLOOKUP(L1053,'Đơn đặt'!$C$3:$E$275,3,0)</f>
        <v>68-2026/TS-AVP/ĐĐH</v>
      </c>
      <c r="O1053" s="145">
        <v>46224.0</v>
      </c>
      <c r="P1053" s="146" t="s">
        <v>1582</v>
      </c>
      <c r="Q1053" s="148">
        <v>400.0</v>
      </c>
      <c r="R1053" s="148">
        <v>18666.8</v>
      </c>
      <c r="S1053" s="149">
        <v>7466720.0</v>
      </c>
      <c r="T1053" s="149">
        <v>597338.0</v>
      </c>
      <c r="U1053" s="149">
        <f t="shared" si="230"/>
        <v>8064058</v>
      </c>
      <c r="V1053" s="153"/>
      <c r="W1053" s="153"/>
      <c r="X1053" s="153"/>
      <c r="Y1053" s="153"/>
      <c r="Z1053" s="153"/>
      <c r="AA1053" s="153"/>
      <c r="AB1053" s="153"/>
      <c r="AC1053" s="153"/>
      <c r="AD1053" s="153"/>
      <c r="AE1053" s="153"/>
      <c r="AF1053" s="153"/>
      <c r="AG1053" s="153"/>
      <c r="AH1053" s="153"/>
      <c r="AI1053" s="153"/>
      <c r="AJ1053" s="153"/>
      <c r="AK1053" s="153"/>
      <c r="AL1053" s="153"/>
      <c r="AM1053" s="153"/>
      <c r="AN1053" s="153"/>
      <c r="AO1053" s="153"/>
    </row>
    <row r="1054" ht="25.5" customHeight="1">
      <c r="A1054" s="145">
        <v>46224.0</v>
      </c>
      <c r="B1054" s="146" t="s">
        <v>1583</v>
      </c>
      <c r="C1054" s="146" t="s">
        <v>492</v>
      </c>
      <c r="D1054" s="146" t="s">
        <v>493</v>
      </c>
      <c r="E1054" s="159" t="s">
        <v>70</v>
      </c>
      <c r="F1054" s="146" t="s">
        <v>819</v>
      </c>
      <c r="G1054" s="147">
        <v>588.0</v>
      </c>
      <c r="H1054" s="148">
        <v>319505.0</v>
      </c>
      <c r="I1054" s="149">
        <v>1.8786894E8</v>
      </c>
      <c r="J1054" s="149">
        <v>1.5029515E7</v>
      </c>
      <c r="K1054" s="149">
        <v>2.02898455E8</v>
      </c>
      <c r="L1054" s="150" t="s">
        <v>1584</v>
      </c>
      <c r="M1054" s="151" t="s">
        <v>876</v>
      </c>
      <c r="N1054" s="151" t="s">
        <v>877</v>
      </c>
      <c r="O1054" s="145">
        <v>46224.0</v>
      </c>
      <c r="P1054" s="146" t="s">
        <v>1582</v>
      </c>
      <c r="Q1054" s="148">
        <v>588.0</v>
      </c>
      <c r="R1054" s="148">
        <v>293221.0</v>
      </c>
      <c r="S1054" s="149">
        <v>1.72413948E8</v>
      </c>
      <c r="T1054" s="149">
        <v>1.3793116E7</v>
      </c>
      <c r="U1054" s="149">
        <f t="shared" si="230"/>
        <v>186207064</v>
      </c>
      <c r="V1054" s="153"/>
      <c r="W1054" s="153"/>
      <c r="X1054" s="153"/>
      <c r="Y1054" s="153"/>
      <c r="Z1054" s="153"/>
      <c r="AA1054" s="153"/>
      <c r="AB1054" s="153"/>
      <c r="AC1054" s="153"/>
      <c r="AD1054" s="153"/>
      <c r="AE1054" s="153"/>
      <c r="AF1054" s="153"/>
      <c r="AG1054" s="153"/>
      <c r="AH1054" s="153"/>
      <c r="AI1054" s="153"/>
      <c r="AJ1054" s="153"/>
      <c r="AK1054" s="153"/>
      <c r="AL1054" s="153"/>
      <c r="AM1054" s="153"/>
      <c r="AN1054" s="153"/>
      <c r="AO1054" s="153"/>
    </row>
    <row r="1055" ht="25.5" customHeight="1">
      <c r="A1055" s="145">
        <v>46225.0</v>
      </c>
      <c r="B1055" s="146" t="s">
        <v>1585</v>
      </c>
      <c r="C1055" s="146" t="s">
        <v>48</v>
      </c>
      <c r="D1055" s="146" t="s">
        <v>47</v>
      </c>
      <c r="E1055" s="159" t="s">
        <v>70</v>
      </c>
      <c r="F1055" s="146" t="s">
        <v>71</v>
      </c>
      <c r="G1055" s="147">
        <v>3040.0</v>
      </c>
      <c r="H1055" s="148">
        <v>19206.0</v>
      </c>
      <c r="I1055" s="149">
        <v>5.838624E7</v>
      </c>
      <c r="J1055" s="149">
        <v>4670899.0</v>
      </c>
      <c r="K1055" s="149">
        <v>6.3057139E7</v>
      </c>
      <c r="L1055" s="150" t="s">
        <v>1400</v>
      </c>
      <c r="M1055" s="151" t="str">
        <f>VLOOKUP(L1055,'Đơn đặt'!$C$3:$E$275,2,0)</f>
        <v>05-09-TS</v>
      </c>
      <c r="N1055" s="151" t="str">
        <f>VLOOKUP(L1055,'Đơn đặt'!$C$3:$E$275,3,0)</f>
        <v>68-2026/TS-AVP/ĐĐH</v>
      </c>
      <c r="O1055" s="145">
        <v>46225.0</v>
      </c>
      <c r="P1055" s="146" t="s">
        <v>1586</v>
      </c>
      <c r="Q1055" s="148">
        <v>3040.0</v>
      </c>
      <c r="R1055" s="148">
        <v>15209.2</v>
      </c>
      <c r="S1055" s="149">
        <v>4.6235968E7</v>
      </c>
      <c r="T1055" s="149">
        <v>3698877.0</v>
      </c>
      <c r="U1055" s="149">
        <f t="shared" si="230"/>
        <v>49934845</v>
      </c>
      <c r="V1055" s="153"/>
      <c r="W1055" s="153"/>
      <c r="X1055" s="153"/>
      <c r="Y1055" s="153"/>
      <c r="Z1055" s="153"/>
      <c r="AA1055" s="153"/>
      <c r="AB1055" s="153"/>
      <c r="AC1055" s="153"/>
      <c r="AD1055" s="153"/>
      <c r="AE1055" s="153"/>
      <c r="AF1055" s="153"/>
      <c r="AG1055" s="153"/>
      <c r="AH1055" s="153"/>
      <c r="AI1055" s="153"/>
      <c r="AJ1055" s="153"/>
      <c r="AK1055" s="153"/>
      <c r="AL1055" s="153"/>
      <c r="AM1055" s="153"/>
      <c r="AN1055" s="153"/>
      <c r="AO1055" s="153"/>
    </row>
    <row r="1056" ht="25.5" customHeight="1">
      <c r="A1056" s="145">
        <v>46225.0</v>
      </c>
      <c r="B1056" s="146" t="s">
        <v>1585</v>
      </c>
      <c r="C1056" s="146" t="s">
        <v>50</v>
      </c>
      <c r="D1056" s="146" t="s">
        <v>49</v>
      </c>
      <c r="E1056" s="159" t="s">
        <v>70</v>
      </c>
      <c r="F1056" s="146" t="s">
        <v>71</v>
      </c>
      <c r="G1056" s="147">
        <v>1500.0</v>
      </c>
      <c r="H1056" s="148">
        <v>19206.0</v>
      </c>
      <c r="I1056" s="149">
        <v>2.8809E7</v>
      </c>
      <c r="J1056" s="149">
        <v>2304720.0</v>
      </c>
      <c r="K1056" s="149">
        <v>3.111372E7</v>
      </c>
      <c r="L1056" s="150" t="s">
        <v>1400</v>
      </c>
      <c r="M1056" s="151" t="str">
        <f>VLOOKUP(L1056,'Đơn đặt'!$C$3:$E$275,2,0)</f>
        <v>05-09-TS</v>
      </c>
      <c r="N1056" s="151" t="str">
        <f>VLOOKUP(L1056,'Đơn đặt'!$C$3:$E$275,3,0)</f>
        <v>68-2026/TS-AVP/ĐĐH</v>
      </c>
      <c r="O1056" s="145">
        <v>46225.0</v>
      </c>
      <c r="P1056" s="146" t="s">
        <v>1586</v>
      </c>
      <c r="Q1056" s="148">
        <v>1500.0</v>
      </c>
      <c r="R1056" s="148">
        <v>15209.2</v>
      </c>
      <c r="S1056" s="149">
        <v>2.28138E7</v>
      </c>
      <c r="T1056" s="149">
        <v>1825104.0</v>
      </c>
      <c r="U1056" s="149">
        <f t="shared" si="230"/>
        <v>24638904</v>
      </c>
      <c r="V1056" s="153"/>
      <c r="W1056" s="153"/>
      <c r="X1056" s="153"/>
      <c r="Y1056" s="153"/>
      <c r="Z1056" s="153"/>
      <c r="AA1056" s="153"/>
      <c r="AB1056" s="153"/>
      <c r="AC1056" s="153"/>
      <c r="AD1056" s="153"/>
      <c r="AE1056" s="153"/>
      <c r="AF1056" s="153"/>
      <c r="AG1056" s="153"/>
      <c r="AH1056" s="153"/>
      <c r="AI1056" s="153"/>
      <c r="AJ1056" s="153"/>
      <c r="AK1056" s="153"/>
      <c r="AL1056" s="153"/>
      <c r="AM1056" s="153"/>
      <c r="AN1056" s="153"/>
      <c r="AO1056" s="153"/>
    </row>
    <row r="1057" ht="25.5" customHeight="1">
      <c r="A1057" s="145">
        <v>46225.0</v>
      </c>
      <c r="B1057" s="146" t="s">
        <v>1587</v>
      </c>
      <c r="C1057" s="146" t="s">
        <v>48</v>
      </c>
      <c r="D1057" s="146" t="s">
        <v>47</v>
      </c>
      <c r="E1057" s="159" t="s">
        <v>70</v>
      </c>
      <c r="F1057" s="146" t="s">
        <v>71</v>
      </c>
      <c r="G1057" s="147">
        <v>5460.0</v>
      </c>
      <c r="H1057" s="148">
        <v>19206.0</v>
      </c>
      <c r="I1057" s="149">
        <v>1.0486476E8</v>
      </c>
      <c r="J1057" s="149">
        <v>8389181.0</v>
      </c>
      <c r="K1057" s="149">
        <v>1.13253941E8</v>
      </c>
      <c r="L1057" s="150" t="s">
        <v>1400</v>
      </c>
      <c r="M1057" s="151" t="str">
        <f>VLOOKUP(L1057,'Đơn đặt'!$C$3:$E$275,2,0)</f>
        <v>05-09-TS</v>
      </c>
      <c r="N1057" s="151" t="str">
        <f>VLOOKUP(L1057,'Đơn đặt'!$C$3:$E$275,3,0)</f>
        <v>68-2026/TS-AVP/ĐĐH</v>
      </c>
      <c r="O1057" s="145">
        <v>46225.0</v>
      </c>
      <c r="P1057" s="146" t="s">
        <v>1588</v>
      </c>
      <c r="Q1057" s="148">
        <v>5460.0</v>
      </c>
      <c r="R1057" s="148">
        <v>15209.2</v>
      </c>
      <c r="S1057" s="149">
        <v>8.3042232E7</v>
      </c>
      <c r="T1057" s="149">
        <v>6643379.0</v>
      </c>
      <c r="U1057" s="149">
        <f t="shared" si="230"/>
        <v>89685611</v>
      </c>
      <c r="V1057" s="153"/>
      <c r="W1057" s="153"/>
      <c r="X1057" s="153"/>
      <c r="Y1057" s="153"/>
      <c r="Z1057" s="153"/>
      <c r="AA1057" s="153"/>
      <c r="AB1057" s="153"/>
      <c r="AC1057" s="153"/>
      <c r="AD1057" s="153"/>
      <c r="AE1057" s="153"/>
      <c r="AF1057" s="153"/>
      <c r="AG1057" s="153"/>
      <c r="AH1057" s="153"/>
      <c r="AI1057" s="153"/>
      <c r="AJ1057" s="153"/>
      <c r="AK1057" s="153"/>
      <c r="AL1057" s="153"/>
      <c r="AM1057" s="153"/>
      <c r="AN1057" s="153"/>
      <c r="AO1057" s="153"/>
    </row>
    <row r="1058" ht="25.5" customHeight="1">
      <c r="A1058" s="145">
        <v>46225.0</v>
      </c>
      <c r="B1058" s="146" t="s">
        <v>1589</v>
      </c>
      <c r="C1058" s="146" t="s">
        <v>55</v>
      </c>
      <c r="D1058" s="146" t="s">
        <v>53</v>
      </c>
      <c r="E1058" s="159" t="s">
        <v>70</v>
      </c>
      <c r="F1058" s="146" t="s">
        <v>71</v>
      </c>
      <c r="G1058" s="147">
        <v>2104.0</v>
      </c>
      <c r="H1058" s="148">
        <v>21025.0</v>
      </c>
      <c r="I1058" s="149">
        <v>4.42366E7</v>
      </c>
      <c r="J1058" s="149">
        <v>3538928.0</v>
      </c>
      <c r="K1058" s="149">
        <v>4.7775528E7</v>
      </c>
      <c r="L1058" s="150" t="s">
        <v>1179</v>
      </c>
      <c r="M1058" s="151" t="str">
        <f>VLOOKUP(L1058,'Đơn đặt'!$C$3:$E$275,2,0)</f>
        <v>04-08-TS</v>
      </c>
      <c r="N1058" s="151" t="str">
        <f>VLOOKUP(L1058,'Đơn đặt'!$C$3:$E$275,3,0)</f>
        <v>59-2026/TS-AVP/ĐĐH</v>
      </c>
      <c r="O1058" s="145">
        <v>46225.0</v>
      </c>
      <c r="P1058" s="146" t="s">
        <v>1590</v>
      </c>
      <c r="Q1058" s="148">
        <v>2104.0</v>
      </c>
      <c r="R1058" s="148">
        <v>17629.0</v>
      </c>
      <c r="S1058" s="149">
        <v>3.7091416E7</v>
      </c>
      <c r="T1058" s="149">
        <v>2967313.0</v>
      </c>
      <c r="U1058" s="149">
        <f t="shared" si="230"/>
        <v>40058729</v>
      </c>
      <c r="V1058" s="153"/>
      <c r="W1058" s="153"/>
      <c r="X1058" s="153"/>
      <c r="Y1058" s="153"/>
      <c r="Z1058" s="153"/>
      <c r="AA1058" s="153"/>
      <c r="AB1058" s="153"/>
      <c r="AC1058" s="153"/>
      <c r="AD1058" s="153"/>
      <c r="AE1058" s="153"/>
      <c r="AF1058" s="153"/>
      <c r="AG1058" s="153"/>
      <c r="AH1058" s="153"/>
      <c r="AI1058" s="153"/>
      <c r="AJ1058" s="153"/>
      <c r="AK1058" s="153"/>
      <c r="AL1058" s="153"/>
      <c r="AM1058" s="153"/>
      <c r="AN1058" s="153"/>
      <c r="AO1058" s="153"/>
    </row>
    <row r="1059" ht="25.5" customHeight="1">
      <c r="A1059" s="145">
        <v>46225.0</v>
      </c>
      <c r="B1059" s="146" t="s">
        <v>1591</v>
      </c>
      <c r="C1059" s="146" t="s">
        <v>59</v>
      </c>
      <c r="D1059" s="146" t="s">
        <v>105</v>
      </c>
      <c r="E1059" s="159" t="s">
        <v>70</v>
      </c>
      <c r="F1059" s="146" t="s">
        <v>71</v>
      </c>
      <c r="G1059" s="147">
        <v>2800.0</v>
      </c>
      <c r="H1059" s="148">
        <v>19206.0</v>
      </c>
      <c r="I1059" s="149">
        <v>5.37768E7</v>
      </c>
      <c r="J1059" s="149">
        <v>4302144.0</v>
      </c>
      <c r="K1059" s="149">
        <v>5.8078944E7</v>
      </c>
      <c r="L1059" s="150" t="s">
        <v>1400</v>
      </c>
      <c r="M1059" s="151" t="str">
        <f>VLOOKUP(L1059,'Đơn đặt'!$C$3:$E$275,2,0)</f>
        <v>05-09-TS</v>
      </c>
      <c r="N1059" s="151" t="str">
        <f>VLOOKUP(L1059,'Đơn đặt'!$C$3:$E$275,3,0)</f>
        <v>68-2026/TS-AVP/ĐĐH</v>
      </c>
      <c r="O1059" s="145">
        <v>46225.0</v>
      </c>
      <c r="P1059" s="146" t="s">
        <v>1592</v>
      </c>
      <c r="Q1059" s="148">
        <v>2800.0</v>
      </c>
      <c r="R1059" s="148">
        <v>17073.2</v>
      </c>
      <c r="S1059" s="149">
        <v>4.780496E7</v>
      </c>
      <c r="T1059" s="149">
        <v>3824397.0</v>
      </c>
      <c r="U1059" s="149">
        <f t="shared" si="230"/>
        <v>51629357</v>
      </c>
      <c r="V1059" s="153"/>
      <c r="W1059" s="153"/>
      <c r="X1059" s="153"/>
      <c r="Y1059" s="153"/>
      <c r="Z1059" s="153"/>
      <c r="AA1059" s="153"/>
      <c r="AB1059" s="153"/>
      <c r="AC1059" s="153"/>
      <c r="AD1059" s="153"/>
      <c r="AE1059" s="153"/>
      <c r="AF1059" s="153"/>
      <c r="AG1059" s="153"/>
      <c r="AH1059" s="153"/>
      <c r="AI1059" s="153"/>
      <c r="AJ1059" s="153"/>
      <c r="AK1059" s="153"/>
      <c r="AL1059" s="153"/>
      <c r="AM1059" s="153"/>
      <c r="AN1059" s="153"/>
      <c r="AO1059" s="153"/>
    </row>
    <row r="1060" ht="25.5" customHeight="1">
      <c r="A1060" s="145">
        <v>46225.0</v>
      </c>
      <c r="B1060" s="146" t="s">
        <v>1591</v>
      </c>
      <c r="C1060" s="146" t="s">
        <v>14</v>
      </c>
      <c r="D1060" s="146" t="s">
        <v>13</v>
      </c>
      <c r="E1060" s="159" t="s">
        <v>70</v>
      </c>
      <c r="F1060" s="146" t="s">
        <v>71</v>
      </c>
      <c r="G1060" s="147">
        <v>600.0</v>
      </c>
      <c r="H1060" s="148">
        <v>20374.0</v>
      </c>
      <c r="I1060" s="149">
        <v>1.22244E7</v>
      </c>
      <c r="J1060" s="149">
        <v>977952.0</v>
      </c>
      <c r="K1060" s="149">
        <v>1.3202352E7</v>
      </c>
      <c r="L1060" s="150" t="s">
        <v>1400</v>
      </c>
      <c r="M1060" s="151" t="str">
        <f>VLOOKUP(L1060,'Đơn đặt'!$C$3:$E$275,2,0)</f>
        <v>05-09-TS</v>
      </c>
      <c r="N1060" s="151" t="str">
        <f>VLOOKUP(L1060,'Đơn đặt'!$C$3:$E$275,3,0)</f>
        <v>68-2026/TS-AVP/ĐĐH</v>
      </c>
      <c r="O1060" s="145">
        <v>46225.0</v>
      </c>
      <c r="P1060" s="146" t="s">
        <v>1592</v>
      </c>
      <c r="Q1060" s="148">
        <v>600.0</v>
      </c>
      <c r="R1060" s="148">
        <v>18666.8</v>
      </c>
      <c r="S1060" s="149">
        <v>1.120008E7</v>
      </c>
      <c r="T1060" s="149">
        <v>896006.0</v>
      </c>
      <c r="U1060" s="149">
        <f t="shared" si="230"/>
        <v>12096086</v>
      </c>
      <c r="V1060" s="153"/>
      <c r="W1060" s="153"/>
      <c r="X1060" s="153"/>
      <c r="Y1060" s="153"/>
      <c r="Z1060" s="153"/>
      <c r="AA1060" s="153"/>
      <c r="AB1060" s="153"/>
      <c r="AC1060" s="153"/>
      <c r="AD1060" s="153"/>
      <c r="AE1060" s="153"/>
      <c r="AF1060" s="153"/>
      <c r="AG1060" s="153"/>
      <c r="AH1060" s="153"/>
      <c r="AI1060" s="153"/>
      <c r="AJ1060" s="153"/>
      <c r="AK1060" s="153"/>
      <c r="AL1060" s="153"/>
      <c r="AM1060" s="153"/>
      <c r="AN1060" s="153"/>
      <c r="AO1060" s="153"/>
    </row>
    <row r="1061" ht="25.5" customHeight="1">
      <c r="A1061" s="145">
        <v>46226.0</v>
      </c>
      <c r="B1061" s="146" t="s">
        <v>1593</v>
      </c>
      <c r="C1061" s="146" t="s">
        <v>3</v>
      </c>
      <c r="D1061" s="146" t="s">
        <v>164</v>
      </c>
      <c r="E1061" s="159" t="s">
        <v>70</v>
      </c>
      <c r="F1061" s="146" t="s">
        <v>112</v>
      </c>
      <c r="G1061" s="147">
        <v>5000.0</v>
      </c>
      <c r="H1061" s="148">
        <v>42560.0</v>
      </c>
      <c r="I1061" s="149">
        <v>2.128E8</v>
      </c>
      <c r="J1061" s="149">
        <v>1.7024E7</v>
      </c>
      <c r="K1061" s="149">
        <v>2.29824E8</v>
      </c>
      <c r="L1061" s="165" t="str">
        <f>M1061&amp;N1061&amp;O1061</f>
        <v>07-13/TS79-2026/TS-AVP/ĐĐH46226</v>
      </c>
      <c r="M1061" s="166" t="s">
        <v>844</v>
      </c>
      <c r="N1061" s="167" t="s">
        <v>850</v>
      </c>
      <c r="O1061" s="145">
        <v>46226.0</v>
      </c>
      <c r="P1061" s="146" t="s">
        <v>1594</v>
      </c>
      <c r="Q1061" s="148">
        <v>5000.0</v>
      </c>
      <c r="R1061" s="148">
        <v>38912.0</v>
      </c>
      <c r="S1061" s="149">
        <v>1.9456E8</v>
      </c>
      <c r="T1061" s="149">
        <v>1.55648E7</v>
      </c>
      <c r="U1061" s="149">
        <f t="shared" si="230"/>
        <v>210124800</v>
      </c>
      <c r="V1061" s="153"/>
      <c r="W1061" s="153"/>
      <c r="X1061" s="153"/>
      <c r="Y1061" s="153"/>
      <c r="Z1061" s="153"/>
      <c r="AA1061" s="153"/>
      <c r="AB1061" s="153"/>
      <c r="AC1061" s="153"/>
      <c r="AD1061" s="153"/>
      <c r="AE1061" s="153"/>
      <c r="AF1061" s="153"/>
      <c r="AG1061" s="153"/>
      <c r="AH1061" s="153"/>
      <c r="AI1061" s="153"/>
      <c r="AJ1061" s="153"/>
      <c r="AK1061" s="153"/>
      <c r="AL1061" s="153"/>
      <c r="AM1061" s="153"/>
      <c r="AN1061" s="153"/>
      <c r="AO1061" s="153"/>
    </row>
    <row r="1062" ht="25.5" customHeight="1">
      <c r="A1062" s="145">
        <v>46226.0</v>
      </c>
      <c r="B1062" s="146" t="s">
        <v>1595</v>
      </c>
      <c r="C1062" s="146" t="s">
        <v>119</v>
      </c>
      <c r="D1062" s="146" t="s">
        <v>120</v>
      </c>
      <c r="E1062" s="159" t="s">
        <v>70</v>
      </c>
      <c r="F1062" s="146" t="s">
        <v>71</v>
      </c>
      <c r="G1062" s="147">
        <v>2540.0</v>
      </c>
      <c r="H1062" s="148">
        <v>20276.0</v>
      </c>
      <c r="I1062" s="149">
        <v>5.150104E7</v>
      </c>
      <c r="J1062" s="149">
        <v>4120083.0</v>
      </c>
      <c r="K1062" s="149">
        <v>5.5621123E7</v>
      </c>
      <c r="L1062" s="150" t="s">
        <v>1552</v>
      </c>
      <c r="M1062" s="151" t="str">
        <f>VLOOKUP(L1062,'Đơn đặt'!$C$3:$E$275,2,0)</f>
        <v>05-07-TS</v>
      </c>
      <c r="N1062" s="151" t="str">
        <f>VLOOKUP(L1062,'Đơn đặt'!$C$3:$E$275,3,0)</f>
        <v>65-2026/TS-AVP/ĐĐH</v>
      </c>
      <c r="O1062" s="145">
        <v>46226.0</v>
      </c>
      <c r="P1062" s="146" t="s">
        <v>1596</v>
      </c>
      <c r="Q1062" s="148">
        <v>2540.0</v>
      </c>
      <c r="R1062" s="148">
        <v>18311.2</v>
      </c>
      <c r="S1062" s="149">
        <v>4.6510448E7</v>
      </c>
      <c r="T1062" s="149">
        <v>3720836.0</v>
      </c>
      <c r="U1062" s="149">
        <f t="shared" si="230"/>
        <v>50231284</v>
      </c>
      <c r="V1062" s="153"/>
      <c r="W1062" s="153"/>
      <c r="X1062" s="153"/>
      <c r="Y1062" s="153"/>
      <c r="Z1062" s="153"/>
      <c r="AA1062" s="153"/>
      <c r="AB1062" s="153"/>
      <c r="AC1062" s="153"/>
      <c r="AD1062" s="153"/>
      <c r="AE1062" s="153"/>
      <c r="AF1062" s="153"/>
      <c r="AG1062" s="153"/>
      <c r="AH1062" s="153"/>
      <c r="AI1062" s="153"/>
      <c r="AJ1062" s="153"/>
      <c r="AK1062" s="153"/>
      <c r="AL1062" s="153"/>
      <c r="AM1062" s="153"/>
      <c r="AN1062" s="153"/>
      <c r="AO1062" s="153"/>
    </row>
    <row r="1063" ht="25.5" customHeight="1">
      <c r="A1063" s="145">
        <v>46226.0</v>
      </c>
      <c r="B1063" s="146" t="s">
        <v>1595</v>
      </c>
      <c r="C1063" s="146" t="s">
        <v>206</v>
      </c>
      <c r="D1063" s="146" t="s">
        <v>207</v>
      </c>
      <c r="E1063" s="159" t="s">
        <v>70</v>
      </c>
      <c r="F1063" s="146" t="s">
        <v>71</v>
      </c>
      <c r="G1063" s="147">
        <v>260.0</v>
      </c>
      <c r="H1063" s="148">
        <v>19041.0</v>
      </c>
      <c r="I1063" s="149">
        <v>4950660.0</v>
      </c>
      <c r="J1063" s="149">
        <v>396053.0</v>
      </c>
      <c r="K1063" s="149">
        <v>5346713.0</v>
      </c>
      <c r="L1063" s="150" t="s">
        <v>1417</v>
      </c>
      <c r="M1063" s="151" t="str">
        <f>VLOOKUP(L1063,'Đơn đặt'!$C$3:$E$275,2,0)</f>
        <v>03-18-TS</v>
      </c>
      <c r="N1063" s="151" t="str">
        <f>VLOOKUP(L1063,'Đơn đặt'!$C$3:$E$275,3,0)</f>
        <v>55-2026/TS-AVP/ĐĐH</v>
      </c>
      <c r="O1063" s="145">
        <v>46226.0</v>
      </c>
      <c r="P1063" s="146" t="s">
        <v>1596</v>
      </c>
      <c r="Q1063" s="152">
        <f>G1063</f>
        <v>260</v>
      </c>
      <c r="R1063" s="148">
        <v>18064.2</v>
      </c>
      <c r="S1063" s="152">
        <f>Q1063*R1063</f>
        <v>4696692</v>
      </c>
      <c r="T1063" s="152">
        <f>S1063*8%</f>
        <v>375735.36</v>
      </c>
      <c r="U1063" s="149">
        <f t="shared" si="230"/>
        <v>5072427.36</v>
      </c>
      <c r="V1063" s="153"/>
      <c r="W1063" s="153"/>
      <c r="X1063" s="153"/>
      <c r="Y1063" s="153"/>
      <c r="Z1063" s="153"/>
      <c r="AA1063" s="153"/>
      <c r="AB1063" s="153"/>
      <c r="AC1063" s="153"/>
      <c r="AD1063" s="153"/>
      <c r="AE1063" s="153"/>
      <c r="AF1063" s="153"/>
      <c r="AG1063" s="153"/>
      <c r="AH1063" s="153"/>
      <c r="AI1063" s="153"/>
      <c r="AJ1063" s="153"/>
      <c r="AK1063" s="153"/>
      <c r="AL1063" s="153"/>
      <c r="AM1063" s="153"/>
      <c r="AN1063" s="153"/>
      <c r="AO1063" s="153"/>
    </row>
    <row r="1064" ht="25.5" customHeight="1">
      <c r="A1064" s="145">
        <v>46226.0</v>
      </c>
      <c r="B1064" s="146" t="s">
        <v>1595</v>
      </c>
      <c r="C1064" s="146" t="s">
        <v>14</v>
      </c>
      <c r="D1064" s="146" t="s">
        <v>13</v>
      </c>
      <c r="E1064" s="159" t="s">
        <v>70</v>
      </c>
      <c r="F1064" s="146" t="s">
        <v>71</v>
      </c>
      <c r="G1064" s="147">
        <v>1500.0</v>
      </c>
      <c r="H1064" s="148">
        <v>20374.0</v>
      </c>
      <c r="I1064" s="149">
        <v>3.0561E7</v>
      </c>
      <c r="J1064" s="149">
        <v>2444880.0</v>
      </c>
      <c r="K1064" s="149">
        <v>3.300588E7</v>
      </c>
      <c r="L1064" s="150" t="s">
        <v>1400</v>
      </c>
      <c r="M1064" s="151" t="str">
        <f>VLOOKUP(L1064,'Đơn đặt'!$C$3:$E$275,2,0)</f>
        <v>05-09-TS</v>
      </c>
      <c r="N1064" s="151" t="str">
        <f>VLOOKUP(L1064,'Đơn đặt'!$C$3:$E$275,3,0)</f>
        <v>68-2026/TS-AVP/ĐĐH</v>
      </c>
      <c r="O1064" s="145">
        <v>46226.0</v>
      </c>
      <c r="P1064" s="146" t="s">
        <v>1596</v>
      </c>
      <c r="Q1064" s="148">
        <v>1500.0</v>
      </c>
      <c r="R1064" s="148">
        <v>18666.8</v>
      </c>
      <c r="S1064" s="149">
        <v>2.80002E7</v>
      </c>
      <c r="T1064" s="149">
        <v>2240016.0</v>
      </c>
      <c r="U1064" s="149">
        <f t="shared" si="230"/>
        <v>30240216</v>
      </c>
      <c r="V1064" s="153"/>
      <c r="W1064" s="153"/>
      <c r="X1064" s="153"/>
      <c r="Y1064" s="153"/>
      <c r="Z1064" s="153"/>
      <c r="AA1064" s="153"/>
      <c r="AB1064" s="153"/>
      <c r="AC1064" s="153"/>
      <c r="AD1064" s="153"/>
      <c r="AE1064" s="153"/>
      <c r="AF1064" s="153"/>
      <c r="AG1064" s="153"/>
      <c r="AH1064" s="153"/>
      <c r="AI1064" s="153"/>
      <c r="AJ1064" s="153"/>
      <c r="AK1064" s="153"/>
      <c r="AL1064" s="153"/>
      <c r="AM1064" s="153"/>
      <c r="AN1064" s="153"/>
      <c r="AO1064" s="153"/>
    </row>
    <row r="1065" ht="25.5" customHeight="1">
      <c r="A1065" s="145">
        <v>46226.0</v>
      </c>
      <c r="B1065" s="146" t="s">
        <v>1597</v>
      </c>
      <c r="C1065" s="146" t="s">
        <v>59</v>
      </c>
      <c r="D1065" s="146" t="s">
        <v>105</v>
      </c>
      <c r="E1065" s="159" t="s">
        <v>70</v>
      </c>
      <c r="F1065" s="146" t="s">
        <v>71</v>
      </c>
      <c r="G1065" s="147">
        <v>1360.0</v>
      </c>
      <c r="H1065" s="148">
        <v>19206.0</v>
      </c>
      <c r="I1065" s="149">
        <v>2.612016E7</v>
      </c>
      <c r="J1065" s="149">
        <v>2089613.0</v>
      </c>
      <c r="K1065" s="149">
        <v>2.8209773E7</v>
      </c>
      <c r="L1065" s="150" t="s">
        <v>1400</v>
      </c>
      <c r="M1065" s="151" t="str">
        <f>VLOOKUP(L1065,'Đơn đặt'!$C$3:$E$275,2,0)</f>
        <v>05-09-TS</v>
      </c>
      <c r="N1065" s="151" t="str">
        <f>VLOOKUP(L1065,'Đơn đặt'!$C$3:$E$275,3,0)</f>
        <v>68-2026/TS-AVP/ĐĐH</v>
      </c>
      <c r="O1065" s="145">
        <v>46226.0</v>
      </c>
      <c r="P1065" s="146" t="s">
        <v>1596</v>
      </c>
      <c r="Q1065" s="148">
        <v>1360.0</v>
      </c>
      <c r="R1065" s="148">
        <v>17073.2</v>
      </c>
      <c r="S1065" s="149">
        <v>2.3219552E7</v>
      </c>
      <c r="T1065" s="149">
        <v>1857564.0</v>
      </c>
      <c r="U1065" s="149">
        <f t="shared" si="230"/>
        <v>25077116</v>
      </c>
      <c r="V1065" s="153"/>
      <c r="W1065" s="153"/>
      <c r="X1065" s="153"/>
      <c r="Y1065" s="153"/>
      <c r="Z1065" s="153"/>
      <c r="AA1065" s="153"/>
      <c r="AB1065" s="153"/>
      <c r="AC1065" s="153"/>
      <c r="AD1065" s="153"/>
      <c r="AE1065" s="153"/>
      <c r="AF1065" s="153"/>
      <c r="AG1065" s="153"/>
      <c r="AH1065" s="153"/>
      <c r="AI1065" s="153"/>
      <c r="AJ1065" s="153"/>
      <c r="AK1065" s="153"/>
      <c r="AL1065" s="153"/>
      <c r="AM1065" s="153"/>
      <c r="AN1065" s="153"/>
      <c r="AO1065" s="153"/>
    </row>
    <row r="1066" ht="25.5" customHeight="1">
      <c r="A1066" s="145">
        <v>46226.0</v>
      </c>
      <c r="B1066" s="146" t="s">
        <v>1597</v>
      </c>
      <c r="C1066" s="146" t="s">
        <v>41</v>
      </c>
      <c r="D1066" s="146" t="s">
        <v>40</v>
      </c>
      <c r="E1066" s="159" t="s">
        <v>70</v>
      </c>
      <c r="F1066" s="146" t="s">
        <v>71</v>
      </c>
      <c r="G1066" s="147">
        <v>1000.0</v>
      </c>
      <c r="H1066" s="148">
        <v>21025.0</v>
      </c>
      <c r="I1066" s="149">
        <v>2.1025E7</v>
      </c>
      <c r="J1066" s="149">
        <v>1682000.0</v>
      </c>
      <c r="K1066" s="149">
        <v>2.2707E7</v>
      </c>
      <c r="L1066" s="150" t="s">
        <v>1598</v>
      </c>
      <c r="M1066" s="151" t="str">
        <f>VLOOKUP(L1066,'Đơn đặt'!$C$3:$E$275,2,0)</f>
        <v>06-08/TS</v>
      </c>
      <c r="N1066" s="151" t="str">
        <f>VLOOKUP(L1066,'Đơn đặt'!$C$3:$E$275,3,0)</f>
        <v>75-2026/TS-AVP/ĐĐH</v>
      </c>
      <c r="O1066" s="145">
        <v>46226.0</v>
      </c>
      <c r="P1066" s="146" t="s">
        <v>1596</v>
      </c>
      <c r="Q1066" s="148">
        <v>1000.0</v>
      </c>
      <c r="R1066" s="148">
        <v>18797.0</v>
      </c>
      <c r="S1066" s="149">
        <v>1.8797E7</v>
      </c>
      <c r="T1066" s="149">
        <v>1503760.0</v>
      </c>
      <c r="U1066" s="149">
        <f t="shared" si="230"/>
        <v>20300760</v>
      </c>
      <c r="V1066" s="153"/>
      <c r="W1066" s="153"/>
      <c r="X1066" s="153"/>
      <c r="Y1066" s="153"/>
      <c r="Z1066" s="153"/>
      <c r="AA1066" s="153"/>
      <c r="AB1066" s="153"/>
      <c r="AC1066" s="153"/>
      <c r="AD1066" s="153"/>
      <c r="AE1066" s="153"/>
      <c r="AF1066" s="153"/>
      <c r="AG1066" s="153"/>
      <c r="AH1066" s="153"/>
      <c r="AI1066" s="153"/>
      <c r="AJ1066" s="153"/>
      <c r="AK1066" s="153"/>
      <c r="AL1066" s="153"/>
      <c r="AM1066" s="153"/>
      <c r="AN1066" s="153"/>
      <c r="AO1066" s="153"/>
    </row>
    <row r="1067" ht="25.5" customHeight="1">
      <c r="A1067" s="145">
        <v>46226.0</v>
      </c>
      <c r="B1067" s="146" t="s">
        <v>1597</v>
      </c>
      <c r="C1067" s="146" t="s">
        <v>206</v>
      </c>
      <c r="D1067" s="146" t="s">
        <v>207</v>
      </c>
      <c r="E1067" s="159" t="s">
        <v>70</v>
      </c>
      <c r="F1067" s="146" t="s">
        <v>71</v>
      </c>
      <c r="G1067" s="147">
        <v>2240.0</v>
      </c>
      <c r="H1067" s="148">
        <v>19041.0</v>
      </c>
      <c r="I1067" s="149">
        <v>4.265184E7</v>
      </c>
      <c r="J1067" s="149">
        <v>3412147.0</v>
      </c>
      <c r="K1067" s="149">
        <v>4.6063987E7</v>
      </c>
      <c r="L1067" s="150" t="s">
        <v>1417</v>
      </c>
      <c r="M1067" s="151" t="str">
        <f>VLOOKUP(L1067,'Đơn đặt'!$C$3:$E$275,2,0)</f>
        <v>03-18-TS</v>
      </c>
      <c r="N1067" s="151" t="str">
        <f>VLOOKUP(L1067,'Đơn đặt'!$C$3:$E$275,3,0)</f>
        <v>55-2026/TS-AVP/ĐĐH</v>
      </c>
      <c r="O1067" s="145">
        <v>46226.0</v>
      </c>
      <c r="P1067" s="146" t="s">
        <v>1596</v>
      </c>
      <c r="Q1067" s="152">
        <f>G1067</f>
        <v>2240</v>
      </c>
      <c r="R1067" s="148">
        <v>18064.2</v>
      </c>
      <c r="S1067" s="152">
        <f>Q1067*R1067</f>
        <v>40463808</v>
      </c>
      <c r="T1067" s="152">
        <f>S1067*8%</f>
        <v>3237104.64</v>
      </c>
      <c r="U1067" s="149">
        <f t="shared" si="230"/>
        <v>43700912.64</v>
      </c>
      <c r="V1067" s="153"/>
      <c r="W1067" s="153"/>
      <c r="X1067" s="153"/>
      <c r="Y1067" s="153"/>
      <c r="Z1067" s="153"/>
      <c r="AA1067" s="153"/>
      <c r="AB1067" s="153"/>
      <c r="AC1067" s="153"/>
      <c r="AD1067" s="153"/>
      <c r="AE1067" s="153"/>
      <c r="AF1067" s="153"/>
      <c r="AG1067" s="153"/>
      <c r="AH1067" s="153"/>
      <c r="AI1067" s="153"/>
      <c r="AJ1067" s="153"/>
      <c r="AK1067" s="153"/>
      <c r="AL1067" s="153"/>
      <c r="AM1067" s="153"/>
      <c r="AN1067" s="153"/>
      <c r="AO1067" s="153"/>
    </row>
    <row r="1068" ht="25.5" customHeight="1">
      <c r="A1068" s="145">
        <v>46227.0</v>
      </c>
      <c r="B1068" s="146" t="s">
        <v>1599</v>
      </c>
      <c r="C1068" s="146" t="s">
        <v>3</v>
      </c>
      <c r="D1068" s="146" t="s">
        <v>164</v>
      </c>
      <c r="E1068" s="159" t="s">
        <v>70</v>
      </c>
      <c r="F1068" s="146" t="s">
        <v>112</v>
      </c>
      <c r="G1068" s="147">
        <v>5000.0</v>
      </c>
      <c r="H1068" s="148">
        <v>42560.0</v>
      </c>
      <c r="I1068" s="149">
        <v>2.128E8</v>
      </c>
      <c r="J1068" s="149">
        <v>1.7024E7</v>
      </c>
      <c r="K1068" s="149">
        <v>2.29824E8</v>
      </c>
      <c r="L1068" s="150" t="s">
        <v>1529</v>
      </c>
      <c r="M1068" s="151" t="s">
        <v>844</v>
      </c>
      <c r="N1068" s="151" t="s">
        <v>850</v>
      </c>
      <c r="O1068" s="145">
        <v>46227.0</v>
      </c>
      <c r="P1068" s="146" t="s">
        <v>1600</v>
      </c>
      <c r="Q1068" s="148">
        <v>5000.0</v>
      </c>
      <c r="R1068" s="148">
        <v>38912.0</v>
      </c>
      <c r="S1068" s="149">
        <v>1.9456E8</v>
      </c>
      <c r="T1068" s="149">
        <v>1.55648E7</v>
      </c>
      <c r="U1068" s="149">
        <f t="shared" si="230"/>
        <v>210124800</v>
      </c>
      <c r="V1068" s="153"/>
      <c r="W1068" s="153"/>
      <c r="X1068" s="153"/>
      <c r="Y1068" s="153"/>
      <c r="Z1068" s="153"/>
      <c r="AA1068" s="153"/>
      <c r="AB1068" s="153"/>
      <c r="AC1068" s="153"/>
      <c r="AD1068" s="153"/>
      <c r="AE1068" s="153"/>
      <c r="AF1068" s="153"/>
      <c r="AG1068" s="153"/>
      <c r="AH1068" s="153"/>
      <c r="AI1068" s="153"/>
      <c r="AJ1068" s="153"/>
      <c r="AK1068" s="153"/>
      <c r="AL1068" s="153"/>
      <c r="AM1068" s="153"/>
      <c r="AN1068" s="153"/>
      <c r="AO1068" s="153"/>
    </row>
    <row r="1069" ht="25.5" customHeight="1">
      <c r="A1069" s="145">
        <v>46227.0</v>
      </c>
      <c r="B1069" s="146" t="s">
        <v>1601</v>
      </c>
      <c r="C1069" s="146" t="s">
        <v>110</v>
      </c>
      <c r="D1069" s="146" t="s">
        <v>1384</v>
      </c>
      <c r="E1069" s="159" t="s">
        <v>70</v>
      </c>
      <c r="F1069" s="146" t="s">
        <v>112</v>
      </c>
      <c r="G1069" s="147">
        <v>4680.0</v>
      </c>
      <c r="H1069" s="148">
        <v>28000.0</v>
      </c>
      <c r="I1069" s="149">
        <v>1.3104E8</v>
      </c>
      <c r="J1069" s="149">
        <v>1.04832E7</v>
      </c>
      <c r="K1069" s="149">
        <v>1.415232E8</v>
      </c>
      <c r="L1069" s="150" t="s">
        <v>1385</v>
      </c>
      <c r="M1069" s="151" t="str">
        <f>VLOOKUP(L1069,'Đơn đặt'!$C$3:$E$275,2,0)</f>
        <v>04/06/TSC-LT</v>
      </c>
      <c r="N1069" s="151" t="str">
        <f>VLOOKUP(L1069,'Đơn đặt'!$C$3:$E$275,3,0)</f>
        <v>Hàng SX</v>
      </c>
      <c r="O1069" s="154" t="s">
        <v>98</v>
      </c>
      <c r="P1069" s="155"/>
      <c r="Q1069" s="156">
        <f>G1069</f>
        <v>4680</v>
      </c>
      <c r="R1069" s="152"/>
      <c r="S1069" s="152"/>
      <c r="T1069" s="152"/>
      <c r="U1069" s="149">
        <f t="shared" si="230"/>
        <v>0</v>
      </c>
      <c r="V1069" s="153"/>
      <c r="W1069" s="153"/>
      <c r="X1069" s="153"/>
      <c r="Y1069" s="153"/>
      <c r="Z1069" s="153"/>
      <c r="AA1069" s="153"/>
      <c r="AB1069" s="153"/>
      <c r="AC1069" s="153"/>
      <c r="AD1069" s="153"/>
      <c r="AE1069" s="153"/>
      <c r="AF1069" s="153"/>
      <c r="AG1069" s="153"/>
      <c r="AH1069" s="153"/>
      <c r="AI1069" s="153"/>
      <c r="AJ1069" s="153"/>
      <c r="AK1069" s="153"/>
      <c r="AL1069" s="153"/>
      <c r="AM1069" s="153"/>
      <c r="AN1069" s="153"/>
      <c r="AO1069" s="153"/>
    </row>
    <row r="1070" ht="25.5" customHeight="1">
      <c r="A1070" s="145">
        <v>46227.0</v>
      </c>
      <c r="B1070" s="146" t="s">
        <v>1602</v>
      </c>
      <c r="C1070" s="146" t="s">
        <v>14</v>
      </c>
      <c r="D1070" s="146" t="s">
        <v>13</v>
      </c>
      <c r="E1070" s="159" t="s">
        <v>70</v>
      </c>
      <c r="F1070" s="146" t="s">
        <v>71</v>
      </c>
      <c r="G1070" s="147">
        <v>156.0</v>
      </c>
      <c r="H1070" s="148">
        <v>20374.0</v>
      </c>
      <c r="I1070" s="149">
        <v>3178344.0</v>
      </c>
      <c r="J1070" s="149">
        <v>254268.0</v>
      </c>
      <c r="K1070" s="149">
        <v>3432612.0</v>
      </c>
      <c r="L1070" s="150" t="s">
        <v>1400</v>
      </c>
      <c r="M1070" s="151" t="str">
        <f>VLOOKUP(L1070,'Đơn đặt'!$C$3:$E$275,2,0)</f>
        <v>05-09-TS</v>
      </c>
      <c r="N1070" s="151" t="str">
        <f>VLOOKUP(L1070,'Đơn đặt'!$C$3:$E$275,3,0)</f>
        <v>68-2026/TS-AVP/ĐĐH</v>
      </c>
      <c r="O1070" s="145">
        <v>46227.0</v>
      </c>
      <c r="P1070" s="146" t="s">
        <v>1603</v>
      </c>
      <c r="Q1070" s="148">
        <v>156.0</v>
      </c>
      <c r="R1070" s="148">
        <v>18666.8</v>
      </c>
      <c r="S1070" s="149">
        <v>2912021.0</v>
      </c>
      <c r="T1070" s="149">
        <v>232962.0</v>
      </c>
      <c r="U1070" s="149">
        <f t="shared" si="230"/>
        <v>3144983</v>
      </c>
      <c r="V1070" s="153"/>
      <c r="W1070" s="153"/>
      <c r="X1070" s="153"/>
      <c r="Y1070" s="153"/>
      <c r="Z1070" s="153"/>
      <c r="AA1070" s="153"/>
      <c r="AB1070" s="153"/>
      <c r="AC1070" s="153"/>
      <c r="AD1070" s="153"/>
      <c r="AE1070" s="153"/>
      <c r="AF1070" s="153"/>
      <c r="AG1070" s="153"/>
      <c r="AH1070" s="153"/>
      <c r="AI1070" s="153"/>
      <c r="AJ1070" s="153"/>
      <c r="AK1070" s="153"/>
      <c r="AL1070" s="153"/>
      <c r="AM1070" s="153"/>
      <c r="AN1070" s="153"/>
      <c r="AO1070" s="153"/>
    </row>
    <row r="1071" ht="25.5" customHeight="1">
      <c r="A1071" s="145">
        <v>46227.0</v>
      </c>
      <c r="B1071" s="146" t="s">
        <v>1602</v>
      </c>
      <c r="C1071" s="146" t="s">
        <v>222</v>
      </c>
      <c r="D1071" s="146" t="s">
        <v>223</v>
      </c>
      <c r="E1071" s="159" t="s">
        <v>70</v>
      </c>
      <c r="F1071" s="146" t="s">
        <v>71</v>
      </c>
      <c r="G1071" s="147">
        <v>780.0</v>
      </c>
      <c r="H1071" s="148">
        <v>20276.0</v>
      </c>
      <c r="I1071" s="149">
        <v>1.581528E7</v>
      </c>
      <c r="J1071" s="149">
        <v>1265222.0</v>
      </c>
      <c r="K1071" s="149">
        <v>1.7080502E7</v>
      </c>
      <c r="L1071" s="150" t="s">
        <v>1417</v>
      </c>
      <c r="M1071" s="151" t="str">
        <f>VLOOKUP(L1071,'Đơn đặt'!$C$3:$E$275,2,0)</f>
        <v>03-18-TS</v>
      </c>
      <c r="N1071" s="151" t="str">
        <f>VLOOKUP(L1071,'Đơn đặt'!$C$3:$E$275,3,0)</f>
        <v>55-2026/TS-AVP/ĐĐH</v>
      </c>
      <c r="O1071" s="145">
        <v>46227.0</v>
      </c>
      <c r="P1071" s="146" t="s">
        <v>1603</v>
      </c>
      <c r="Q1071" s="148">
        <v>780.0</v>
      </c>
      <c r="R1071" s="148">
        <v>18311.2</v>
      </c>
      <c r="S1071" s="149">
        <v>1.4282736E7</v>
      </c>
      <c r="T1071" s="149">
        <v>1142619.0</v>
      </c>
      <c r="U1071" s="149">
        <f t="shared" si="230"/>
        <v>15425355</v>
      </c>
      <c r="V1071" s="153"/>
      <c r="W1071" s="153"/>
      <c r="X1071" s="153"/>
      <c r="Y1071" s="153"/>
      <c r="Z1071" s="153"/>
      <c r="AA1071" s="153"/>
      <c r="AB1071" s="153"/>
      <c r="AC1071" s="153"/>
      <c r="AD1071" s="153"/>
      <c r="AE1071" s="153"/>
      <c r="AF1071" s="153"/>
      <c r="AG1071" s="153"/>
      <c r="AH1071" s="153"/>
      <c r="AI1071" s="153"/>
      <c r="AJ1071" s="153"/>
      <c r="AK1071" s="153"/>
      <c r="AL1071" s="153"/>
      <c r="AM1071" s="153"/>
      <c r="AN1071" s="153"/>
      <c r="AO1071" s="153"/>
    </row>
    <row r="1072" ht="25.5" customHeight="1">
      <c r="A1072" s="145">
        <v>46227.0</v>
      </c>
      <c r="B1072" s="146" t="s">
        <v>1604</v>
      </c>
      <c r="C1072" s="146" t="s">
        <v>59</v>
      </c>
      <c r="D1072" s="146" t="s">
        <v>105</v>
      </c>
      <c r="E1072" s="159" t="s">
        <v>70</v>
      </c>
      <c r="F1072" s="146" t="s">
        <v>71</v>
      </c>
      <c r="G1072" s="147">
        <v>3340.0</v>
      </c>
      <c r="H1072" s="148">
        <v>19206.0</v>
      </c>
      <c r="I1072" s="149">
        <v>6.414804E7</v>
      </c>
      <c r="J1072" s="149">
        <v>5131843.0</v>
      </c>
      <c r="K1072" s="149">
        <v>6.9279883E7</v>
      </c>
      <c r="L1072" s="150" t="s">
        <v>1400</v>
      </c>
      <c r="M1072" s="151" t="str">
        <f>VLOOKUP(L1072,'Đơn đặt'!$C$3:$E$275,2,0)</f>
        <v>05-09-TS</v>
      </c>
      <c r="N1072" s="151" t="str">
        <f>VLOOKUP(L1072,'Đơn đặt'!$C$3:$E$275,3,0)</f>
        <v>68-2026/TS-AVP/ĐĐH</v>
      </c>
      <c r="O1072" s="145">
        <v>46227.0</v>
      </c>
      <c r="P1072" s="146" t="s">
        <v>1603</v>
      </c>
      <c r="Q1072" s="148">
        <v>3340.0</v>
      </c>
      <c r="R1072" s="148">
        <v>17073.2</v>
      </c>
      <c r="S1072" s="149">
        <v>5.7024488E7</v>
      </c>
      <c r="T1072" s="149">
        <v>4561959.0</v>
      </c>
      <c r="U1072" s="149">
        <f t="shared" si="230"/>
        <v>61586447</v>
      </c>
      <c r="V1072" s="153"/>
      <c r="W1072" s="153"/>
      <c r="X1072" s="153"/>
      <c r="Y1072" s="153"/>
      <c r="Z1072" s="153"/>
      <c r="AA1072" s="153"/>
      <c r="AB1072" s="153"/>
      <c r="AC1072" s="153"/>
      <c r="AD1072" s="153"/>
      <c r="AE1072" s="153"/>
      <c r="AF1072" s="153"/>
      <c r="AG1072" s="153"/>
      <c r="AH1072" s="153"/>
      <c r="AI1072" s="153"/>
      <c r="AJ1072" s="153"/>
      <c r="AK1072" s="153"/>
      <c r="AL1072" s="153"/>
      <c r="AM1072" s="153"/>
      <c r="AN1072" s="153"/>
      <c r="AO1072" s="153"/>
    </row>
    <row r="1073" ht="25.5" customHeight="1">
      <c r="A1073" s="145">
        <v>46230.0</v>
      </c>
      <c r="B1073" s="146" t="s">
        <v>1044</v>
      </c>
      <c r="C1073" s="146" t="s">
        <v>55</v>
      </c>
      <c r="D1073" s="146" t="s">
        <v>53</v>
      </c>
      <c r="E1073" s="159" t="s">
        <v>70</v>
      </c>
      <c r="F1073" s="146" t="s">
        <v>71</v>
      </c>
      <c r="G1073" s="147">
        <v>2500.0</v>
      </c>
      <c r="H1073" s="148">
        <v>21025.0</v>
      </c>
      <c r="I1073" s="149">
        <v>5.25625E7</v>
      </c>
      <c r="J1073" s="149">
        <v>4205000.0</v>
      </c>
      <c r="K1073" s="149">
        <v>5.67675E7</v>
      </c>
      <c r="L1073" s="150" t="s">
        <v>1309</v>
      </c>
      <c r="M1073" s="151" t="str">
        <f>VLOOKUP(L1073,'Đơn đặt'!$C$3:$E$275,2,0)</f>
        <v>04-08-TS</v>
      </c>
      <c r="N1073" s="151" t="str">
        <f>VLOOKUP(L1073,'Đơn đặt'!$C$3:$E$275,3,0)</f>
        <v>56-2026/TS-AVP/ĐĐH</v>
      </c>
      <c r="O1073" s="145">
        <v>46230.0</v>
      </c>
      <c r="P1073" s="146" t="s">
        <v>1605</v>
      </c>
      <c r="Q1073" s="148">
        <v>2500.0</v>
      </c>
      <c r="R1073" s="148">
        <v>17629.0</v>
      </c>
      <c r="S1073" s="149">
        <v>4.40725E7</v>
      </c>
      <c r="T1073" s="149">
        <v>3525800.0</v>
      </c>
      <c r="U1073" s="149">
        <f t="shared" si="230"/>
        <v>47598300</v>
      </c>
      <c r="V1073" s="153"/>
      <c r="W1073" s="153"/>
      <c r="X1073" s="153"/>
      <c r="Y1073" s="153"/>
      <c r="Z1073" s="153"/>
      <c r="AA1073" s="153"/>
      <c r="AB1073" s="153"/>
      <c r="AC1073" s="153"/>
      <c r="AD1073" s="153"/>
      <c r="AE1073" s="153"/>
      <c r="AF1073" s="153"/>
      <c r="AG1073" s="153"/>
      <c r="AH1073" s="153"/>
      <c r="AI1073" s="153"/>
      <c r="AJ1073" s="153"/>
      <c r="AK1073" s="153"/>
      <c r="AL1073" s="153"/>
      <c r="AM1073" s="153"/>
      <c r="AN1073" s="153"/>
      <c r="AO1073" s="153"/>
    </row>
    <row r="1074" ht="25.5" customHeight="1">
      <c r="A1074" s="145">
        <v>46230.0</v>
      </c>
      <c r="B1074" s="146" t="s">
        <v>1058</v>
      </c>
      <c r="C1074" s="146" t="s">
        <v>119</v>
      </c>
      <c r="D1074" s="146" t="s">
        <v>120</v>
      </c>
      <c r="E1074" s="159" t="s">
        <v>70</v>
      </c>
      <c r="F1074" s="146" t="s">
        <v>71</v>
      </c>
      <c r="G1074" s="147">
        <v>2500.0</v>
      </c>
      <c r="H1074" s="148">
        <v>20276.0</v>
      </c>
      <c r="I1074" s="149">
        <v>5.069E7</v>
      </c>
      <c r="J1074" s="149">
        <v>4055200.0</v>
      </c>
      <c r="K1074" s="149">
        <v>5.47452E7</v>
      </c>
      <c r="L1074" s="150" t="s">
        <v>1552</v>
      </c>
      <c r="M1074" s="151" t="str">
        <f>VLOOKUP(L1074,'Đơn đặt'!$C$3:$E$275,2,0)</f>
        <v>05-07-TS</v>
      </c>
      <c r="N1074" s="151" t="str">
        <f>VLOOKUP(L1074,'Đơn đặt'!$C$3:$E$275,3,0)</f>
        <v>65-2026/TS-AVP/ĐĐH</v>
      </c>
      <c r="O1074" s="145">
        <v>46230.0</v>
      </c>
      <c r="P1074" s="146" t="s">
        <v>1606</v>
      </c>
      <c r="Q1074" s="148">
        <v>2500.0</v>
      </c>
      <c r="R1074" s="148">
        <v>18311.2</v>
      </c>
      <c r="S1074" s="149">
        <v>4.5778E7</v>
      </c>
      <c r="T1074" s="149">
        <v>3662240.0</v>
      </c>
      <c r="U1074" s="149">
        <f t="shared" si="230"/>
        <v>49440240</v>
      </c>
      <c r="V1074" s="153"/>
      <c r="W1074" s="153"/>
      <c r="X1074" s="153"/>
      <c r="Y1074" s="153"/>
      <c r="Z1074" s="153"/>
      <c r="AA1074" s="153"/>
      <c r="AB1074" s="153"/>
      <c r="AC1074" s="153"/>
      <c r="AD1074" s="153"/>
      <c r="AE1074" s="153"/>
      <c r="AF1074" s="153"/>
      <c r="AG1074" s="153"/>
      <c r="AH1074" s="153"/>
      <c r="AI1074" s="153"/>
      <c r="AJ1074" s="153"/>
      <c r="AK1074" s="153"/>
      <c r="AL1074" s="153"/>
      <c r="AM1074" s="153"/>
      <c r="AN1074" s="153"/>
      <c r="AO1074" s="153"/>
    </row>
    <row r="1075" ht="25.5" customHeight="1">
      <c r="A1075" s="145">
        <v>46230.0</v>
      </c>
      <c r="B1075" s="146" t="s">
        <v>1058</v>
      </c>
      <c r="C1075" s="146" t="s">
        <v>222</v>
      </c>
      <c r="D1075" s="146" t="s">
        <v>223</v>
      </c>
      <c r="E1075" s="159" t="s">
        <v>70</v>
      </c>
      <c r="F1075" s="146" t="s">
        <v>71</v>
      </c>
      <c r="G1075" s="147">
        <v>720.0</v>
      </c>
      <c r="H1075" s="148">
        <v>20276.0</v>
      </c>
      <c r="I1075" s="149">
        <v>1.459872E7</v>
      </c>
      <c r="J1075" s="149">
        <v>1167898.0</v>
      </c>
      <c r="K1075" s="149">
        <v>1.5766618E7</v>
      </c>
      <c r="L1075" s="150" t="s">
        <v>1417</v>
      </c>
      <c r="M1075" s="151" t="str">
        <f>VLOOKUP(L1075,'Đơn đặt'!$C$3:$E$275,2,0)</f>
        <v>03-18-TS</v>
      </c>
      <c r="N1075" s="151" t="str">
        <f>VLOOKUP(L1075,'Đơn đặt'!$C$3:$E$275,3,0)</f>
        <v>55-2026/TS-AVP/ĐĐH</v>
      </c>
      <c r="O1075" s="145">
        <v>46230.0</v>
      </c>
      <c r="P1075" s="146" t="s">
        <v>1606</v>
      </c>
      <c r="Q1075" s="148">
        <v>720.0</v>
      </c>
      <c r="R1075" s="148">
        <v>18311.2</v>
      </c>
      <c r="S1075" s="149">
        <v>1.3184064E7</v>
      </c>
      <c r="T1075" s="149">
        <v>1054725.0</v>
      </c>
      <c r="U1075" s="149">
        <f t="shared" si="230"/>
        <v>14238789</v>
      </c>
      <c r="V1075" s="153"/>
      <c r="W1075" s="153"/>
      <c r="X1075" s="153"/>
      <c r="Y1075" s="153"/>
      <c r="Z1075" s="153"/>
      <c r="AA1075" s="153"/>
      <c r="AB1075" s="153"/>
      <c r="AC1075" s="153"/>
      <c r="AD1075" s="153"/>
      <c r="AE1075" s="153"/>
      <c r="AF1075" s="153"/>
      <c r="AG1075" s="153"/>
      <c r="AH1075" s="153"/>
      <c r="AI1075" s="153"/>
      <c r="AJ1075" s="153"/>
      <c r="AK1075" s="153"/>
      <c r="AL1075" s="153"/>
      <c r="AM1075" s="153"/>
      <c r="AN1075" s="153"/>
      <c r="AO1075" s="153"/>
    </row>
    <row r="1076" ht="25.5" customHeight="1">
      <c r="A1076" s="145">
        <v>46230.0</v>
      </c>
      <c r="B1076" s="146" t="s">
        <v>1048</v>
      </c>
      <c r="C1076" s="146" t="s">
        <v>48</v>
      </c>
      <c r="D1076" s="146" t="s">
        <v>47</v>
      </c>
      <c r="E1076" s="159" t="s">
        <v>70</v>
      </c>
      <c r="F1076" s="146" t="s">
        <v>71</v>
      </c>
      <c r="G1076" s="147">
        <v>1850.0</v>
      </c>
      <c r="H1076" s="148">
        <v>19206.0</v>
      </c>
      <c r="I1076" s="149">
        <v>3.55311E7</v>
      </c>
      <c r="J1076" s="149">
        <v>2842488.0</v>
      </c>
      <c r="K1076" s="149">
        <v>3.8373588E7</v>
      </c>
      <c r="L1076" s="150" t="s">
        <v>1607</v>
      </c>
      <c r="M1076" s="151" t="str">
        <f>VLOOKUP(L1076,'Đơn đặt'!$C$3:$E$6000,2,0)</f>
        <v>06-08/TS</v>
      </c>
      <c r="N1076" s="151" t="str">
        <f>VLOOKUP(L1076,'Đơn đặt'!$C$3:$E$6000,3,0)</f>
        <v>78-2026/TS-AVP/ĐĐH</v>
      </c>
      <c r="O1076" s="145">
        <v>46230.0</v>
      </c>
      <c r="P1076" s="146" t="s">
        <v>1608</v>
      </c>
      <c r="Q1076" s="148">
        <v>1850.0</v>
      </c>
      <c r="R1076" s="148">
        <v>15209.2</v>
      </c>
      <c r="S1076" s="149">
        <v>2.813702E7</v>
      </c>
      <c r="T1076" s="149">
        <v>2250962.0</v>
      </c>
      <c r="U1076" s="149">
        <f t="shared" si="230"/>
        <v>30387982</v>
      </c>
      <c r="V1076" s="153"/>
      <c r="W1076" s="153"/>
      <c r="X1076" s="153"/>
      <c r="Y1076" s="153"/>
      <c r="Z1076" s="153"/>
      <c r="AA1076" s="153"/>
      <c r="AB1076" s="153"/>
      <c r="AC1076" s="153"/>
      <c r="AD1076" s="153"/>
      <c r="AE1076" s="153"/>
      <c r="AF1076" s="153"/>
      <c r="AG1076" s="153"/>
      <c r="AH1076" s="153"/>
      <c r="AI1076" s="153"/>
      <c r="AJ1076" s="153"/>
      <c r="AK1076" s="153"/>
      <c r="AL1076" s="153"/>
      <c r="AM1076" s="153"/>
      <c r="AN1076" s="153"/>
      <c r="AO1076" s="153"/>
    </row>
    <row r="1077" ht="25.5" customHeight="1">
      <c r="A1077" s="145">
        <v>46230.0</v>
      </c>
      <c r="B1077" s="146" t="s">
        <v>1048</v>
      </c>
      <c r="C1077" s="146" t="s">
        <v>50</v>
      </c>
      <c r="D1077" s="146" t="s">
        <v>49</v>
      </c>
      <c r="E1077" s="159" t="s">
        <v>70</v>
      </c>
      <c r="F1077" s="146" t="s">
        <v>71</v>
      </c>
      <c r="G1077" s="147">
        <v>2500.0</v>
      </c>
      <c r="H1077" s="148">
        <v>19206.0</v>
      </c>
      <c r="I1077" s="149">
        <v>4.8015E7</v>
      </c>
      <c r="J1077" s="149">
        <v>3841200.0</v>
      </c>
      <c r="K1077" s="149">
        <v>5.18562E7</v>
      </c>
      <c r="L1077" s="150" t="s">
        <v>1400</v>
      </c>
      <c r="M1077" s="151" t="str">
        <f>VLOOKUP(L1077,'Đơn đặt'!$C$3:$E$275,2,0)</f>
        <v>05-09-TS</v>
      </c>
      <c r="N1077" s="151" t="str">
        <f>VLOOKUP(L1077,'Đơn đặt'!$C$3:$E$275,3,0)</f>
        <v>68-2026/TS-AVP/ĐĐH</v>
      </c>
      <c r="O1077" s="145">
        <v>46230.0</v>
      </c>
      <c r="P1077" s="146" t="s">
        <v>1608</v>
      </c>
      <c r="Q1077" s="148">
        <v>2500.0</v>
      </c>
      <c r="R1077" s="148">
        <v>15209.2</v>
      </c>
      <c r="S1077" s="149">
        <v>3.8023E7</v>
      </c>
      <c r="T1077" s="149">
        <v>3041840.0</v>
      </c>
      <c r="U1077" s="149">
        <f t="shared" si="230"/>
        <v>41064840</v>
      </c>
      <c r="V1077" s="153"/>
      <c r="W1077" s="153"/>
      <c r="X1077" s="153"/>
      <c r="Y1077" s="153"/>
      <c r="Z1077" s="153"/>
      <c r="AA1077" s="153"/>
      <c r="AB1077" s="153"/>
      <c r="AC1077" s="153"/>
      <c r="AD1077" s="153"/>
      <c r="AE1077" s="153"/>
      <c r="AF1077" s="153"/>
      <c r="AG1077" s="153"/>
      <c r="AH1077" s="153"/>
      <c r="AI1077" s="153"/>
      <c r="AJ1077" s="153"/>
      <c r="AK1077" s="153"/>
      <c r="AL1077" s="153"/>
      <c r="AM1077" s="153"/>
      <c r="AN1077" s="153"/>
      <c r="AO1077" s="153"/>
    </row>
    <row r="1078" ht="25.5" customHeight="1">
      <c r="A1078" s="145">
        <v>46230.0</v>
      </c>
      <c r="B1078" s="146" t="s">
        <v>1609</v>
      </c>
      <c r="C1078" s="146" t="s">
        <v>48</v>
      </c>
      <c r="D1078" s="146" t="s">
        <v>47</v>
      </c>
      <c r="E1078" s="159" t="s">
        <v>70</v>
      </c>
      <c r="F1078" s="146" t="s">
        <v>71</v>
      </c>
      <c r="G1078" s="147">
        <v>5650.0</v>
      </c>
      <c r="H1078" s="148">
        <v>19206.0</v>
      </c>
      <c r="I1078" s="149">
        <v>1.085139E8</v>
      </c>
      <c r="J1078" s="149">
        <v>8681112.0</v>
      </c>
      <c r="K1078" s="149">
        <v>1.17195012E8</v>
      </c>
      <c r="L1078" s="150" t="s">
        <v>1607</v>
      </c>
      <c r="M1078" s="151" t="str">
        <f>VLOOKUP(L1078,'Đơn đặt'!$C$3:$E$6000,2,0)</f>
        <v>06-08/TS</v>
      </c>
      <c r="N1078" s="151" t="str">
        <f>VLOOKUP(L1078,'Đơn đặt'!$C$3:$E$6000,3,0)</f>
        <v>78-2026/TS-AVP/ĐĐH</v>
      </c>
      <c r="O1078" s="145">
        <v>46230.0</v>
      </c>
      <c r="P1078" s="146" t="s">
        <v>1610</v>
      </c>
      <c r="Q1078" s="148">
        <v>5650.0</v>
      </c>
      <c r="R1078" s="148">
        <v>15209.2</v>
      </c>
      <c r="S1078" s="149">
        <v>8.593198E7</v>
      </c>
      <c r="T1078" s="149">
        <v>6874558.0</v>
      </c>
      <c r="U1078" s="149">
        <f t="shared" si="230"/>
        <v>92806538</v>
      </c>
      <c r="V1078" s="153"/>
      <c r="W1078" s="153"/>
      <c r="X1078" s="153"/>
      <c r="Y1078" s="153"/>
      <c r="Z1078" s="153"/>
      <c r="AA1078" s="153"/>
      <c r="AB1078" s="153"/>
      <c r="AC1078" s="153"/>
      <c r="AD1078" s="153"/>
      <c r="AE1078" s="153"/>
      <c r="AF1078" s="153"/>
      <c r="AG1078" s="153"/>
      <c r="AH1078" s="153"/>
      <c r="AI1078" s="153"/>
      <c r="AJ1078" s="153"/>
      <c r="AK1078" s="153"/>
      <c r="AL1078" s="153"/>
      <c r="AM1078" s="153"/>
      <c r="AN1078" s="153"/>
      <c r="AO1078" s="153"/>
    </row>
    <row r="1079" ht="25.5" customHeight="1">
      <c r="A1079" s="145">
        <v>46230.0</v>
      </c>
      <c r="B1079" s="146" t="s">
        <v>1050</v>
      </c>
      <c r="C1079" s="146" t="s">
        <v>14</v>
      </c>
      <c r="D1079" s="146" t="s">
        <v>13</v>
      </c>
      <c r="E1079" s="159" t="s">
        <v>70</v>
      </c>
      <c r="F1079" s="146" t="s">
        <v>71</v>
      </c>
      <c r="G1079" s="147">
        <v>2000.0</v>
      </c>
      <c r="H1079" s="148">
        <v>20374.0</v>
      </c>
      <c r="I1079" s="149">
        <v>4.0748E7</v>
      </c>
      <c r="J1079" s="149">
        <v>3259840.0</v>
      </c>
      <c r="K1079" s="149">
        <v>4.400784E7</v>
      </c>
      <c r="L1079" s="150" t="s">
        <v>1400</v>
      </c>
      <c r="M1079" s="151" t="str">
        <f>VLOOKUP(L1079,'Đơn đặt'!$C$3:$E$6000,2,0)</f>
        <v>05-09-TS</v>
      </c>
      <c r="N1079" s="151" t="str">
        <f>VLOOKUP(L1079,'Đơn đặt'!$C$3:$E$6000,3,0)</f>
        <v>68-2026/TS-AVP/ĐĐH</v>
      </c>
      <c r="O1079" s="145">
        <v>46230.0</v>
      </c>
      <c r="P1079" s="146" t="s">
        <v>1611</v>
      </c>
      <c r="Q1079" s="148">
        <v>2000.0</v>
      </c>
      <c r="R1079" s="148">
        <v>18666.8</v>
      </c>
      <c r="S1079" s="149">
        <v>3.73336E7</v>
      </c>
      <c r="T1079" s="149">
        <v>2986688.0</v>
      </c>
      <c r="U1079" s="149">
        <f t="shared" si="230"/>
        <v>40320288</v>
      </c>
      <c r="V1079" s="153"/>
      <c r="W1079" s="153"/>
      <c r="X1079" s="153"/>
      <c r="Y1079" s="153"/>
      <c r="Z1079" s="153"/>
      <c r="AA1079" s="153"/>
      <c r="AB1079" s="153"/>
      <c r="AC1079" s="153"/>
      <c r="AD1079" s="153"/>
      <c r="AE1079" s="153"/>
      <c r="AF1079" s="153"/>
      <c r="AG1079" s="153"/>
      <c r="AH1079" s="153"/>
      <c r="AI1079" s="153"/>
      <c r="AJ1079" s="153"/>
      <c r="AK1079" s="153"/>
      <c r="AL1079" s="153"/>
      <c r="AM1079" s="153"/>
      <c r="AN1079" s="153"/>
      <c r="AO1079" s="153"/>
    </row>
    <row r="1080" ht="25.5" customHeight="1">
      <c r="A1080" s="145">
        <v>46230.0</v>
      </c>
      <c r="B1080" s="146" t="s">
        <v>1050</v>
      </c>
      <c r="C1080" s="146" t="s">
        <v>266</v>
      </c>
      <c r="D1080" s="146" t="s">
        <v>516</v>
      </c>
      <c r="E1080" s="159" t="s">
        <v>70</v>
      </c>
      <c r="F1080" s="146" t="s">
        <v>71</v>
      </c>
      <c r="G1080" s="147">
        <v>2500.0</v>
      </c>
      <c r="H1080" s="148">
        <v>18191.0</v>
      </c>
      <c r="I1080" s="149">
        <v>4.54775E7</v>
      </c>
      <c r="J1080" s="149">
        <v>3638200.0</v>
      </c>
      <c r="K1080" s="149">
        <v>4.91157E7</v>
      </c>
      <c r="L1080" s="150" t="s">
        <v>1612</v>
      </c>
      <c r="M1080" s="151" t="str">
        <f>VLOOKUP(L1080,'Đơn đặt'!$C$3:$E$6000,2,0)</f>
        <v>07-07/TS</v>
      </c>
      <c r="N1080" s="151" t="str">
        <f>VLOOKUP(L1080,'Đơn đặt'!$C$3:$E$6000,3,0)</f>
        <v> 86-2026/TS-AVP/ĐĐH</v>
      </c>
      <c r="O1080" s="145">
        <v>46230.0</v>
      </c>
      <c r="P1080" s="146" t="s">
        <v>1611</v>
      </c>
      <c r="Q1080" s="148">
        <v>2500.0</v>
      </c>
      <c r="R1080" s="148">
        <v>17454.2</v>
      </c>
      <c r="S1080" s="149">
        <v>4.36355E7</v>
      </c>
      <c r="T1080" s="149">
        <v>3490840.0</v>
      </c>
      <c r="U1080" s="149">
        <f t="shared" si="230"/>
        <v>47126340</v>
      </c>
      <c r="V1080" s="153"/>
      <c r="W1080" s="153"/>
      <c r="X1080" s="153"/>
      <c r="Y1080" s="153"/>
      <c r="Z1080" s="153"/>
      <c r="AA1080" s="153"/>
      <c r="AB1080" s="153"/>
      <c r="AC1080" s="153"/>
      <c r="AD1080" s="153"/>
      <c r="AE1080" s="153"/>
      <c r="AF1080" s="153"/>
      <c r="AG1080" s="153"/>
      <c r="AH1080" s="153"/>
      <c r="AI1080" s="153"/>
      <c r="AJ1080" s="153"/>
      <c r="AK1080" s="153"/>
      <c r="AL1080" s="153"/>
      <c r="AM1080" s="153"/>
      <c r="AN1080" s="153"/>
      <c r="AO1080" s="153"/>
    </row>
    <row r="1081" ht="25.5" customHeight="1">
      <c r="A1081" s="145">
        <v>46230.0</v>
      </c>
      <c r="B1081" s="146" t="s">
        <v>1056</v>
      </c>
      <c r="C1081" s="146" t="s">
        <v>295</v>
      </c>
      <c r="D1081" s="146" t="s">
        <v>341</v>
      </c>
      <c r="E1081" s="159" t="s">
        <v>70</v>
      </c>
      <c r="F1081" s="146" t="s">
        <v>112</v>
      </c>
      <c r="G1081" s="147">
        <v>1000.0</v>
      </c>
      <c r="H1081" s="148">
        <v>42560.0</v>
      </c>
      <c r="I1081" s="149">
        <v>4.256E7</v>
      </c>
      <c r="J1081" s="149">
        <v>3404800.0</v>
      </c>
      <c r="K1081" s="149">
        <v>4.59648E7</v>
      </c>
      <c r="L1081" s="150" t="s">
        <v>1613</v>
      </c>
      <c r="M1081" s="151" t="str">
        <f>VLOOKUP(L1081,'Đơn đặt'!$C$3:$E$6000,2,0)</f>
        <v>07-33/TS</v>
      </c>
      <c r="N1081" s="151" t="str">
        <f>VLOOKUP(L1081,'Đơn đặt'!$C$3:$E$6000,3,0)</f>
        <v> 87-2026/TS-AVP/ĐĐH</v>
      </c>
      <c r="O1081" s="145">
        <v>46230.0</v>
      </c>
      <c r="P1081" s="146" t="s">
        <v>1614</v>
      </c>
      <c r="Q1081" s="152">
        <f t="shared" ref="Q1081:Q1082" si="275">G1081</f>
        <v>1000</v>
      </c>
      <c r="R1081" s="148">
        <v>38912.0</v>
      </c>
      <c r="S1081" s="152">
        <f t="shared" ref="S1081:S1082" si="276">Q1081*R1081</f>
        <v>38912000</v>
      </c>
      <c r="T1081" s="152">
        <f t="shared" ref="T1081:T1082" si="277">S1081*8%</f>
        <v>3112960</v>
      </c>
      <c r="U1081" s="149">
        <f t="shared" si="230"/>
        <v>42024960</v>
      </c>
      <c r="V1081" s="153"/>
      <c r="W1081" s="153"/>
      <c r="X1081" s="153"/>
      <c r="Y1081" s="153"/>
      <c r="Z1081" s="153"/>
      <c r="AA1081" s="153"/>
      <c r="AB1081" s="153"/>
      <c r="AC1081" s="153"/>
      <c r="AD1081" s="153"/>
      <c r="AE1081" s="153"/>
      <c r="AF1081" s="153"/>
      <c r="AG1081" s="153"/>
      <c r="AH1081" s="153"/>
      <c r="AI1081" s="153"/>
      <c r="AJ1081" s="153"/>
      <c r="AK1081" s="153"/>
      <c r="AL1081" s="153"/>
      <c r="AM1081" s="153"/>
      <c r="AN1081" s="153"/>
      <c r="AO1081" s="153"/>
    </row>
    <row r="1082" ht="25.5" customHeight="1">
      <c r="A1082" s="145">
        <v>46230.0</v>
      </c>
      <c r="B1082" s="146" t="s">
        <v>1056</v>
      </c>
      <c r="C1082" s="146" t="s">
        <v>299</v>
      </c>
      <c r="D1082" s="146" t="s">
        <v>346</v>
      </c>
      <c r="E1082" s="159" t="s">
        <v>70</v>
      </c>
      <c r="F1082" s="146" t="s">
        <v>112</v>
      </c>
      <c r="G1082" s="147">
        <v>1000.0</v>
      </c>
      <c r="H1082" s="148">
        <v>42560.0</v>
      </c>
      <c r="I1082" s="149">
        <v>4.256E7</v>
      </c>
      <c r="J1082" s="149">
        <v>3404800.0</v>
      </c>
      <c r="K1082" s="149">
        <v>4.59648E7</v>
      </c>
      <c r="L1082" s="150" t="s">
        <v>1613</v>
      </c>
      <c r="M1082" s="151" t="str">
        <f>VLOOKUP(L1082,'Đơn đặt'!$C$3:$E$6000,2,0)</f>
        <v>07-33/TS</v>
      </c>
      <c r="N1082" s="151" t="str">
        <f>VLOOKUP(L1082,'Đơn đặt'!$C$3:$E$6000,3,0)</f>
        <v> 87-2026/TS-AVP/ĐĐH</v>
      </c>
      <c r="O1082" s="145">
        <v>46230.0</v>
      </c>
      <c r="P1082" s="146" t="s">
        <v>1614</v>
      </c>
      <c r="Q1082" s="152">
        <f t="shared" si="275"/>
        <v>1000</v>
      </c>
      <c r="R1082" s="148">
        <v>38912.0</v>
      </c>
      <c r="S1082" s="152">
        <f t="shared" si="276"/>
        <v>38912000</v>
      </c>
      <c r="T1082" s="152">
        <f t="shared" si="277"/>
        <v>3112960</v>
      </c>
      <c r="U1082" s="149">
        <f t="shared" si="230"/>
        <v>42024960</v>
      </c>
      <c r="V1082" s="153"/>
      <c r="W1082" s="153"/>
      <c r="X1082" s="153"/>
      <c r="Y1082" s="153"/>
      <c r="Z1082" s="153"/>
      <c r="AA1082" s="153"/>
      <c r="AB1082" s="153"/>
      <c r="AC1082" s="153"/>
      <c r="AD1082" s="153"/>
      <c r="AE1082" s="153"/>
      <c r="AF1082" s="153"/>
      <c r="AG1082" s="153"/>
      <c r="AH1082" s="153"/>
      <c r="AI1082" s="153"/>
      <c r="AJ1082" s="153"/>
      <c r="AK1082" s="153"/>
      <c r="AL1082" s="153"/>
      <c r="AM1082" s="153"/>
      <c r="AN1082" s="153"/>
      <c r="AO1082" s="153"/>
    </row>
    <row r="1083" ht="25.5" customHeight="1">
      <c r="A1083" s="145">
        <v>46230.0</v>
      </c>
      <c r="B1083" s="146" t="s">
        <v>1615</v>
      </c>
      <c r="C1083" s="146" t="s">
        <v>59</v>
      </c>
      <c r="D1083" s="146" t="s">
        <v>105</v>
      </c>
      <c r="E1083" s="159" t="s">
        <v>70</v>
      </c>
      <c r="F1083" s="146" t="s">
        <v>71</v>
      </c>
      <c r="G1083" s="147">
        <v>3500.0</v>
      </c>
      <c r="H1083" s="148">
        <v>19206.0</v>
      </c>
      <c r="I1083" s="149">
        <v>6.7221E7</v>
      </c>
      <c r="J1083" s="149">
        <v>5377680.0</v>
      </c>
      <c r="K1083" s="149">
        <v>7.259868E7</v>
      </c>
      <c r="L1083" s="150" t="s">
        <v>1400</v>
      </c>
      <c r="M1083" s="151" t="str">
        <f>VLOOKUP(L1083,'Đơn đặt'!$C$3:$E$6000,2,0)</f>
        <v>05-09-TS</v>
      </c>
      <c r="N1083" s="151" t="str">
        <f>VLOOKUP(L1083,'Đơn đặt'!$C$3:$E$6000,3,0)</f>
        <v>68-2026/TS-AVP/ĐĐH</v>
      </c>
      <c r="O1083" s="145">
        <v>46230.0</v>
      </c>
      <c r="P1083" s="146" t="s">
        <v>1611</v>
      </c>
      <c r="Q1083" s="148">
        <v>3500.0</v>
      </c>
      <c r="R1083" s="148">
        <v>17073.2</v>
      </c>
      <c r="S1083" s="149">
        <v>5.97562E7</v>
      </c>
      <c r="T1083" s="149">
        <v>4780496.0</v>
      </c>
      <c r="U1083" s="149">
        <f t="shared" si="230"/>
        <v>64536696</v>
      </c>
      <c r="V1083" s="153"/>
      <c r="W1083" s="153"/>
      <c r="X1083" s="153"/>
      <c r="Y1083" s="153"/>
      <c r="Z1083" s="153"/>
      <c r="AA1083" s="153"/>
      <c r="AB1083" s="153"/>
      <c r="AC1083" s="153"/>
      <c r="AD1083" s="153"/>
      <c r="AE1083" s="153"/>
      <c r="AF1083" s="153"/>
      <c r="AG1083" s="153"/>
      <c r="AH1083" s="153"/>
      <c r="AI1083" s="153"/>
      <c r="AJ1083" s="153"/>
      <c r="AK1083" s="153"/>
      <c r="AL1083" s="153"/>
      <c r="AM1083" s="153"/>
      <c r="AN1083" s="153"/>
      <c r="AO1083" s="153"/>
    </row>
    <row r="1084" ht="25.5" customHeight="1">
      <c r="A1084" s="145">
        <v>46231.0</v>
      </c>
      <c r="B1084" s="146" t="s">
        <v>1616</v>
      </c>
      <c r="C1084" s="146" t="s">
        <v>48</v>
      </c>
      <c r="D1084" s="146" t="s">
        <v>47</v>
      </c>
      <c r="E1084" s="159" t="s">
        <v>70</v>
      </c>
      <c r="F1084" s="146" t="s">
        <v>71</v>
      </c>
      <c r="G1084" s="147">
        <v>1430.0</v>
      </c>
      <c r="H1084" s="148">
        <v>19206.0</v>
      </c>
      <c r="I1084" s="149">
        <f t="shared" ref="I1084:I1085" si="278">G1084*H1084</f>
        <v>27464580</v>
      </c>
      <c r="J1084" s="149">
        <v>1.075536E7</v>
      </c>
      <c r="K1084" s="149">
        <v>1.4519736E8</v>
      </c>
      <c r="L1084" s="150" t="s">
        <v>1400</v>
      </c>
      <c r="M1084" s="151" t="str">
        <f>VLOOKUP(L1084,'Đơn đặt'!$C$3:$E$6000,2,0)</f>
        <v>05-09-TS</v>
      </c>
      <c r="N1084" s="151" t="str">
        <f>VLOOKUP(L1084,'Đơn đặt'!$C$3:$E$6000,3,0)</f>
        <v>68-2026/TS-AVP/ĐĐH</v>
      </c>
      <c r="O1084" s="145">
        <v>46227.0</v>
      </c>
      <c r="P1084" s="146" t="s">
        <v>1617</v>
      </c>
      <c r="Q1084" s="147">
        <v>1430.0</v>
      </c>
      <c r="R1084" s="148">
        <v>15209.2</v>
      </c>
      <c r="S1084" s="149">
        <f t="shared" ref="S1084:S1085" si="279">Q1084*R1084</f>
        <v>21749156</v>
      </c>
      <c r="T1084" s="149">
        <v>1.075536E7</v>
      </c>
      <c r="U1084" s="149">
        <v>1.4519736E8</v>
      </c>
      <c r="V1084" s="153"/>
      <c r="W1084" s="153"/>
      <c r="X1084" s="153"/>
      <c r="Y1084" s="153"/>
      <c r="Z1084" s="153"/>
      <c r="AA1084" s="153"/>
      <c r="AB1084" s="153"/>
      <c r="AC1084" s="153"/>
      <c r="AD1084" s="153"/>
      <c r="AE1084" s="153"/>
      <c r="AF1084" s="153"/>
      <c r="AG1084" s="153"/>
      <c r="AH1084" s="153"/>
      <c r="AI1084" s="153"/>
      <c r="AJ1084" s="153"/>
      <c r="AK1084" s="153"/>
      <c r="AL1084" s="153"/>
      <c r="AM1084" s="153"/>
      <c r="AN1084" s="153"/>
      <c r="AO1084" s="153"/>
    </row>
    <row r="1085" ht="25.5" customHeight="1">
      <c r="A1085" s="145">
        <v>46231.0</v>
      </c>
      <c r="B1085" s="146" t="s">
        <v>1616</v>
      </c>
      <c r="C1085" s="146" t="s">
        <v>48</v>
      </c>
      <c r="D1085" s="146" t="s">
        <v>47</v>
      </c>
      <c r="E1085" s="159" t="s">
        <v>70</v>
      </c>
      <c r="F1085" s="146" t="s">
        <v>71</v>
      </c>
      <c r="G1085" s="147">
        <v>1570.0</v>
      </c>
      <c r="H1085" s="148">
        <v>19206.0</v>
      </c>
      <c r="I1085" s="149">
        <f t="shared" si="278"/>
        <v>30153420</v>
      </c>
      <c r="J1085" s="149">
        <v>1.075536E7</v>
      </c>
      <c r="K1085" s="149">
        <v>1.4519736E8</v>
      </c>
      <c r="L1085" s="150" t="s">
        <v>1618</v>
      </c>
      <c r="M1085" s="151" t="str">
        <f>VLOOKUP(L1085,'Đơn đặt'!$C$3:$E$6000,2,0)</f>
        <v>06-08/TS</v>
      </c>
      <c r="N1085" s="151" t="str">
        <f>VLOOKUP(L1085,'Đơn đặt'!$C$3:$E$6000,3,0)</f>
        <v>77-2026/TS-AVP/ĐĐH</v>
      </c>
      <c r="O1085" s="145">
        <v>46227.0</v>
      </c>
      <c r="P1085" s="146" t="s">
        <v>1617</v>
      </c>
      <c r="Q1085" s="147">
        <v>1570.0</v>
      </c>
      <c r="R1085" s="148">
        <v>15209.2</v>
      </c>
      <c r="S1085" s="149">
        <f t="shared" si="279"/>
        <v>23878444</v>
      </c>
      <c r="T1085" s="149">
        <v>1.075536E7</v>
      </c>
      <c r="U1085" s="149">
        <v>1.4519736E8</v>
      </c>
      <c r="V1085" s="153"/>
      <c r="W1085" s="153"/>
      <c r="X1085" s="153"/>
      <c r="Y1085" s="153"/>
      <c r="Z1085" s="153"/>
      <c r="AA1085" s="153"/>
      <c r="AB1085" s="153"/>
      <c r="AC1085" s="153"/>
      <c r="AD1085" s="153"/>
      <c r="AE1085" s="153"/>
      <c r="AF1085" s="153"/>
      <c r="AG1085" s="153"/>
      <c r="AH1085" s="153"/>
      <c r="AI1085" s="153"/>
      <c r="AJ1085" s="153"/>
      <c r="AK1085" s="153"/>
      <c r="AL1085" s="153"/>
      <c r="AM1085" s="153"/>
      <c r="AN1085" s="153"/>
      <c r="AO1085" s="153"/>
    </row>
    <row r="1086" ht="25.5" customHeight="1">
      <c r="A1086" s="145">
        <v>46231.0</v>
      </c>
      <c r="B1086" s="146" t="s">
        <v>1616</v>
      </c>
      <c r="C1086" s="146" t="s">
        <v>48</v>
      </c>
      <c r="D1086" s="146" t="s">
        <v>47</v>
      </c>
      <c r="E1086" s="159" t="s">
        <v>70</v>
      </c>
      <c r="F1086" s="146" t="s">
        <v>71</v>
      </c>
      <c r="G1086" s="147">
        <v>4000.0</v>
      </c>
      <c r="H1086" s="148">
        <v>19206.0</v>
      </c>
      <c r="I1086" s="149">
        <v>1.34442E8</v>
      </c>
      <c r="J1086" s="149">
        <v>1.075536E7</v>
      </c>
      <c r="K1086" s="149">
        <v>1.4519736E8</v>
      </c>
      <c r="L1086" s="150" t="s">
        <v>1618</v>
      </c>
      <c r="M1086" s="151" t="str">
        <f>VLOOKUP(L1086,'Đơn đặt'!$C$3:$E$6000,2,0)</f>
        <v>06-08/TS</v>
      </c>
      <c r="N1086" s="151" t="str">
        <f>VLOOKUP(L1086,'Đơn đặt'!$C$3:$E$6000,3,0)</f>
        <v>77-2026/TS-AVP/ĐĐH</v>
      </c>
      <c r="O1086" s="145">
        <v>46231.0</v>
      </c>
      <c r="P1086" s="168" t="s">
        <v>1619</v>
      </c>
      <c r="Q1086" s="148">
        <v>4000.0</v>
      </c>
      <c r="R1086" s="148">
        <v>14503.64</v>
      </c>
      <c r="S1086" s="149">
        <v>5.801456E7</v>
      </c>
      <c r="T1086" s="149">
        <v>4641165.0</v>
      </c>
      <c r="U1086" s="149">
        <f t="shared" ref="U1086:U1094" si="280">S1086+T1086</f>
        <v>62655725</v>
      </c>
      <c r="V1086" s="153"/>
      <c r="W1086" s="153"/>
      <c r="X1086" s="153"/>
      <c r="Y1086" s="153"/>
      <c r="Z1086" s="153"/>
      <c r="AA1086" s="153"/>
      <c r="AB1086" s="153"/>
      <c r="AC1086" s="153"/>
      <c r="AD1086" s="153"/>
      <c r="AE1086" s="153"/>
      <c r="AF1086" s="153"/>
      <c r="AG1086" s="153"/>
      <c r="AH1086" s="153"/>
      <c r="AI1086" s="153"/>
      <c r="AJ1086" s="153"/>
      <c r="AK1086" s="153"/>
      <c r="AL1086" s="153"/>
      <c r="AM1086" s="153"/>
      <c r="AN1086" s="153"/>
      <c r="AO1086" s="153"/>
    </row>
    <row r="1087" ht="25.5" customHeight="1">
      <c r="A1087" s="145">
        <v>46231.0</v>
      </c>
      <c r="B1087" s="146" t="s">
        <v>1616</v>
      </c>
      <c r="C1087" s="146" t="s">
        <v>50</v>
      </c>
      <c r="D1087" s="146" t="s">
        <v>49</v>
      </c>
      <c r="E1087" s="159" t="s">
        <v>70</v>
      </c>
      <c r="F1087" s="146" t="s">
        <v>71</v>
      </c>
      <c r="G1087" s="147">
        <v>2000.0</v>
      </c>
      <c r="H1087" s="148">
        <v>19206.0</v>
      </c>
      <c r="I1087" s="149">
        <v>3.8412E7</v>
      </c>
      <c r="J1087" s="149">
        <v>3072960.0</v>
      </c>
      <c r="K1087" s="149">
        <v>4.148496E7</v>
      </c>
      <c r="L1087" s="150" t="s">
        <v>1400</v>
      </c>
      <c r="M1087" s="151" t="str">
        <f>VLOOKUP(L1087,'Đơn đặt'!$C$3:$E$6000,2,0)</f>
        <v>05-09-TS</v>
      </c>
      <c r="N1087" s="151" t="str">
        <f>VLOOKUP(L1087,'Đơn đặt'!$C$3:$E$6000,3,0)</f>
        <v>68-2026/TS-AVP/ĐĐH</v>
      </c>
      <c r="O1087" s="145">
        <v>46227.0</v>
      </c>
      <c r="P1087" s="146" t="s">
        <v>1617</v>
      </c>
      <c r="Q1087" s="148">
        <v>2000.0</v>
      </c>
      <c r="R1087" s="148">
        <v>15209.2</v>
      </c>
      <c r="S1087" s="149">
        <v>3.04184E7</v>
      </c>
      <c r="T1087" s="149">
        <v>2433472.0</v>
      </c>
      <c r="U1087" s="149">
        <f t="shared" si="280"/>
        <v>32851872</v>
      </c>
      <c r="V1087" s="153"/>
      <c r="W1087" s="153"/>
      <c r="X1087" s="153"/>
      <c r="Y1087" s="153"/>
      <c r="Z1087" s="153"/>
      <c r="AA1087" s="153"/>
      <c r="AB1087" s="153"/>
      <c r="AC1087" s="153"/>
      <c r="AD1087" s="153"/>
      <c r="AE1087" s="153"/>
      <c r="AF1087" s="153"/>
      <c r="AG1087" s="153"/>
      <c r="AH1087" s="153"/>
      <c r="AI1087" s="153"/>
      <c r="AJ1087" s="153"/>
      <c r="AK1087" s="153"/>
      <c r="AL1087" s="153"/>
      <c r="AM1087" s="153"/>
      <c r="AN1087" s="153"/>
      <c r="AO1087" s="153"/>
    </row>
    <row r="1088" ht="25.5" customHeight="1">
      <c r="A1088" s="145">
        <v>46231.0</v>
      </c>
      <c r="B1088" s="146" t="s">
        <v>1620</v>
      </c>
      <c r="C1088" s="146" t="s">
        <v>55</v>
      </c>
      <c r="D1088" s="146" t="s">
        <v>53</v>
      </c>
      <c r="E1088" s="159" t="s">
        <v>70</v>
      </c>
      <c r="F1088" s="146" t="s">
        <v>71</v>
      </c>
      <c r="G1088" s="147">
        <v>1000.0</v>
      </c>
      <c r="H1088" s="148">
        <v>21025.0</v>
      </c>
      <c r="I1088" s="149">
        <v>2.1025E7</v>
      </c>
      <c r="J1088" s="149">
        <v>1682000.0</v>
      </c>
      <c r="K1088" s="149">
        <v>2.2707E7</v>
      </c>
      <c r="L1088" s="150" t="s">
        <v>1309</v>
      </c>
      <c r="M1088" s="151" t="str">
        <f>VLOOKUP(L1088,'Đơn đặt'!$C$3:$E$6000,2,0)</f>
        <v>04-08-TS</v>
      </c>
      <c r="N1088" s="151" t="str">
        <f>VLOOKUP(L1088,'Đơn đặt'!$C$3:$E$6000,3,0)</f>
        <v>56-2026/TS-AVP/ĐĐH</v>
      </c>
      <c r="O1088" s="145">
        <v>46231.0</v>
      </c>
      <c r="P1088" s="146" t="s">
        <v>1621</v>
      </c>
      <c r="Q1088" s="148">
        <v>1000.0</v>
      </c>
      <c r="R1088" s="148">
        <v>17629.0</v>
      </c>
      <c r="S1088" s="149">
        <v>1.7629E7</v>
      </c>
      <c r="T1088" s="149">
        <v>1410320.0</v>
      </c>
      <c r="U1088" s="149">
        <f t="shared" si="280"/>
        <v>19039320</v>
      </c>
      <c r="V1088" s="153"/>
      <c r="W1088" s="153"/>
      <c r="X1088" s="153"/>
      <c r="Y1088" s="153"/>
      <c r="Z1088" s="153"/>
      <c r="AA1088" s="153"/>
      <c r="AB1088" s="153"/>
      <c r="AC1088" s="153"/>
      <c r="AD1088" s="153"/>
      <c r="AE1088" s="153"/>
      <c r="AF1088" s="153"/>
      <c r="AG1088" s="153"/>
      <c r="AH1088" s="153"/>
      <c r="AI1088" s="153"/>
      <c r="AJ1088" s="153"/>
      <c r="AK1088" s="153"/>
      <c r="AL1088" s="153"/>
      <c r="AM1088" s="153"/>
      <c r="AN1088" s="153"/>
      <c r="AO1088" s="153"/>
    </row>
    <row r="1089" ht="25.5" customHeight="1">
      <c r="A1089" s="145">
        <v>46231.0</v>
      </c>
      <c r="B1089" s="146" t="s">
        <v>1622</v>
      </c>
      <c r="C1089" s="146" t="s">
        <v>38</v>
      </c>
      <c r="D1089" s="146" t="s">
        <v>36</v>
      </c>
      <c r="E1089" s="159" t="s">
        <v>70</v>
      </c>
      <c r="F1089" s="146" t="s">
        <v>71</v>
      </c>
      <c r="G1089" s="147">
        <v>2000.0</v>
      </c>
      <c r="H1089" s="148">
        <v>19901.0</v>
      </c>
      <c r="I1089" s="149">
        <v>3.9802E7</v>
      </c>
      <c r="J1089" s="149">
        <v>3184160.0</v>
      </c>
      <c r="K1089" s="149">
        <v>4.298616E7</v>
      </c>
      <c r="L1089" s="150" t="s">
        <v>1471</v>
      </c>
      <c r="M1089" s="151" t="str">
        <f>VLOOKUP(L1089,'Đơn đặt'!$C$3:$E$6000,2,0)</f>
        <v>06-08/TS</v>
      </c>
      <c r="N1089" s="151" t="str">
        <f>VLOOKUP(L1089,'Đơn đặt'!$C$3:$E$6000,3,0)</f>
        <v>75-2026/TS-AVP/ĐĐH</v>
      </c>
      <c r="O1089" s="145">
        <v>46231.0</v>
      </c>
      <c r="P1089" s="146" t="s">
        <v>1623</v>
      </c>
      <c r="Q1089" s="148">
        <v>2000.0</v>
      </c>
      <c r="R1089" s="148">
        <v>19156.2</v>
      </c>
      <c r="S1089" s="149">
        <v>3.83124E7</v>
      </c>
      <c r="T1089" s="149">
        <v>3064992.0</v>
      </c>
      <c r="U1089" s="149">
        <f t="shared" si="280"/>
        <v>41377392</v>
      </c>
      <c r="V1089" s="153"/>
      <c r="W1089" s="153"/>
      <c r="X1089" s="153"/>
      <c r="Y1089" s="153"/>
      <c r="Z1089" s="153"/>
      <c r="AA1089" s="153"/>
      <c r="AB1089" s="153"/>
      <c r="AC1089" s="153"/>
      <c r="AD1089" s="153"/>
      <c r="AE1089" s="153"/>
      <c r="AF1089" s="153"/>
      <c r="AG1089" s="153"/>
      <c r="AH1089" s="153"/>
      <c r="AI1089" s="153"/>
      <c r="AJ1089" s="153"/>
      <c r="AK1089" s="153"/>
      <c r="AL1089" s="153"/>
      <c r="AM1089" s="153"/>
      <c r="AN1089" s="153"/>
      <c r="AO1089" s="153"/>
    </row>
    <row r="1090" ht="25.5" customHeight="1">
      <c r="A1090" s="145">
        <v>46231.0</v>
      </c>
      <c r="B1090" s="146" t="s">
        <v>1622</v>
      </c>
      <c r="C1090" s="146" t="s">
        <v>119</v>
      </c>
      <c r="D1090" s="146" t="s">
        <v>120</v>
      </c>
      <c r="E1090" s="159" t="s">
        <v>70</v>
      </c>
      <c r="F1090" s="146" t="s">
        <v>71</v>
      </c>
      <c r="G1090" s="147">
        <v>2500.0</v>
      </c>
      <c r="H1090" s="148">
        <v>20276.0</v>
      </c>
      <c r="I1090" s="149">
        <v>5.069E7</v>
      </c>
      <c r="J1090" s="149">
        <v>4055200.0</v>
      </c>
      <c r="K1090" s="149">
        <v>5.47452E7</v>
      </c>
      <c r="L1090" s="150" t="s">
        <v>1624</v>
      </c>
      <c r="M1090" s="151" t="str">
        <f>VLOOKUP(L1090,'Đơn đặt'!$C$3:$E$6000,2,0)</f>
        <v>05-07-TS</v>
      </c>
      <c r="N1090" s="151" t="str">
        <f>VLOOKUP(L1090,'Đơn đặt'!$C$3:$E$6000,3,0)</f>
        <v>65-2026/TS-AVP/ĐĐH</v>
      </c>
      <c r="O1090" s="145">
        <v>46231.0</v>
      </c>
      <c r="P1090" s="146" t="s">
        <v>1623</v>
      </c>
      <c r="Q1090" s="148">
        <v>2500.0</v>
      </c>
      <c r="R1090" s="148">
        <v>18311.2</v>
      </c>
      <c r="S1090" s="149">
        <v>4.5778E7</v>
      </c>
      <c r="T1090" s="149">
        <v>3662240.0</v>
      </c>
      <c r="U1090" s="149">
        <f t="shared" si="280"/>
        <v>49440240</v>
      </c>
      <c r="V1090" s="153"/>
      <c r="W1090" s="153"/>
      <c r="X1090" s="153"/>
      <c r="Y1090" s="153"/>
      <c r="Z1090" s="153"/>
      <c r="AA1090" s="153"/>
      <c r="AB1090" s="153"/>
      <c r="AC1090" s="153"/>
      <c r="AD1090" s="153"/>
      <c r="AE1090" s="153"/>
      <c r="AF1090" s="153"/>
      <c r="AG1090" s="153"/>
      <c r="AH1090" s="153"/>
      <c r="AI1090" s="153"/>
      <c r="AJ1090" s="153"/>
      <c r="AK1090" s="153"/>
      <c r="AL1090" s="153"/>
      <c r="AM1090" s="153"/>
      <c r="AN1090" s="153"/>
      <c r="AO1090" s="153"/>
    </row>
    <row r="1091" ht="25.5" customHeight="1">
      <c r="A1091" s="145">
        <v>46231.0</v>
      </c>
      <c r="B1091" s="146" t="s">
        <v>1622</v>
      </c>
      <c r="C1091" s="146" t="s">
        <v>423</v>
      </c>
      <c r="D1091" s="146" t="s">
        <v>424</v>
      </c>
      <c r="E1091" s="159" t="s">
        <v>70</v>
      </c>
      <c r="F1091" s="146" t="s">
        <v>71</v>
      </c>
      <c r="G1091" s="147">
        <v>150.0</v>
      </c>
      <c r="H1091" s="148">
        <v>19283.0</v>
      </c>
      <c r="I1091" s="149">
        <v>2892450.0</v>
      </c>
      <c r="J1091" s="149">
        <v>231396.0</v>
      </c>
      <c r="K1091" s="149">
        <v>3123846.0</v>
      </c>
      <c r="L1091" s="150" t="s">
        <v>1625</v>
      </c>
      <c r="M1091" s="151" t="str">
        <f>VLOOKUP(L1091,'Đơn đặt'!$C$3:$E$6000,2,0)</f>
        <v>07-14/TS</v>
      </c>
      <c r="N1091" s="151" t="str">
        <f>VLOOKUP(L1091,'Đơn đặt'!$C$3:$E$6000,3,0)</f>
        <v> 91-2026/TS-AVP/ĐĐH</v>
      </c>
      <c r="O1091" s="145">
        <v>46231.0</v>
      </c>
      <c r="P1091" s="146" t="s">
        <v>1623</v>
      </c>
      <c r="Q1091" s="148">
        <v>150.0</v>
      </c>
      <c r="R1091" s="148">
        <v>18360.6</v>
      </c>
      <c r="S1091" s="149">
        <v>2754090.0</v>
      </c>
      <c r="T1091" s="149">
        <v>220327.0</v>
      </c>
      <c r="U1091" s="149">
        <f t="shared" si="280"/>
        <v>2974417</v>
      </c>
      <c r="V1091" s="153"/>
      <c r="W1091" s="153"/>
      <c r="X1091" s="153"/>
      <c r="Y1091" s="153"/>
      <c r="Z1091" s="153"/>
      <c r="AA1091" s="153"/>
      <c r="AB1091" s="153"/>
      <c r="AC1091" s="153"/>
      <c r="AD1091" s="153"/>
      <c r="AE1091" s="153"/>
      <c r="AF1091" s="153"/>
      <c r="AG1091" s="153"/>
      <c r="AH1091" s="153"/>
      <c r="AI1091" s="153"/>
      <c r="AJ1091" s="153"/>
      <c r="AK1091" s="153"/>
      <c r="AL1091" s="153"/>
      <c r="AM1091" s="153"/>
      <c r="AN1091" s="153"/>
      <c r="AO1091" s="153"/>
    </row>
    <row r="1092" ht="25.5" customHeight="1">
      <c r="A1092" s="145">
        <v>46233.0</v>
      </c>
      <c r="B1092" s="146" t="s">
        <v>1626</v>
      </c>
      <c r="C1092" s="146" t="s">
        <v>402</v>
      </c>
      <c r="D1092" s="146" t="s">
        <v>403</v>
      </c>
      <c r="E1092" s="159" t="s">
        <v>70</v>
      </c>
      <c r="F1092" s="146" t="s">
        <v>71</v>
      </c>
      <c r="G1092" s="147">
        <v>1180.0</v>
      </c>
      <c r="H1092" s="148">
        <v>19901.0</v>
      </c>
      <c r="I1092" s="149">
        <v>2.348318E7</v>
      </c>
      <c r="J1092" s="149">
        <v>1878654.0</v>
      </c>
      <c r="K1092" s="149">
        <v>2.5361834E7</v>
      </c>
      <c r="L1092" s="150" t="s">
        <v>1627</v>
      </c>
      <c r="M1092" s="151" t="str">
        <f>VLOOKUP(L1092,'Đơn đặt'!$C$3:$E$6000,2,0)</f>
        <v>07-14/TS</v>
      </c>
      <c r="N1092" s="151" t="str">
        <f>VLOOKUP(L1092,'Đơn đặt'!$C$3:$E$6000,3,0)</f>
        <v> 91-2026/TS-AVP/ĐĐH</v>
      </c>
      <c r="O1092" s="145">
        <v>46233.0</v>
      </c>
      <c r="P1092" s="146" t="s">
        <v>1628</v>
      </c>
      <c r="Q1092" s="152">
        <f>G1092</f>
        <v>1180</v>
      </c>
      <c r="R1092" s="148">
        <v>19156.2</v>
      </c>
      <c r="S1092" s="152">
        <f>R1092*Q1092</f>
        <v>22604316</v>
      </c>
      <c r="T1092" s="152">
        <f>8%*S1092</f>
        <v>1808345.28</v>
      </c>
      <c r="U1092" s="149">
        <f t="shared" si="280"/>
        <v>24412661.28</v>
      </c>
      <c r="V1092" s="153"/>
      <c r="W1092" s="153"/>
      <c r="X1092" s="153"/>
      <c r="Y1092" s="153"/>
      <c r="Z1092" s="153"/>
      <c r="AA1092" s="153"/>
      <c r="AB1092" s="153"/>
      <c r="AC1092" s="153"/>
      <c r="AD1092" s="153"/>
      <c r="AE1092" s="153"/>
      <c r="AF1092" s="153"/>
      <c r="AG1092" s="153"/>
      <c r="AH1092" s="153"/>
      <c r="AI1092" s="153"/>
      <c r="AJ1092" s="153"/>
      <c r="AK1092" s="153"/>
      <c r="AL1092" s="153"/>
      <c r="AM1092" s="153"/>
      <c r="AN1092" s="153"/>
      <c r="AO1092" s="153"/>
    </row>
    <row r="1093" ht="25.5" customHeight="1">
      <c r="A1093" s="145">
        <v>46233.0</v>
      </c>
      <c r="B1093" s="146" t="s">
        <v>1629</v>
      </c>
      <c r="C1093" s="146" t="s">
        <v>59</v>
      </c>
      <c r="D1093" s="146" t="s">
        <v>105</v>
      </c>
      <c r="E1093" s="159" t="s">
        <v>70</v>
      </c>
      <c r="F1093" s="146" t="s">
        <v>71</v>
      </c>
      <c r="G1093" s="147">
        <v>3000.0</v>
      </c>
      <c r="H1093" s="148">
        <v>19206.0</v>
      </c>
      <c r="I1093" s="149">
        <v>5.7618E7</v>
      </c>
      <c r="J1093" s="149">
        <v>4609440.0</v>
      </c>
      <c r="K1093" s="149">
        <v>6.222744E7</v>
      </c>
      <c r="L1093" s="150" t="s">
        <v>1449</v>
      </c>
      <c r="M1093" s="151" t="str">
        <f>VLOOKUP(L1093,'Đơn đặt'!$C$3:$E$6000,2,0)</f>
        <v>05-09-TS</v>
      </c>
      <c r="N1093" s="151" t="str">
        <f>VLOOKUP(L1093,'Đơn đặt'!$C$3:$E$6000,3,0)</f>
        <v>68-2026/TS-AVP/ĐĐH</v>
      </c>
      <c r="O1093" s="145">
        <v>46233.0</v>
      </c>
      <c r="P1093" s="146" t="s">
        <v>1628</v>
      </c>
      <c r="Q1093" s="148">
        <v>3000.0</v>
      </c>
      <c r="R1093" s="148">
        <v>17073.2</v>
      </c>
      <c r="S1093" s="149">
        <v>5.12196E7</v>
      </c>
      <c r="T1093" s="149">
        <v>4097567.0</v>
      </c>
      <c r="U1093" s="149">
        <f t="shared" si="280"/>
        <v>55317167</v>
      </c>
      <c r="V1093" s="153"/>
      <c r="W1093" s="153"/>
      <c r="X1093" s="153"/>
      <c r="Y1093" s="153"/>
      <c r="Z1093" s="153"/>
      <c r="AA1093" s="153"/>
      <c r="AB1093" s="153"/>
      <c r="AC1093" s="153"/>
      <c r="AD1093" s="153"/>
      <c r="AE1093" s="153"/>
      <c r="AF1093" s="153"/>
      <c r="AG1093" s="153"/>
      <c r="AH1093" s="153"/>
      <c r="AI1093" s="153"/>
      <c r="AJ1093" s="153"/>
      <c r="AK1093" s="153"/>
      <c r="AL1093" s="153"/>
      <c r="AM1093" s="153"/>
      <c r="AN1093" s="153"/>
      <c r="AO1093" s="153"/>
    </row>
    <row r="1094" ht="25.5" customHeight="1">
      <c r="A1094" s="145">
        <v>46233.0</v>
      </c>
      <c r="B1094" s="146" t="s">
        <v>1629</v>
      </c>
      <c r="C1094" s="146" t="s">
        <v>316</v>
      </c>
      <c r="D1094" s="146" t="s">
        <v>375</v>
      </c>
      <c r="E1094" s="159" t="s">
        <v>70</v>
      </c>
      <c r="F1094" s="146" t="s">
        <v>71</v>
      </c>
      <c r="G1094" s="147">
        <v>180.0</v>
      </c>
      <c r="H1094" s="148">
        <v>18975.0</v>
      </c>
      <c r="I1094" s="149">
        <v>3415500.0</v>
      </c>
      <c r="J1094" s="149">
        <v>273240.0</v>
      </c>
      <c r="K1094" s="149">
        <v>3688740.0</v>
      </c>
      <c r="L1094" s="150" t="s">
        <v>1630</v>
      </c>
      <c r="M1094" s="151" t="str">
        <f>VLOOKUP(L1094,'Đơn đặt'!$C$3:$E$6000,2,0)</f>
        <v>07-14/TS</v>
      </c>
      <c r="N1094" s="151" t="str">
        <f>VLOOKUP(L1094,'Đơn đặt'!$C$3:$E$6000,3,0)</f>
        <v> 91-2026/TS-AVP/ĐĐH</v>
      </c>
      <c r="O1094" s="145">
        <v>46233.0</v>
      </c>
      <c r="P1094" s="146" t="s">
        <v>1628</v>
      </c>
      <c r="Q1094" s="148">
        <v>180.0</v>
      </c>
      <c r="R1094" s="148">
        <v>17267.0</v>
      </c>
      <c r="S1094" s="149">
        <v>3108060.0</v>
      </c>
      <c r="T1094" s="149">
        <v>248645.0</v>
      </c>
      <c r="U1094" s="149">
        <f t="shared" si="280"/>
        <v>3356705</v>
      </c>
      <c r="V1094" s="153"/>
      <c r="W1094" s="153"/>
      <c r="X1094" s="153"/>
      <c r="Y1094" s="153"/>
      <c r="Z1094" s="153"/>
      <c r="AA1094" s="153"/>
      <c r="AB1094" s="153"/>
      <c r="AC1094" s="153"/>
      <c r="AD1094" s="153"/>
      <c r="AE1094" s="153"/>
      <c r="AF1094" s="153"/>
      <c r="AG1094" s="153"/>
      <c r="AH1094" s="153"/>
      <c r="AI1094" s="153"/>
      <c r="AJ1094" s="153"/>
      <c r="AK1094" s="153"/>
      <c r="AL1094" s="153"/>
      <c r="AM1094" s="153"/>
      <c r="AN1094" s="153"/>
      <c r="AO1094" s="153"/>
    </row>
    <row r="1095" ht="25.5" customHeight="1">
      <c r="A1095" s="145">
        <v>46233.0</v>
      </c>
      <c r="B1095" s="146" t="s">
        <v>1629</v>
      </c>
      <c r="C1095" s="146" t="s">
        <v>402</v>
      </c>
      <c r="D1095" s="146" t="s">
        <v>403</v>
      </c>
      <c r="E1095" s="159" t="s">
        <v>70</v>
      </c>
      <c r="F1095" s="146" t="s">
        <v>71</v>
      </c>
      <c r="G1095" s="147">
        <v>300.0</v>
      </c>
      <c r="H1095" s="148">
        <v>19901.0</v>
      </c>
      <c r="I1095" s="149">
        <f t="shared" ref="I1095:I1096" si="281">G1095*H1095</f>
        <v>5970300</v>
      </c>
      <c r="J1095" s="149">
        <v>1.075536E7</v>
      </c>
      <c r="K1095" s="149">
        <v>1.4519736E8</v>
      </c>
      <c r="L1095" s="150" t="s">
        <v>1350</v>
      </c>
      <c r="M1095" s="151" t="str">
        <f>VLOOKUP(L1095,'Đơn đặt'!$C$3:$E$6000,2,0)</f>
        <v>05-09-TS</v>
      </c>
      <c r="N1095" s="151" t="str">
        <f>VLOOKUP(L1095,'Đơn đặt'!$C$3:$E$6000,3,0)</f>
        <v>68-2026/TS-AVP/ĐĐH</v>
      </c>
      <c r="O1095" s="145">
        <v>46233.0</v>
      </c>
      <c r="P1095" s="146" t="s">
        <v>1628</v>
      </c>
      <c r="Q1095" s="152">
        <f t="shared" ref="Q1095:Q1096" si="282">G1095</f>
        <v>300</v>
      </c>
      <c r="R1095" s="148">
        <v>19156.2</v>
      </c>
      <c r="S1095" s="149">
        <f t="shared" ref="S1095:S1096" si="283">Q1095*R1095</f>
        <v>5746860</v>
      </c>
      <c r="T1095" s="149">
        <v>1.075536E7</v>
      </c>
      <c r="U1095" s="149">
        <v>1.4519736E8</v>
      </c>
      <c r="V1095" s="153"/>
      <c r="W1095" s="153"/>
      <c r="X1095" s="153"/>
      <c r="Y1095" s="153"/>
      <c r="Z1095" s="153"/>
      <c r="AA1095" s="153"/>
      <c r="AB1095" s="153"/>
      <c r="AC1095" s="153"/>
      <c r="AD1095" s="153"/>
      <c r="AE1095" s="153"/>
      <c r="AF1095" s="153"/>
      <c r="AG1095" s="153"/>
      <c r="AH1095" s="153"/>
      <c r="AI1095" s="153"/>
      <c r="AJ1095" s="153"/>
      <c r="AK1095" s="153"/>
      <c r="AL1095" s="153"/>
      <c r="AM1095" s="153"/>
      <c r="AN1095" s="153"/>
      <c r="AO1095" s="153"/>
    </row>
    <row r="1096" ht="25.5" customHeight="1">
      <c r="A1096" s="145">
        <v>46233.0</v>
      </c>
      <c r="B1096" s="146" t="s">
        <v>1629</v>
      </c>
      <c r="C1096" s="146" t="s">
        <v>402</v>
      </c>
      <c r="D1096" s="146" t="s">
        <v>403</v>
      </c>
      <c r="E1096" s="159" t="s">
        <v>70</v>
      </c>
      <c r="F1096" s="146" t="s">
        <v>71</v>
      </c>
      <c r="G1096" s="147">
        <v>100.0</v>
      </c>
      <c r="H1096" s="148">
        <v>19901.0</v>
      </c>
      <c r="I1096" s="149">
        <f t="shared" si="281"/>
        <v>1990100</v>
      </c>
      <c r="J1096" s="149">
        <v>1.075536E7</v>
      </c>
      <c r="K1096" s="149">
        <v>1.4519736E8</v>
      </c>
      <c r="L1096" s="150" t="s">
        <v>1627</v>
      </c>
      <c r="M1096" s="151" t="str">
        <f>VLOOKUP(L1096,'Đơn đặt'!$C$3:$E$6000,2,0)</f>
        <v>07-14/TS</v>
      </c>
      <c r="N1096" s="151" t="str">
        <f>VLOOKUP(L1096,'Đơn đặt'!$C$3:$E$6000,3,0)</f>
        <v> 91-2026/TS-AVP/ĐĐH</v>
      </c>
      <c r="O1096" s="145">
        <v>46233.0</v>
      </c>
      <c r="P1096" s="146" t="s">
        <v>1628</v>
      </c>
      <c r="Q1096" s="152">
        <f t="shared" si="282"/>
        <v>100</v>
      </c>
      <c r="R1096" s="148">
        <v>19156.2</v>
      </c>
      <c r="S1096" s="149">
        <f t="shared" si="283"/>
        <v>1915620</v>
      </c>
      <c r="T1096" s="149">
        <v>1.075536E7</v>
      </c>
      <c r="U1096" s="149">
        <v>1.4519736E8</v>
      </c>
      <c r="V1096" s="153"/>
      <c r="W1096" s="153"/>
      <c r="X1096" s="153"/>
      <c r="Y1096" s="153"/>
      <c r="Z1096" s="153"/>
      <c r="AA1096" s="153"/>
      <c r="AB1096" s="153"/>
      <c r="AC1096" s="153"/>
      <c r="AD1096" s="153"/>
      <c r="AE1096" s="153"/>
      <c r="AF1096" s="153"/>
      <c r="AG1096" s="153"/>
      <c r="AH1096" s="153"/>
      <c r="AI1096" s="153"/>
      <c r="AJ1096" s="153"/>
      <c r="AK1096" s="153"/>
      <c r="AL1096" s="153"/>
      <c r="AM1096" s="153"/>
      <c r="AN1096" s="153"/>
      <c r="AO1096" s="153"/>
    </row>
    <row r="1097" ht="25.5" customHeight="1">
      <c r="A1097" s="145">
        <v>46233.0</v>
      </c>
      <c r="B1097" s="146" t="s">
        <v>1631</v>
      </c>
      <c r="C1097" s="146" t="s">
        <v>48</v>
      </c>
      <c r="D1097" s="146" t="s">
        <v>47</v>
      </c>
      <c r="E1097" s="159" t="s">
        <v>70</v>
      </c>
      <c r="F1097" s="146" t="s">
        <v>71</v>
      </c>
      <c r="G1097" s="147">
        <v>4000.0</v>
      </c>
      <c r="H1097" s="148">
        <v>19206.0</v>
      </c>
      <c r="I1097" s="149">
        <v>7.6824E7</v>
      </c>
      <c r="J1097" s="149">
        <v>6145920.0</v>
      </c>
      <c r="K1097" s="149">
        <v>8.296992E7</v>
      </c>
      <c r="L1097" s="150" t="s">
        <v>1607</v>
      </c>
      <c r="M1097" s="151" t="str">
        <f>VLOOKUP(L1097,'Đơn đặt'!$C$3:$E$6000,2,0)</f>
        <v>06-08/TS</v>
      </c>
      <c r="N1097" s="151" t="str">
        <f>VLOOKUP(L1097,'Đơn đặt'!$C$3:$E$6000,3,0)</f>
        <v>78-2026/TS-AVP/ĐĐH</v>
      </c>
      <c r="O1097" s="145">
        <v>46233.0</v>
      </c>
      <c r="P1097" s="146" t="s">
        <v>1632</v>
      </c>
      <c r="Q1097" s="148">
        <v>4000.0</v>
      </c>
      <c r="R1097" s="148">
        <v>15209.2</v>
      </c>
      <c r="S1097" s="149">
        <v>6.08368E7</v>
      </c>
      <c r="T1097" s="149">
        <v>4866944.0</v>
      </c>
      <c r="U1097" s="149">
        <f t="shared" ref="U1097:U1113" si="284">S1097+T1097</f>
        <v>65703744</v>
      </c>
      <c r="V1097" s="153"/>
      <c r="W1097" s="153"/>
      <c r="X1097" s="153"/>
      <c r="Y1097" s="153"/>
      <c r="Z1097" s="153"/>
      <c r="AA1097" s="153"/>
      <c r="AB1097" s="153"/>
      <c r="AC1097" s="153"/>
      <c r="AD1097" s="153"/>
      <c r="AE1097" s="153"/>
      <c r="AF1097" s="153"/>
      <c r="AG1097" s="153"/>
      <c r="AH1097" s="153"/>
      <c r="AI1097" s="153"/>
      <c r="AJ1097" s="153"/>
      <c r="AK1097" s="153"/>
      <c r="AL1097" s="153"/>
      <c r="AM1097" s="153"/>
      <c r="AN1097" s="153"/>
      <c r="AO1097" s="153"/>
    </row>
    <row r="1098" ht="25.5" customHeight="1">
      <c r="A1098" s="145">
        <v>46233.0</v>
      </c>
      <c r="B1098" s="146" t="s">
        <v>1631</v>
      </c>
      <c r="C1098" s="146" t="s">
        <v>50</v>
      </c>
      <c r="D1098" s="146" t="s">
        <v>49</v>
      </c>
      <c r="E1098" s="159" t="s">
        <v>70</v>
      </c>
      <c r="F1098" s="146" t="s">
        <v>71</v>
      </c>
      <c r="G1098" s="147">
        <v>1500.0</v>
      </c>
      <c r="H1098" s="148">
        <v>19206.0</v>
      </c>
      <c r="I1098" s="149">
        <v>2.8809E7</v>
      </c>
      <c r="J1098" s="149">
        <v>2304720.0</v>
      </c>
      <c r="K1098" s="149">
        <v>3.111372E7</v>
      </c>
      <c r="L1098" s="150" t="s">
        <v>1428</v>
      </c>
      <c r="M1098" s="151" t="str">
        <f>VLOOKUP(L1098,'Đơn đặt'!$C$3:$E$6000,2,0)</f>
        <v>05-09-TS</v>
      </c>
      <c r="N1098" s="151" t="str">
        <f>VLOOKUP(L1098,'Đơn đặt'!$C$3:$E$6000,3,0)</f>
        <v>70-2026/TS-AVP/ĐĐH</v>
      </c>
      <c r="O1098" s="145">
        <v>46233.0</v>
      </c>
      <c r="P1098" s="146" t="s">
        <v>1632</v>
      </c>
      <c r="Q1098" s="148">
        <v>1500.0</v>
      </c>
      <c r="R1098" s="148">
        <v>15209.2</v>
      </c>
      <c r="S1098" s="149">
        <v>2.28138E7</v>
      </c>
      <c r="T1098" s="149">
        <v>1825104.0</v>
      </c>
      <c r="U1098" s="149">
        <f t="shared" si="284"/>
        <v>24638904</v>
      </c>
      <c r="V1098" s="153"/>
      <c r="W1098" s="153"/>
      <c r="X1098" s="153"/>
      <c r="Y1098" s="153"/>
      <c r="Z1098" s="153"/>
      <c r="AA1098" s="153"/>
      <c r="AB1098" s="153"/>
      <c r="AC1098" s="153"/>
      <c r="AD1098" s="153"/>
      <c r="AE1098" s="153"/>
      <c r="AF1098" s="153"/>
      <c r="AG1098" s="153"/>
      <c r="AH1098" s="153"/>
      <c r="AI1098" s="153"/>
      <c r="AJ1098" s="153"/>
      <c r="AK1098" s="153"/>
      <c r="AL1098" s="153"/>
      <c r="AM1098" s="153"/>
      <c r="AN1098" s="153"/>
      <c r="AO1098" s="153"/>
    </row>
    <row r="1099" ht="25.5" customHeight="1">
      <c r="A1099" s="145">
        <v>46233.0</v>
      </c>
      <c r="B1099" s="146" t="s">
        <v>1631</v>
      </c>
      <c r="C1099" s="146" t="s">
        <v>77</v>
      </c>
      <c r="D1099" s="146" t="s">
        <v>78</v>
      </c>
      <c r="E1099" s="159" t="s">
        <v>70</v>
      </c>
      <c r="F1099" s="146" t="s">
        <v>71</v>
      </c>
      <c r="G1099" s="147">
        <v>1000.0</v>
      </c>
      <c r="H1099" s="148">
        <v>22866.0</v>
      </c>
      <c r="I1099" s="149">
        <v>2.2866E7</v>
      </c>
      <c r="J1099" s="149">
        <v>1829280.0</v>
      </c>
      <c r="K1099" s="149">
        <v>2.469528E7</v>
      </c>
      <c r="L1099" s="150" t="s">
        <v>1633</v>
      </c>
      <c r="M1099" s="151" t="str">
        <f>VLOOKUP(L1099,'Đơn đặt'!$C$3:$E$6000,2,0)</f>
        <v>07-11/TS</v>
      </c>
      <c r="N1099" s="151" t="str">
        <f>VLOOKUP(L1099,'Đơn đặt'!$C$3:$E$6000,3,0)</f>
        <v> 88-2026/TS-AVP/ĐĐH</v>
      </c>
      <c r="O1099" s="145">
        <v>46233.0</v>
      </c>
      <c r="P1099" s="146" t="s">
        <v>1632</v>
      </c>
      <c r="Q1099" s="148">
        <v>1000.0</v>
      </c>
      <c r="R1099" s="148">
        <v>20709.2</v>
      </c>
      <c r="S1099" s="149">
        <v>2.07092E7</v>
      </c>
      <c r="T1099" s="149">
        <v>1656736.0</v>
      </c>
      <c r="U1099" s="149">
        <f t="shared" si="284"/>
        <v>22365936</v>
      </c>
      <c r="V1099" s="153"/>
      <c r="W1099" s="153"/>
      <c r="X1099" s="153"/>
      <c r="Y1099" s="153"/>
      <c r="Z1099" s="153"/>
      <c r="AA1099" s="153"/>
      <c r="AB1099" s="153"/>
      <c r="AC1099" s="153"/>
      <c r="AD1099" s="153"/>
      <c r="AE1099" s="153"/>
      <c r="AF1099" s="153"/>
      <c r="AG1099" s="153"/>
      <c r="AH1099" s="153"/>
      <c r="AI1099" s="153"/>
      <c r="AJ1099" s="153"/>
      <c r="AK1099" s="153"/>
      <c r="AL1099" s="153"/>
      <c r="AM1099" s="153"/>
      <c r="AN1099" s="153"/>
      <c r="AO1099" s="153"/>
    </row>
    <row r="1100" ht="25.5" customHeight="1">
      <c r="A1100" s="145">
        <v>46233.0</v>
      </c>
      <c r="B1100" s="146" t="s">
        <v>1631</v>
      </c>
      <c r="C1100" s="146" t="s">
        <v>436</v>
      </c>
      <c r="D1100" s="146" t="s">
        <v>437</v>
      </c>
      <c r="E1100" s="159" t="s">
        <v>70</v>
      </c>
      <c r="F1100" s="146" t="s">
        <v>71</v>
      </c>
      <c r="G1100" s="147">
        <v>200.0</v>
      </c>
      <c r="H1100" s="148">
        <v>19967.0</v>
      </c>
      <c r="I1100" s="149">
        <v>3993400.0</v>
      </c>
      <c r="J1100" s="149">
        <v>319472.0</v>
      </c>
      <c r="K1100" s="149">
        <v>4312872.0</v>
      </c>
      <c r="L1100" s="150" t="s">
        <v>1634</v>
      </c>
      <c r="M1100" s="151" t="str">
        <f>VLOOKUP(L1100,'Đơn đặt'!$C$3:$E$6000,2,0)</f>
        <v>07-14/TS</v>
      </c>
      <c r="N1100" s="151" t="str">
        <f>VLOOKUP(L1100,'Đơn đặt'!$C$3:$E$6000,3,0)</f>
        <v> 92-2026/TS-AVP/ĐĐH</v>
      </c>
      <c r="O1100" s="145">
        <v>46233.0</v>
      </c>
      <c r="P1100" s="146" t="s">
        <v>1632</v>
      </c>
      <c r="Q1100" s="148">
        <v>200.0</v>
      </c>
      <c r="R1100" s="148">
        <v>17905.4</v>
      </c>
      <c r="S1100" s="149">
        <v>3581080.0</v>
      </c>
      <c r="T1100" s="149">
        <v>286486.0</v>
      </c>
      <c r="U1100" s="149">
        <f t="shared" si="284"/>
        <v>3867566</v>
      </c>
      <c r="V1100" s="153"/>
      <c r="W1100" s="153"/>
      <c r="X1100" s="153"/>
      <c r="Y1100" s="153"/>
      <c r="Z1100" s="153"/>
      <c r="AA1100" s="153"/>
      <c r="AB1100" s="153"/>
      <c r="AC1100" s="153"/>
      <c r="AD1100" s="153"/>
      <c r="AE1100" s="153"/>
      <c r="AF1100" s="153"/>
      <c r="AG1100" s="153"/>
      <c r="AH1100" s="153"/>
      <c r="AI1100" s="153"/>
      <c r="AJ1100" s="153"/>
      <c r="AK1100" s="153"/>
      <c r="AL1100" s="153"/>
      <c r="AM1100" s="153"/>
      <c r="AN1100" s="153"/>
      <c r="AO1100" s="153"/>
    </row>
    <row r="1101" ht="25.5" customHeight="1">
      <c r="A1101" s="145">
        <v>46233.0</v>
      </c>
      <c r="B1101" s="146" t="s">
        <v>1067</v>
      </c>
      <c r="C1101" s="146" t="s">
        <v>14</v>
      </c>
      <c r="D1101" s="146" t="s">
        <v>13</v>
      </c>
      <c r="E1101" s="159" t="s">
        <v>70</v>
      </c>
      <c r="F1101" s="146" t="s">
        <v>71</v>
      </c>
      <c r="G1101" s="147">
        <v>1300.0</v>
      </c>
      <c r="H1101" s="148">
        <v>20374.0</v>
      </c>
      <c r="I1101" s="149">
        <v>2.64862E7</v>
      </c>
      <c r="J1101" s="149">
        <v>2118896.0</v>
      </c>
      <c r="K1101" s="149">
        <v>2.8605096E7</v>
      </c>
      <c r="L1101" s="150" t="s">
        <v>1400</v>
      </c>
      <c r="M1101" s="151" t="str">
        <f>VLOOKUP(L1101,'Đơn đặt'!$C$3:$E$6000,2,0)</f>
        <v>05-09-TS</v>
      </c>
      <c r="N1101" s="151" t="str">
        <f>VLOOKUP(L1101,'Đơn đặt'!$C$3:$E$6000,3,0)</f>
        <v>68-2026/TS-AVP/ĐĐH</v>
      </c>
      <c r="O1101" s="145">
        <v>46233.0</v>
      </c>
      <c r="P1101" s="146" t="s">
        <v>1635</v>
      </c>
      <c r="Q1101" s="147">
        <v>1300.0</v>
      </c>
      <c r="R1101" s="148">
        <v>18666.8</v>
      </c>
      <c r="S1101" s="149">
        <f t="shared" ref="S1101:S1103" si="285">Q1101*R1101</f>
        <v>24266840</v>
      </c>
      <c r="T1101" s="152">
        <f t="shared" ref="T1101:T1103" si="286">S1101*8%</f>
        <v>1941347.2</v>
      </c>
      <c r="U1101" s="149">
        <f t="shared" si="284"/>
        <v>26208187.2</v>
      </c>
      <c r="V1101" s="153"/>
      <c r="W1101" s="153"/>
      <c r="X1101" s="153"/>
      <c r="Y1101" s="153"/>
      <c r="Z1101" s="153"/>
      <c r="AA1101" s="153"/>
      <c r="AB1101" s="153"/>
      <c r="AC1101" s="153"/>
      <c r="AD1101" s="153"/>
      <c r="AE1101" s="153"/>
      <c r="AF1101" s="153"/>
      <c r="AG1101" s="153"/>
      <c r="AH1101" s="153"/>
      <c r="AI1101" s="153"/>
      <c r="AJ1101" s="153"/>
      <c r="AK1101" s="153"/>
      <c r="AL1101" s="153"/>
      <c r="AM1101" s="153"/>
      <c r="AN1101" s="153"/>
      <c r="AO1101" s="153"/>
    </row>
    <row r="1102" ht="25.5" customHeight="1">
      <c r="A1102" s="145">
        <v>46233.0</v>
      </c>
      <c r="B1102" s="146" t="s">
        <v>1067</v>
      </c>
      <c r="C1102" s="146" t="s">
        <v>222</v>
      </c>
      <c r="D1102" s="146" t="s">
        <v>223</v>
      </c>
      <c r="E1102" s="159" t="s">
        <v>70</v>
      </c>
      <c r="F1102" s="146" t="s">
        <v>71</v>
      </c>
      <c r="G1102" s="147">
        <v>250.0</v>
      </c>
      <c r="H1102" s="148">
        <v>20276.0</v>
      </c>
      <c r="I1102" s="149">
        <v>5069000.0</v>
      </c>
      <c r="J1102" s="149">
        <v>405520.0</v>
      </c>
      <c r="K1102" s="149">
        <v>5474520.0</v>
      </c>
      <c r="L1102" s="150" t="s">
        <v>1636</v>
      </c>
      <c r="M1102" s="151" t="str">
        <f>VLOOKUP(L1102,'Đơn đặt'!$C$3:$E$6000,2,0)</f>
        <v>03-18-TS</v>
      </c>
      <c r="N1102" s="151" t="str">
        <f>VLOOKUP(L1102,'Đơn đặt'!$C$3:$E$6000,3,0)</f>
        <v>55-2026/TS-AVP/ĐĐH</v>
      </c>
      <c r="O1102" s="145">
        <v>46233.0</v>
      </c>
      <c r="P1102" s="146" t="s">
        <v>1635</v>
      </c>
      <c r="Q1102" s="152">
        <f t="shared" ref="Q1102:Q1103" si="287">G1102</f>
        <v>250</v>
      </c>
      <c r="R1102" s="148">
        <v>18311.2</v>
      </c>
      <c r="S1102" s="152">
        <f t="shared" si="285"/>
        <v>4577800</v>
      </c>
      <c r="T1102" s="152">
        <f t="shared" si="286"/>
        <v>366224</v>
      </c>
      <c r="U1102" s="149">
        <f t="shared" si="284"/>
        <v>4944024</v>
      </c>
      <c r="V1102" s="153"/>
      <c r="W1102" s="153"/>
      <c r="X1102" s="153"/>
      <c r="Y1102" s="153"/>
      <c r="Z1102" s="153"/>
      <c r="AA1102" s="153"/>
      <c r="AB1102" s="153"/>
      <c r="AC1102" s="153"/>
      <c r="AD1102" s="153"/>
      <c r="AE1102" s="153"/>
      <c r="AF1102" s="153"/>
      <c r="AG1102" s="153"/>
      <c r="AH1102" s="153"/>
      <c r="AI1102" s="153"/>
      <c r="AJ1102" s="153"/>
      <c r="AK1102" s="153"/>
      <c r="AL1102" s="153"/>
      <c r="AM1102" s="153"/>
      <c r="AN1102" s="153"/>
      <c r="AO1102" s="153"/>
    </row>
    <row r="1103" ht="25.5" customHeight="1">
      <c r="A1103" s="145">
        <v>46233.0</v>
      </c>
      <c r="B1103" s="146" t="s">
        <v>1064</v>
      </c>
      <c r="C1103" s="146" t="s">
        <v>14</v>
      </c>
      <c r="D1103" s="146" t="s">
        <v>13</v>
      </c>
      <c r="E1103" s="159" t="s">
        <v>70</v>
      </c>
      <c r="F1103" s="146" t="s">
        <v>71</v>
      </c>
      <c r="G1103" s="147">
        <v>200.0</v>
      </c>
      <c r="H1103" s="148">
        <v>20374.0</v>
      </c>
      <c r="I1103" s="149">
        <v>4074800.0</v>
      </c>
      <c r="J1103" s="149">
        <v>325985.0</v>
      </c>
      <c r="K1103" s="149">
        <v>4400785.0</v>
      </c>
      <c r="L1103" s="150" t="s">
        <v>1400</v>
      </c>
      <c r="M1103" s="151" t="str">
        <f>VLOOKUP(L1103,'Đơn đặt'!$C$3:$E$6000,2,0)</f>
        <v>05-09-TS</v>
      </c>
      <c r="N1103" s="151" t="str">
        <f>VLOOKUP(L1103,'Đơn đặt'!$C$3:$E$6000,3,0)</f>
        <v>68-2026/TS-AVP/ĐĐH</v>
      </c>
      <c r="O1103" s="145">
        <v>46233.0</v>
      </c>
      <c r="P1103" s="146" t="s">
        <v>1635</v>
      </c>
      <c r="Q1103" s="152">
        <f t="shared" si="287"/>
        <v>200</v>
      </c>
      <c r="R1103" s="148">
        <v>18666.8</v>
      </c>
      <c r="S1103" s="152">
        <f t="shared" si="285"/>
        <v>3733360</v>
      </c>
      <c r="T1103" s="152">
        <f t="shared" si="286"/>
        <v>298668.8</v>
      </c>
      <c r="U1103" s="149">
        <f t="shared" si="284"/>
        <v>4032028.8</v>
      </c>
      <c r="V1103" s="153"/>
      <c r="W1103" s="153"/>
      <c r="X1103" s="153"/>
      <c r="Y1103" s="153"/>
      <c r="Z1103" s="153"/>
      <c r="AA1103" s="153"/>
      <c r="AB1103" s="153"/>
      <c r="AC1103" s="153"/>
      <c r="AD1103" s="153"/>
      <c r="AE1103" s="153"/>
      <c r="AF1103" s="153"/>
      <c r="AG1103" s="153"/>
      <c r="AH1103" s="153"/>
      <c r="AI1103" s="153"/>
      <c r="AJ1103" s="153"/>
      <c r="AK1103" s="153"/>
      <c r="AL1103" s="153"/>
      <c r="AM1103" s="153"/>
      <c r="AN1103" s="153"/>
      <c r="AO1103" s="153"/>
    </row>
    <row r="1104" ht="25.5" customHeight="1">
      <c r="A1104" s="145">
        <v>46233.0</v>
      </c>
      <c r="B1104" s="146" t="s">
        <v>1064</v>
      </c>
      <c r="C1104" s="146" t="s">
        <v>244</v>
      </c>
      <c r="D1104" s="146" t="s">
        <v>245</v>
      </c>
      <c r="E1104" s="159" t="s">
        <v>70</v>
      </c>
      <c r="F1104" s="146" t="s">
        <v>71</v>
      </c>
      <c r="G1104" s="147">
        <v>1702.0</v>
      </c>
      <c r="H1104" s="148">
        <v>19901.0</v>
      </c>
      <c r="I1104" s="149">
        <v>3.3871502E7</v>
      </c>
      <c r="J1104" s="149">
        <v>2709720.0</v>
      </c>
      <c r="K1104" s="149">
        <v>3.6581222E7</v>
      </c>
      <c r="L1104" s="150" t="s">
        <v>1637</v>
      </c>
      <c r="M1104" s="151" t="str">
        <f>VLOOKUP(L1104,'Đơn đặt'!$C$3:$E$6000,2,0)</f>
        <v>05-09-TS</v>
      </c>
      <c r="N1104" s="151" t="str">
        <f>VLOOKUP(L1104,'Đơn đặt'!$C$3:$E$6000,3,0)</f>
        <v>68-2026/TS-AVP/ĐĐH</v>
      </c>
      <c r="O1104" s="145">
        <v>46233.0</v>
      </c>
      <c r="P1104" s="146" t="s">
        <v>1635</v>
      </c>
      <c r="Q1104" s="148">
        <v>1702.0</v>
      </c>
      <c r="R1104" s="148">
        <v>19156.2</v>
      </c>
      <c r="S1104" s="149">
        <v>3.2603852E7</v>
      </c>
      <c r="T1104" s="149">
        <v>2608308.0</v>
      </c>
      <c r="U1104" s="149">
        <f t="shared" si="284"/>
        <v>35212160</v>
      </c>
      <c r="V1104" s="153"/>
      <c r="W1104" s="153"/>
      <c r="X1104" s="153"/>
      <c r="Y1104" s="153"/>
      <c r="Z1104" s="153"/>
      <c r="AA1104" s="153"/>
      <c r="AB1104" s="153"/>
      <c r="AC1104" s="153"/>
      <c r="AD1104" s="153"/>
      <c r="AE1104" s="153"/>
      <c r="AF1104" s="153"/>
      <c r="AG1104" s="153"/>
      <c r="AH1104" s="153"/>
      <c r="AI1104" s="153"/>
      <c r="AJ1104" s="153"/>
      <c r="AK1104" s="153"/>
      <c r="AL1104" s="153"/>
      <c r="AM1104" s="153"/>
      <c r="AN1104" s="153"/>
      <c r="AO1104" s="153"/>
    </row>
    <row r="1105" ht="25.5" customHeight="1">
      <c r="A1105" s="145">
        <v>46233.0</v>
      </c>
      <c r="B1105" s="146" t="s">
        <v>1064</v>
      </c>
      <c r="C1105" s="146" t="s">
        <v>222</v>
      </c>
      <c r="D1105" s="146" t="s">
        <v>223</v>
      </c>
      <c r="E1105" s="159" t="s">
        <v>70</v>
      </c>
      <c r="F1105" s="146" t="s">
        <v>71</v>
      </c>
      <c r="G1105" s="147">
        <v>750.0</v>
      </c>
      <c r="H1105" s="148">
        <v>20276.0</v>
      </c>
      <c r="I1105" s="149">
        <v>1.5207E7</v>
      </c>
      <c r="J1105" s="149">
        <v>1216560.0</v>
      </c>
      <c r="K1105" s="149">
        <v>1.642356E7</v>
      </c>
      <c r="L1105" s="150" t="s">
        <v>1636</v>
      </c>
      <c r="M1105" s="151" t="str">
        <f>VLOOKUP(L1105,'Đơn đặt'!$C$3:$E$6000,2,0)</f>
        <v>03-18-TS</v>
      </c>
      <c r="N1105" s="151" t="str">
        <f>VLOOKUP(L1105,'Đơn đặt'!$C$3:$E$6000,3,0)</f>
        <v>55-2026/TS-AVP/ĐĐH</v>
      </c>
      <c r="O1105" s="145">
        <v>46233.0</v>
      </c>
      <c r="P1105" s="146" t="s">
        <v>1635</v>
      </c>
      <c r="Q1105" s="152">
        <f>G1105</f>
        <v>750</v>
      </c>
      <c r="R1105" s="148">
        <v>18311.2</v>
      </c>
      <c r="S1105" s="152">
        <f>Q1105*R1105</f>
        <v>13733400</v>
      </c>
      <c r="T1105" s="152">
        <f>S1105*8%</f>
        <v>1098672</v>
      </c>
      <c r="U1105" s="149">
        <f t="shared" si="284"/>
        <v>14832072</v>
      </c>
      <c r="V1105" s="153"/>
      <c r="W1105" s="153"/>
      <c r="X1105" s="153"/>
      <c r="Y1105" s="153"/>
      <c r="Z1105" s="153"/>
      <c r="AA1105" s="153"/>
      <c r="AB1105" s="153"/>
      <c r="AC1105" s="153"/>
      <c r="AD1105" s="153"/>
      <c r="AE1105" s="153"/>
      <c r="AF1105" s="153"/>
      <c r="AG1105" s="153"/>
      <c r="AH1105" s="153"/>
      <c r="AI1105" s="153"/>
      <c r="AJ1105" s="153"/>
      <c r="AK1105" s="153"/>
      <c r="AL1105" s="153"/>
      <c r="AM1105" s="153"/>
      <c r="AN1105" s="153"/>
      <c r="AO1105" s="153"/>
    </row>
    <row r="1106" ht="25.5" customHeight="1">
      <c r="A1106" s="145">
        <v>46233.0</v>
      </c>
      <c r="B1106" s="146" t="s">
        <v>1064</v>
      </c>
      <c r="C1106" s="146" t="s">
        <v>206</v>
      </c>
      <c r="D1106" s="146" t="s">
        <v>207</v>
      </c>
      <c r="E1106" s="159" t="s">
        <v>70</v>
      </c>
      <c r="F1106" s="146" t="s">
        <v>71</v>
      </c>
      <c r="G1106" s="147">
        <v>1980.0</v>
      </c>
      <c r="H1106" s="148">
        <v>19041.0</v>
      </c>
      <c r="I1106" s="149">
        <v>3.770118E7</v>
      </c>
      <c r="J1106" s="149">
        <v>3016094.0</v>
      </c>
      <c r="K1106" s="149">
        <v>4.0717274E7</v>
      </c>
      <c r="L1106" s="150" t="s">
        <v>1417</v>
      </c>
      <c r="M1106" s="151" t="str">
        <f>VLOOKUP(L1106,'Đơn đặt'!$C$3:$E$6000,2,0)</f>
        <v>03-18-TS</v>
      </c>
      <c r="N1106" s="151" t="str">
        <f>VLOOKUP(L1106,'Đơn đặt'!$C$3:$E$6000,3,0)</f>
        <v>55-2026/TS-AVP/ĐĐH</v>
      </c>
      <c r="O1106" s="145">
        <v>46233.0</v>
      </c>
      <c r="P1106" s="146" t="s">
        <v>1635</v>
      </c>
      <c r="Q1106" s="148">
        <v>1980.0</v>
      </c>
      <c r="R1106" s="148">
        <v>18064.2</v>
      </c>
      <c r="S1106" s="149">
        <v>3.5767116E7</v>
      </c>
      <c r="T1106" s="149">
        <v>2861369.0</v>
      </c>
      <c r="U1106" s="149">
        <f t="shared" si="284"/>
        <v>38628485</v>
      </c>
      <c r="V1106" s="153"/>
      <c r="W1106" s="153"/>
      <c r="X1106" s="153"/>
      <c r="Y1106" s="153"/>
      <c r="Z1106" s="153"/>
      <c r="AA1106" s="153"/>
      <c r="AB1106" s="153"/>
      <c r="AC1106" s="153"/>
      <c r="AD1106" s="153"/>
      <c r="AE1106" s="153"/>
      <c r="AF1106" s="153"/>
      <c r="AG1106" s="153"/>
      <c r="AH1106" s="153"/>
      <c r="AI1106" s="153"/>
      <c r="AJ1106" s="153"/>
      <c r="AK1106" s="153"/>
      <c r="AL1106" s="153"/>
      <c r="AM1106" s="153"/>
      <c r="AN1106" s="153"/>
      <c r="AO1106" s="153"/>
    </row>
    <row r="1107" ht="34.5" customHeight="1">
      <c r="A1107" s="145">
        <v>46234.0</v>
      </c>
      <c r="B1107" s="146" t="s">
        <v>1638</v>
      </c>
      <c r="C1107" s="146" t="s">
        <v>110</v>
      </c>
      <c r="D1107" s="146" t="s">
        <v>1384</v>
      </c>
      <c r="E1107" s="159" t="s">
        <v>70</v>
      </c>
      <c r="F1107" s="146" t="s">
        <v>112</v>
      </c>
      <c r="G1107" s="147">
        <v>4680.0</v>
      </c>
      <c r="H1107" s="148">
        <v>28000.0</v>
      </c>
      <c r="I1107" s="149">
        <v>1.3104E8</v>
      </c>
      <c r="J1107" s="149">
        <v>1.04832E7</v>
      </c>
      <c r="K1107" s="149">
        <v>1.415232E8</v>
      </c>
      <c r="L1107" s="150" t="s">
        <v>1385</v>
      </c>
      <c r="M1107" s="151" t="str">
        <f>VLOOKUP(L1107,'Đơn đặt'!$C$3:$E$6000,2,0)</f>
        <v>04/06/TSC-LT</v>
      </c>
      <c r="N1107" s="151" t="str">
        <f>VLOOKUP(L1107,'Đơn đặt'!$C$3:$E$6000,3,0)</f>
        <v>Hàng SX</v>
      </c>
      <c r="O1107" s="154" t="s">
        <v>98</v>
      </c>
      <c r="P1107" s="155"/>
      <c r="Q1107" s="156">
        <f>G1107</f>
        <v>4680</v>
      </c>
      <c r="R1107" s="152"/>
      <c r="S1107" s="152"/>
      <c r="T1107" s="152"/>
      <c r="U1107" s="149">
        <f t="shared" si="284"/>
        <v>0</v>
      </c>
      <c r="V1107" s="153"/>
      <c r="W1107" s="153"/>
      <c r="X1107" s="153"/>
      <c r="Y1107" s="153"/>
      <c r="Z1107" s="153"/>
      <c r="AA1107" s="153"/>
      <c r="AB1107" s="153"/>
      <c r="AC1107" s="153"/>
      <c r="AD1107" s="153"/>
      <c r="AE1107" s="153"/>
      <c r="AF1107" s="153"/>
      <c r="AG1107" s="153"/>
      <c r="AH1107" s="153"/>
      <c r="AI1107" s="153"/>
      <c r="AJ1107" s="153"/>
      <c r="AK1107" s="153"/>
      <c r="AL1107" s="153"/>
      <c r="AM1107" s="153"/>
      <c r="AN1107" s="153"/>
      <c r="AO1107" s="153"/>
    </row>
    <row r="1108" ht="25.5" customHeight="1">
      <c r="A1108" s="145">
        <v>46234.0</v>
      </c>
      <c r="B1108" s="146" t="s">
        <v>1639</v>
      </c>
      <c r="C1108" s="146" t="s">
        <v>48</v>
      </c>
      <c r="D1108" s="146" t="s">
        <v>47</v>
      </c>
      <c r="E1108" s="159" t="s">
        <v>70</v>
      </c>
      <c r="F1108" s="146" t="s">
        <v>71</v>
      </c>
      <c r="G1108" s="147">
        <v>2000.0</v>
      </c>
      <c r="H1108" s="148">
        <v>19206.0</v>
      </c>
      <c r="I1108" s="149">
        <v>3.8412E7</v>
      </c>
      <c r="J1108" s="149">
        <v>3072960.0</v>
      </c>
      <c r="K1108" s="149">
        <v>4.148496E7</v>
      </c>
      <c r="L1108" s="150" t="s">
        <v>1607</v>
      </c>
      <c r="M1108" s="151" t="str">
        <f>VLOOKUP(L1108,'Đơn đặt'!$C$3:$E$6000,2,0)</f>
        <v>06-08/TS</v>
      </c>
      <c r="N1108" s="151" t="str">
        <f>VLOOKUP(L1108,'Đơn đặt'!$C$3:$E$6000,3,0)</f>
        <v>78-2026/TS-AVP/ĐĐH</v>
      </c>
      <c r="O1108" s="145">
        <v>46234.0</v>
      </c>
      <c r="P1108" s="146" t="s">
        <v>1640</v>
      </c>
      <c r="Q1108" s="148">
        <v>2000.0</v>
      </c>
      <c r="R1108" s="148">
        <v>15209.2</v>
      </c>
      <c r="S1108" s="149">
        <v>3.04184E7</v>
      </c>
      <c r="T1108" s="149">
        <v>2433472.0</v>
      </c>
      <c r="U1108" s="149">
        <f t="shared" si="284"/>
        <v>32851872</v>
      </c>
      <c r="V1108" s="153"/>
      <c r="W1108" s="153"/>
      <c r="X1108" s="153"/>
      <c r="Y1108" s="153"/>
      <c r="Z1108" s="153"/>
      <c r="AA1108" s="153"/>
      <c r="AB1108" s="153"/>
      <c r="AC1108" s="153"/>
      <c r="AD1108" s="153"/>
      <c r="AE1108" s="153"/>
      <c r="AF1108" s="153"/>
      <c r="AG1108" s="153"/>
      <c r="AH1108" s="153"/>
      <c r="AI1108" s="153"/>
      <c r="AJ1108" s="153"/>
      <c r="AK1108" s="153"/>
      <c r="AL1108" s="153"/>
      <c r="AM1108" s="153"/>
      <c r="AN1108" s="153"/>
      <c r="AO1108" s="153"/>
    </row>
    <row r="1109" ht="25.5" customHeight="1">
      <c r="A1109" s="145">
        <v>46234.0</v>
      </c>
      <c r="B1109" s="146" t="s">
        <v>1639</v>
      </c>
      <c r="C1109" s="146" t="s">
        <v>50</v>
      </c>
      <c r="D1109" s="146" t="s">
        <v>49</v>
      </c>
      <c r="E1109" s="159" t="s">
        <v>70</v>
      </c>
      <c r="F1109" s="146" t="s">
        <v>71</v>
      </c>
      <c r="G1109" s="147">
        <v>1000.0</v>
      </c>
      <c r="H1109" s="148">
        <v>19206.0</v>
      </c>
      <c r="I1109" s="149">
        <v>1.9206E7</v>
      </c>
      <c r="J1109" s="149">
        <v>1536480.0</v>
      </c>
      <c r="K1109" s="149">
        <v>2.074248E7</v>
      </c>
      <c r="L1109" s="150" t="s">
        <v>1428</v>
      </c>
      <c r="M1109" s="151" t="str">
        <f>VLOOKUP(L1109,'Đơn đặt'!$C$3:$E$6000,2,0)</f>
        <v>05-09-TS</v>
      </c>
      <c r="N1109" s="151" t="str">
        <f>VLOOKUP(L1109,'Đơn đặt'!$C$3:$E$6000,3,0)</f>
        <v>70-2026/TS-AVP/ĐĐH</v>
      </c>
      <c r="O1109" s="145">
        <v>46234.0</v>
      </c>
      <c r="P1109" s="146" t="s">
        <v>1640</v>
      </c>
      <c r="Q1109" s="148">
        <v>1000.0</v>
      </c>
      <c r="R1109" s="148">
        <v>15209.2</v>
      </c>
      <c r="S1109" s="149">
        <v>1.52092E7</v>
      </c>
      <c r="T1109" s="149">
        <v>1216736.0</v>
      </c>
      <c r="U1109" s="149">
        <f t="shared" si="284"/>
        <v>16425936</v>
      </c>
      <c r="V1109" s="153"/>
      <c r="W1109" s="153"/>
      <c r="X1109" s="153"/>
      <c r="Y1109" s="153"/>
      <c r="Z1109" s="153"/>
      <c r="AA1109" s="153"/>
      <c r="AB1109" s="153"/>
      <c r="AC1109" s="153"/>
      <c r="AD1109" s="153"/>
      <c r="AE1109" s="153"/>
      <c r="AF1109" s="153"/>
      <c r="AG1109" s="153"/>
      <c r="AH1109" s="153"/>
      <c r="AI1109" s="153"/>
      <c r="AJ1109" s="153"/>
      <c r="AK1109" s="153"/>
      <c r="AL1109" s="153"/>
      <c r="AM1109" s="153"/>
      <c r="AN1109" s="153"/>
      <c r="AO1109" s="153"/>
    </row>
    <row r="1110" ht="25.5" customHeight="1">
      <c r="A1110" s="145">
        <v>46234.0</v>
      </c>
      <c r="B1110" s="146" t="s">
        <v>1641</v>
      </c>
      <c r="C1110" s="146" t="s">
        <v>59</v>
      </c>
      <c r="D1110" s="146" t="s">
        <v>105</v>
      </c>
      <c r="E1110" s="159" t="s">
        <v>70</v>
      </c>
      <c r="F1110" s="146" t="s">
        <v>71</v>
      </c>
      <c r="G1110" s="147">
        <v>1300.0</v>
      </c>
      <c r="H1110" s="148">
        <v>19206.0</v>
      </c>
      <c r="I1110" s="149">
        <v>2.49678E7</v>
      </c>
      <c r="J1110" s="149">
        <v>1997424.0</v>
      </c>
      <c r="K1110" s="149">
        <v>2.6965224E7</v>
      </c>
      <c r="L1110" s="150" t="s">
        <v>1449</v>
      </c>
      <c r="M1110" s="151" t="str">
        <f>VLOOKUP(L1110,'Đơn đặt'!$C$3:$E$6000,2,0)</f>
        <v>05-09-TS</v>
      </c>
      <c r="N1110" s="151" t="str">
        <f>VLOOKUP(L1110,'Đơn đặt'!$C$3:$E$6000,3,0)</f>
        <v>68-2026/TS-AVP/ĐĐH</v>
      </c>
      <c r="O1110" s="145">
        <v>46234.0</v>
      </c>
      <c r="P1110" s="146" t="s">
        <v>1642</v>
      </c>
      <c r="Q1110" s="152">
        <f>G1110</f>
        <v>1300</v>
      </c>
      <c r="R1110" s="148">
        <v>17073.2</v>
      </c>
      <c r="S1110" s="152">
        <f>Q1110*R1110</f>
        <v>22195160</v>
      </c>
      <c r="T1110" s="152">
        <f>S1110*8%</f>
        <v>1775612.8</v>
      </c>
      <c r="U1110" s="149">
        <f t="shared" si="284"/>
        <v>23970772.8</v>
      </c>
      <c r="V1110" s="153"/>
      <c r="W1110" s="153"/>
      <c r="X1110" s="153"/>
      <c r="Y1110" s="153"/>
      <c r="Z1110" s="153"/>
      <c r="AA1110" s="153"/>
      <c r="AB1110" s="153"/>
      <c r="AC1110" s="153"/>
      <c r="AD1110" s="153"/>
      <c r="AE1110" s="153"/>
      <c r="AF1110" s="153"/>
      <c r="AG1110" s="153"/>
      <c r="AH1110" s="153"/>
      <c r="AI1110" s="153"/>
      <c r="AJ1110" s="153"/>
      <c r="AK1110" s="153"/>
      <c r="AL1110" s="153"/>
      <c r="AM1110" s="153"/>
      <c r="AN1110" s="153"/>
      <c r="AO1110" s="153"/>
    </row>
    <row r="1111" ht="25.5" customHeight="1">
      <c r="A1111" s="145">
        <v>46234.0</v>
      </c>
      <c r="B1111" s="146" t="s">
        <v>1641</v>
      </c>
      <c r="C1111" s="146" t="s">
        <v>38</v>
      </c>
      <c r="D1111" s="146" t="s">
        <v>36</v>
      </c>
      <c r="E1111" s="159" t="s">
        <v>70</v>
      </c>
      <c r="F1111" s="146" t="s">
        <v>71</v>
      </c>
      <c r="G1111" s="147">
        <v>2000.0</v>
      </c>
      <c r="H1111" s="148">
        <v>19901.0</v>
      </c>
      <c r="I1111" s="149">
        <v>3.9802E7</v>
      </c>
      <c r="J1111" s="149">
        <v>3184160.0</v>
      </c>
      <c r="K1111" s="149">
        <v>4.298616E7</v>
      </c>
      <c r="L1111" s="150" t="s">
        <v>1471</v>
      </c>
      <c r="M1111" s="151" t="str">
        <f>VLOOKUP(L1111,'Đơn đặt'!$C$3:$E$6000,2,0)</f>
        <v>06-08/TS</v>
      </c>
      <c r="N1111" s="151" t="str">
        <f>VLOOKUP(L1111,'Đơn đặt'!$C$3:$E$6000,3,0)</f>
        <v>75-2026/TS-AVP/ĐĐH</v>
      </c>
      <c r="O1111" s="145">
        <v>46234.0</v>
      </c>
      <c r="P1111" s="146" t="s">
        <v>1642</v>
      </c>
      <c r="Q1111" s="148">
        <v>2000.0</v>
      </c>
      <c r="R1111" s="148">
        <v>19156.2</v>
      </c>
      <c r="S1111" s="149">
        <v>3.83124E7</v>
      </c>
      <c r="T1111" s="149">
        <v>3064992.0</v>
      </c>
      <c r="U1111" s="149">
        <f t="shared" si="284"/>
        <v>41377392</v>
      </c>
      <c r="V1111" s="153"/>
      <c r="W1111" s="153"/>
      <c r="X1111" s="153"/>
      <c r="Y1111" s="153"/>
      <c r="Z1111" s="153"/>
      <c r="AA1111" s="153"/>
      <c r="AB1111" s="153"/>
      <c r="AC1111" s="153"/>
      <c r="AD1111" s="153"/>
      <c r="AE1111" s="153"/>
      <c r="AF1111" s="153"/>
      <c r="AG1111" s="153"/>
      <c r="AH1111" s="153"/>
      <c r="AI1111" s="153"/>
      <c r="AJ1111" s="153"/>
      <c r="AK1111" s="153"/>
      <c r="AL1111" s="153"/>
      <c r="AM1111" s="153"/>
      <c r="AN1111" s="153"/>
      <c r="AO1111" s="153"/>
    </row>
    <row r="1112" ht="25.5" customHeight="1">
      <c r="A1112" s="145">
        <v>46234.0</v>
      </c>
      <c r="B1112" s="146" t="s">
        <v>1643</v>
      </c>
      <c r="C1112" s="146" t="s">
        <v>59</v>
      </c>
      <c r="D1112" s="146" t="s">
        <v>105</v>
      </c>
      <c r="E1112" s="159" t="s">
        <v>70</v>
      </c>
      <c r="F1112" s="146" t="s">
        <v>71</v>
      </c>
      <c r="G1112" s="147">
        <v>1430.0</v>
      </c>
      <c r="H1112" s="148">
        <v>19206.0</v>
      </c>
      <c r="I1112" s="149">
        <v>2.746458E7</v>
      </c>
      <c r="J1112" s="149">
        <v>2197166.0</v>
      </c>
      <c r="K1112" s="149">
        <v>2.9661746E7</v>
      </c>
      <c r="L1112" s="150" t="s">
        <v>1607</v>
      </c>
      <c r="M1112" s="151" t="str">
        <f>VLOOKUP(L1112,'Đơn đặt'!$C$3:$E$6000,2,0)</f>
        <v>06-08/TS</v>
      </c>
      <c r="N1112" s="151" t="str">
        <f>VLOOKUP(L1112,'Đơn đặt'!$C$3:$E$6000,3,0)</f>
        <v>78-2026/TS-AVP/ĐĐH</v>
      </c>
      <c r="O1112" s="145">
        <v>46234.0</v>
      </c>
      <c r="P1112" s="146" t="s">
        <v>1642</v>
      </c>
      <c r="Q1112" s="152">
        <f>G1112</f>
        <v>1430</v>
      </c>
      <c r="R1112" s="148">
        <v>17073.2</v>
      </c>
      <c r="S1112" s="152">
        <f>Q1112*R1112</f>
        <v>24414676</v>
      </c>
      <c r="T1112" s="152">
        <f>S1112*8%</f>
        <v>1953174.08</v>
      </c>
      <c r="U1112" s="149">
        <f t="shared" si="284"/>
        <v>26367850.08</v>
      </c>
      <c r="V1112" s="153"/>
      <c r="W1112" s="153"/>
      <c r="X1112" s="153"/>
      <c r="Y1112" s="153"/>
      <c r="Z1112" s="153"/>
      <c r="AA1112" s="153"/>
      <c r="AB1112" s="153"/>
      <c r="AC1112" s="153"/>
      <c r="AD1112" s="153"/>
      <c r="AE1112" s="153"/>
      <c r="AF1112" s="153"/>
      <c r="AG1112" s="153"/>
      <c r="AH1112" s="153"/>
      <c r="AI1112" s="153"/>
      <c r="AJ1112" s="153"/>
      <c r="AK1112" s="153"/>
      <c r="AL1112" s="153"/>
      <c r="AM1112" s="153"/>
      <c r="AN1112" s="153"/>
      <c r="AO1112" s="153"/>
    </row>
    <row r="1113" ht="25.5" customHeight="1">
      <c r="A1113" s="145">
        <v>46234.0</v>
      </c>
      <c r="B1113" s="146" t="s">
        <v>1643</v>
      </c>
      <c r="C1113" s="146" t="s">
        <v>206</v>
      </c>
      <c r="D1113" s="146" t="s">
        <v>207</v>
      </c>
      <c r="E1113" s="159" t="s">
        <v>70</v>
      </c>
      <c r="F1113" s="146" t="s">
        <v>71</v>
      </c>
      <c r="G1113" s="147">
        <v>520.0</v>
      </c>
      <c r="H1113" s="148">
        <v>19041.0</v>
      </c>
      <c r="I1113" s="149">
        <v>9901320.0</v>
      </c>
      <c r="J1113" s="149">
        <v>792106.0</v>
      </c>
      <c r="K1113" s="149">
        <v>1.0693426E7</v>
      </c>
      <c r="L1113" s="150" t="s">
        <v>1417</v>
      </c>
      <c r="M1113" s="151" t="str">
        <f>VLOOKUP(L1113,'Đơn đặt'!$C$3:$E$6000,2,0)</f>
        <v>03-18-TS</v>
      </c>
      <c r="N1113" s="151" t="str">
        <f>VLOOKUP(L1113,'Đơn đặt'!$C$3:$E$6000,3,0)</f>
        <v>55-2026/TS-AVP/ĐĐH</v>
      </c>
      <c r="O1113" s="145">
        <v>46234.0</v>
      </c>
      <c r="P1113" s="146" t="s">
        <v>1642</v>
      </c>
      <c r="Q1113" s="148">
        <v>520.0</v>
      </c>
      <c r="R1113" s="148">
        <v>18064.2</v>
      </c>
      <c r="S1113" s="149">
        <v>9393384.0</v>
      </c>
      <c r="T1113" s="149">
        <v>751471.0</v>
      </c>
      <c r="U1113" s="149">
        <f t="shared" si="284"/>
        <v>10144855</v>
      </c>
      <c r="V1113" s="153"/>
      <c r="W1113" s="153"/>
      <c r="X1113" s="153"/>
      <c r="Y1113" s="153"/>
      <c r="Z1113" s="153"/>
      <c r="AA1113" s="153"/>
      <c r="AB1113" s="153"/>
      <c r="AC1113" s="153"/>
      <c r="AD1113" s="153"/>
      <c r="AE1113" s="153"/>
      <c r="AF1113" s="153"/>
      <c r="AG1113" s="153"/>
      <c r="AH1113" s="153"/>
      <c r="AI1113" s="153"/>
      <c r="AJ1113" s="153"/>
      <c r="AK1113" s="153"/>
      <c r="AL1113" s="153"/>
      <c r="AM1113" s="153"/>
      <c r="AN1113" s="153"/>
      <c r="AO1113" s="153"/>
    </row>
    <row r="1114" ht="25.5" customHeight="1">
      <c r="A1114" s="66"/>
      <c r="B1114" s="67"/>
      <c r="C1114" s="67"/>
      <c r="D1114" s="67"/>
      <c r="E1114" s="67"/>
      <c r="F1114" s="67"/>
      <c r="G1114" s="68"/>
      <c r="H1114" s="76"/>
      <c r="I1114" s="77"/>
      <c r="J1114" s="77"/>
      <c r="K1114" s="77"/>
      <c r="L1114" s="131"/>
      <c r="M1114" s="131"/>
      <c r="N1114" s="169"/>
      <c r="O1114" s="133"/>
      <c r="P1114" s="133"/>
      <c r="Q1114" s="132"/>
      <c r="R1114" s="132"/>
      <c r="S1114" s="132"/>
      <c r="T1114" s="132"/>
      <c r="U1114" s="132"/>
    </row>
    <row r="1115" ht="25.5" customHeight="1">
      <c r="A1115" s="66"/>
      <c r="B1115" s="67"/>
      <c r="C1115" s="67"/>
      <c r="D1115" s="67"/>
      <c r="E1115" s="67"/>
      <c r="F1115" s="67"/>
      <c r="G1115" s="68"/>
      <c r="H1115" s="76"/>
      <c r="I1115" s="77"/>
      <c r="J1115" s="77"/>
      <c r="K1115" s="77"/>
      <c r="L1115" s="131"/>
      <c r="M1115" s="131"/>
      <c r="N1115" s="169"/>
      <c r="O1115" s="133"/>
      <c r="P1115" s="133"/>
      <c r="Q1115" s="132"/>
      <c r="R1115" s="132"/>
      <c r="S1115" s="132"/>
      <c r="T1115" s="132"/>
      <c r="U1115" s="132"/>
    </row>
    <row r="1116" ht="25.5" customHeight="1">
      <c r="A1116" s="66"/>
      <c r="B1116" s="67"/>
      <c r="C1116" s="67"/>
      <c r="D1116" s="67"/>
      <c r="E1116" s="67"/>
      <c r="F1116" s="67"/>
      <c r="G1116" s="68"/>
      <c r="H1116" s="76"/>
      <c r="I1116" s="77"/>
      <c r="J1116" s="77"/>
      <c r="K1116" s="77"/>
      <c r="L1116" s="131"/>
      <c r="M1116" s="131"/>
      <c r="N1116" s="169"/>
      <c r="O1116" s="133"/>
      <c r="P1116" s="133"/>
      <c r="Q1116" s="132"/>
      <c r="R1116" s="132"/>
      <c r="S1116" s="132"/>
      <c r="T1116" s="132"/>
      <c r="U1116" s="132"/>
    </row>
    <row r="1117" ht="25.5" customHeight="1">
      <c r="A1117" s="66"/>
      <c r="B1117" s="67"/>
      <c r="C1117" s="67"/>
      <c r="D1117" s="67"/>
      <c r="E1117" s="67"/>
      <c r="F1117" s="67"/>
      <c r="G1117" s="68"/>
      <c r="H1117" s="76"/>
      <c r="I1117" s="77"/>
      <c r="J1117" s="77"/>
      <c r="K1117" s="77"/>
      <c r="L1117" s="131"/>
      <c r="M1117" s="131"/>
      <c r="N1117" s="169"/>
      <c r="O1117" s="133"/>
      <c r="P1117" s="133"/>
      <c r="Q1117" s="132"/>
      <c r="R1117" s="132"/>
      <c r="S1117" s="132"/>
      <c r="T1117" s="132"/>
      <c r="U1117" s="132"/>
    </row>
    <row r="1118" ht="25.5" customHeight="1">
      <c r="A1118" s="66"/>
      <c r="B1118" s="67"/>
      <c r="C1118" s="67"/>
      <c r="D1118" s="67"/>
      <c r="E1118" s="67"/>
      <c r="F1118" s="67"/>
      <c r="G1118" s="68"/>
      <c r="H1118" s="76"/>
      <c r="I1118" s="77"/>
      <c r="J1118" s="77"/>
      <c r="K1118" s="77"/>
      <c r="L1118" s="131"/>
      <c r="M1118" s="131"/>
      <c r="N1118" s="169"/>
      <c r="O1118" s="133"/>
      <c r="P1118" s="133"/>
      <c r="Q1118" s="132"/>
      <c r="R1118" s="132"/>
      <c r="S1118" s="132"/>
      <c r="T1118" s="132"/>
      <c r="U1118" s="132"/>
    </row>
    <row r="1119" ht="25.5" customHeight="1">
      <c r="A1119" s="66"/>
      <c r="B1119" s="67"/>
      <c r="C1119" s="67"/>
      <c r="D1119" s="67"/>
      <c r="E1119" s="67"/>
      <c r="F1119" s="67"/>
      <c r="G1119" s="68"/>
      <c r="H1119" s="76"/>
      <c r="I1119" s="77"/>
      <c r="J1119" s="77"/>
      <c r="K1119" s="77"/>
      <c r="L1119" s="131"/>
      <c r="M1119" s="131"/>
      <c r="N1119" s="169"/>
      <c r="O1119" s="133"/>
      <c r="P1119" s="133"/>
      <c r="Q1119" s="132"/>
      <c r="R1119" s="132"/>
      <c r="S1119" s="132"/>
      <c r="T1119" s="132"/>
      <c r="U1119" s="132"/>
    </row>
    <row r="1120" ht="25.5" customHeight="1">
      <c r="A1120" s="66"/>
      <c r="B1120" s="67"/>
      <c r="C1120" s="67"/>
      <c r="D1120" s="67"/>
      <c r="E1120" s="67"/>
      <c r="F1120" s="67"/>
      <c r="G1120" s="68"/>
      <c r="H1120" s="76"/>
      <c r="I1120" s="77"/>
      <c r="J1120" s="77"/>
      <c r="K1120" s="77"/>
      <c r="L1120" s="131"/>
      <c r="M1120" s="131"/>
      <c r="N1120" s="169"/>
      <c r="O1120" s="133"/>
      <c r="P1120" s="133"/>
      <c r="Q1120" s="132"/>
      <c r="R1120" s="132"/>
      <c r="S1120" s="132"/>
      <c r="T1120" s="132"/>
      <c r="U1120" s="132"/>
    </row>
    <row r="1121" ht="25.5" customHeight="1">
      <c r="A1121" s="66"/>
      <c r="B1121" s="67"/>
      <c r="C1121" s="67"/>
      <c r="D1121" s="67"/>
      <c r="E1121" s="67"/>
      <c r="F1121" s="67"/>
      <c r="G1121" s="68"/>
      <c r="H1121" s="76"/>
      <c r="I1121" s="77"/>
      <c r="J1121" s="77"/>
      <c r="K1121" s="77"/>
      <c r="L1121" s="131"/>
      <c r="M1121" s="131"/>
      <c r="N1121" s="169"/>
      <c r="O1121" s="133"/>
      <c r="P1121" s="133"/>
      <c r="Q1121" s="132"/>
      <c r="R1121" s="132"/>
      <c r="S1121" s="132"/>
      <c r="T1121" s="132"/>
      <c r="U1121" s="132"/>
    </row>
    <row r="1122" ht="25.5" customHeight="1">
      <c r="A1122" s="66"/>
      <c r="B1122" s="67"/>
      <c r="C1122" s="67"/>
      <c r="D1122" s="67"/>
      <c r="E1122" s="67"/>
      <c r="F1122" s="67"/>
      <c r="G1122" s="68"/>
      <c r="H1122" s="76"/>
      <c r="I1122" s="77"/>
      <c r="J1122" s="77"/>
      <c r="K1122" s="77"/>
      <c r="L1122" s="131"/>
      <c r="M1122" s="131"/>
      <c r="N1122" s="169"/>
      <c r="O1122" s="133"/>
      <c r="P1122" s="133"/>
      <c r="Q1122" s="132"/>
      <c r="R1122" s="132"/>
      <c r="S1122" s="132"/>
      <c r="T1122" s="132"/>
      <c r="U1122" s="132"/>
    </row>
    <row r="1123" ht="25.5" customHeight="1">
      <c r="A1123" s="66"/>
      <c r="B1123" s="67"/>
      <c r="C1123" s="67"/>
      <c r="D1123" s="67"/>
      <c r="E1123" s="67"/>
      <c r="F1123" s="67"/>
      <c r="G1123" s="68"/>
      <c r="H1123" s="76"/>
      <c r="I1123" s="77"/>
      <c r="J1123" s="77"/>
      <c r="K1123" s="77"/>
      <c r="L1123" s="131"/>
      <c r="M1123" s="131"/>
      <c r="N1123" s="169"/>
      <c r="O1123" s="133"/>
      <c r="P1123" s="133"/>
      <c r="Q1123" s="132"/>
      <c r="R1123" s="132"/>
      <c r="S1123" s="132"/>
      <c r="T1123" s="132"/>
      <c r="U1123" s="132"/>
    </row>
    <row r="1124" ht="25.5" customHeight="1">
      <c r="A1124" s="66"/>
      <c r="B1124" s="67"/>
      <c r="C1124" s="67"/>
      <c r="D1124" s="67"/>
      <c r="E1124" s="67"/>
      <c r="F1124" s="67"/>
      <c r="G1124" s="68"/>
      <c r="H1124" s="76"/>
      <c r="I1124" s="77"/>
      <c r="J1124" s="77"/>
      <c r="K1124" s="77"/>
      <c r="L1124" s="131"/>
      <c r="M1124" s="131"/>
      <c r="N1124" s="169"/>
      <c r="O1124" s="133"/>
      <c r="P1124" s="133"/>
      <c r="Q1124" s="132"/>
      <c r="R1124" s="132"/>
      <c r="S1124" s="132"/>
      <c r="T1124" s="132"/>
      <c r="U1124" s="132"/>
    </row>
    <row r="1125" ht="25.5" customHeight="1">
      <c r="A1125" s="66"/>
      <c r="B1125" s="67"/>
      <c r="C1125" s="67"/>
      <c r="D1125" s="67"/>
      <c r="E1125" s="67"/>
      <c r="F1125" s="67"/>
      <c r="G1125" s="68"/>
      <c r="H1125" s="76"/>
      <c r="I1125" s="77"/>
      <c r="J1125" s="77"/>
      <c r="K1125" s="77"/>
      <c r="L1125" s="131"/>
      <c r="M1125" s="131"/>
      <c r="N1125" s="169"/>
      <c r="O1125" s="133"/>
      <c r="P1125" s="133"/>
      <c r="Q1125" s="132"/>
      <c r="R1125" s="132"/>
      <c r="S1125" s="132"/>
      <c r="T1125" s="132"/>
      <c r="U1125" s="132"/>
    </row>
    <row r="1126" ht="25.5" customHeight="1">
      <c r="A1126" s="66"/>
      <c r="B1126" s="67"/>
      <c r="C1126" s="67"/>
      <c r="D1126" s="67"/>
      <c r="E1126" s="67"/>
      <c r="F1126" s="67"/>
      <c r="G1126" s="68"/>
      <c r="H1126" s="76"/>
      <c r="I1126" s="77"/>
      <c r="J1126" s="77"/>
      <c r="K1126" s="77"/>
      <c r="L1126" s="131"/>
      <c r="M1126" s="131"/>
      <c r="N1126" s="169"/>
      <c r="O1126" s="133"/>
      <c r="P1126" s="133"/>
      <c r="Q1126" s="132"/>
      <c r="R1126" s="132"/>
      <c r="S1126" s="132"/>
      <c r="T1126" s="132"/>
      <c r="U1126" s="132"/>
    </row>
    <row r="1127" ht="25.5" customHeight="1">
      <c r="A1127" s="66"/>
      <c r="B1127" s="67"/>
      <c r="C1127" s="67"/>
      <c r="D1127" s="67"/>
      <c r="E1127" s="67"/>
      <c r="F1127" s="67"/>
      <c r="G1127" s="68"/>
      <c r="H1127" s="76"/>
      <c r="I1127" s="77"/>
      <c r="J1127" s="77"/>
      <c r="K1127" s="77"/>
      <c r="L1127" s="131"/>
      <c r="M1127" s="131"/>
      <c r="N1127" s="169"/>
      <c r="O1127" s="133"/>
      <c r="P1127" s="133"/>
      <c r="Q1127" s="132"/>
      <c r="R1127" s="132"/>
      <c r="S1127" s="132"/>
      <c r="T1127" s="132"/>
      <c r="U1127" s="132"/>
    </row>
    <row r="1128" ht="25.5" customHeight="1">
      <c r="A1128" s="66"/>
      <c r="B1128" s="67"/>
      <c r="C1128" s="67"/>
      <c r="D1128" s="67"/>
      <c r="E1128" s="67"/>
      <c r="F1128" s="67"/>
      <c r="G1128" s="68"/>
      <c r="H1128" s="76"/>
      <c r="I1128" s="77"/>
      <c r="J1128" s="77"/>
      <c r="K1128" s="77"/>
      <c r="L1128" s="131"/>
      <c r="M1128" s="131"/>
      <c r="N1128" s="169"/>
      <c r="O1128" s="133"/>
      <c r="P1128" s="133"/>
      <c r="Q1128" s="132"/>
      <c r="R1128" s="132"/>
      <c r="S1128" s="132"/>
      <c r="T1128" s="132"/>
      <c r="U1128" s="132"/>
    </row>
    <row r="1129" ht="25.5" customHeight="1">
      <c r="A1129" s="66"/>
      <c r="B1129" s="67"/>
      <c r="C1129" s="67"/>
      <c r="D1129" s="67"/>
      <c r="E1129" s="67"/>
      <c r="F1129" s="67"/>
      <c r="G1129" s="68"/>
      <c r="H1129" s="76"/>
      <c r="I1129" s="77"/>
      <c r="J1129" s="77"/>
      <c r="K1129" s="77"/>
      <c r="L1129" s="131"/>
      <c r="M1129" s="131"/>
      <c r="N1129" s="169"/>
      <c r="O1129" s="133"/>
      <c r="P1129" s="133"/>
      <c r="Q1129" s="132"/>
      <c r="R1129" s="132"/>
      <c r="S1129" s="132"/>
      <c r="T1129" s="132"/>
      <c r="U1129" s="132"/>
    </row>
    <row r="1130" ht="25.5" customHeight="1">
      <c r="A1130" s="66"/>
      <c r="B1130" s="67"/>
      <c r="C1130" s="67"/>
      <c r="D1130" s="67"/>
      <c r="E1130" s="67"/>
      <c r="F1130" s="67"/>
      <c r="G1130" s="68"/>
      <c r="H1130" s="76"/>
      <c r="I1130" s="77"/>
      <c r="J1130" s="77"/>
      <c r="K1130" s="77"/>
      <c r="L1130" s="131"/>
      <c r="M1130" s="131"/>
      <c r="N1130" s="169"/>
      <c r="O1130" s="133"/>
      <c r="P1130" s="133"/>
      <c r="Q1130" s="132"/>
      <c r="R1130" s="132"/>
      <c r="S1130" s="132"/>
      <c r="T1130" s="132"/>
      <c r="U1130" s="132"/>
    </row>
    <row r="1131" ht="25.5" customHeight="1">
      <c r="A1131" s="66"/>
      <c r="B1131" s="67"/>
      <c r="C1131" s="67"/>
      <c r="D1131" s="67"/>
      <c r="E1131" s="67"/>
      <c r="F1131" s="67"/>
      <c r="G1131" s="68"/>
      <c r="H1131" s="76"/>
      <c r="I1131" s="77"/>
      <c r="J1131" s="77"/>
      <c r="K1131" s="77"/>
      <c r="L1131" s="131"/>
      <c r="M1131" s="131"/>
      <c r="N1131" s="169"/>
      <c r="O1131" s="133"/>
      <c r="P1131" s="133"/>
      <c r="Q1131" s="132"/>
      <c r="R1131" s="132"/>
      <c r="S1131" s="132"/>
      <c r="T1131" s="132"/>
      <c r="U1131" s="132"/>
    </row>
    <row r="1132" ht="25.5" customHeight="1">
      <c r="A1132" s="66"/>
      <c r="B1132" s="67"/>
      <c r="C1132" s="67"/>
      <c r="D1132" s="67"/>
      <c r="E1132" s="67"/>
      <c r="F1132" s="67"/>
      <c r="G1132" s="68"/>
      <c r="H1132" s="76"/>
      <c r="I1132" s="77"/>
      <c r="J1132" s="77"/>
      <c r="K1132" s="77"/>
      <c r="L1132" s="131"/>
      <c r="M1132" s="131"/>
      <c r="N1132" s="169"/>
      <c r="O1132" s="133"/>
      <c r="P1132" s="133"/>
      <c r="Q1132" s="132"/>
      <c r="R1132" s="132"/>
      <c r="S1132" s="132"/>
      <c r="T1132" s="132"/>
      <c r="U1132" s="132"/>
    </row>
    <row r="1133" ht="25.5" customHeight="1">
      <c r="A1133" s="66"/>
      <c r="B1133" s="67"/>
      <c r="C1133" s="67"/>
      <c r="D1133" s="67"/>
      <c r="E1133" s="67"/>
      <c r="F1133" s="67"/>
      <c r="G1133" s="68"/>
      <c r="H1133" s="76"/>
      <c r="I1133" s="77"/>
      <c r="J1133" s="77"/>
      <c r="K1133" s="77"/>
      <c r="L1133" s="131"/>
      <c r="M1133" s="131"/>
      <c r="N1133" s="169"/>
      <c r="O1133" s="133"/>
      <c r="P1133" s="133"/>
      <c r="Q1133" s="132"/>
      <c r="R1133" s="132"/>
      <c r="S1133" s="132"/>
      <c r="T1133" s="132"/>
      <c r="U1133" s="132"/>
    </row>
    <row r="1134" ht="25.5" customHeight="1">
      <c r="A1134" s="66"/>
      <c r="B1134" s="67"/>
      <c r="C1134" s="67"/>
      <c r="D1134" s="67"/>
      <c r="E1134" s="67"/>
      <c r="F1134" s="67"/>
      <c r="G1134" s="68"/>
      <c r="H1134" s="76"/>
      <c r="I1134" s="77"/>
      <c r="J1134" s="77"/>
      <c r="K1134" s="77"/>
      <c r="L1134" s="131"/>
      <c r="M1134" s="131"/>
      <c r="N1134" s="169"/>
      <c r="O1134" s="133"/>
      <c r="P1134" s="133"/>
      <c r="Q1134" s="132"/>
      <c r="R1134" s="132"/>
      <c r="S1134" s="132"/>
      <c r="T1134" s="132"/>
      <c r="U1134" s="132"/>
    </row>
    <row r="1135" ht="25.5" customHeight="1">
      <c r="A1135" s="66"/>
      <c r="B1135" s="67"/>
      <c r="C1135" s="67"/>
      <c r="D1135" s="67"/>
      <c r="E1135" s="67"/>
      <c r="F1135" s="67"/>
      <c r="G1135" s="68"/>
      <c r="H1135" s="76"/>
      <c r="I1135" s="77"/>
      <c r="J1135" s="77"/>
      <c r="K1135" s="77"/>
      <c r="L1135" s="131"/>
      <c r="M1135" s="131"/>
      <c r="N1135" s="169"/>
      <c r="O1135" s="133"/>
      <c r="P1135" s="133"/>
      <c r="Q1135" s="132"/>
      <c r="R1135" s="132"/>
      <c r="S1135" s="132"/>
      <c r="T1135" s="132"/>
      <c r="U1135" s="132"/>
    </row>
    <row r="1136" ht="25.5" customHeight="1">
      <c r="A1136" s="66"/>
      <c r="B1136" s="67"/>
      <c r="C1136" s="67"/>
      <c r="D1136" s="67"/>
      <c r="E1136" s="67"/>
      <c r="F1136" s="67"/>
      <c r="G1136" s="68"/>
      <c r="H1136" s="76"/>
      <c r="I1136" s="77"/>
      <c r="J1136" s="77"/>
      <c r="K1136" s="77"/>
      <c r="L1136" s="131"/>
      <c r="M1136" s="131"/>
      <c r="N1136" s="169"/>
      <c r="O1136" s="133"/>
      <c r="P1136" s="133"/>
      <c r="Q1136" s="132"/>
      <c r="R1136" s="132"/>
      <c r="S1136" s="132"/>
      <c r="T1136" s="132"/>
      <c r="U1136" s="132"/>
    </row>
    <row r="1137" ht="25.5" customHeight="1">
      <c r="A1137" s="66"/>
      <c r="B1137" s="67"/>
      <c r="C1137" s="67"/>
      <c r="D1137" s="67"/>
      <c r="E1137" s="67"/>
      <c r="F1137" s="67"/>
      <c r="G1137" s="68"/>
      <c r="H1137" s="76"/>
      <c r="I1137" s="77"/>
      <c r="J1137" s="77"/>
      <c r="K1137" s="77"/>
      <c r="L1137" s="131"/>
      <c r="M1137" s="131"/>
      <c r="N1137" s="169"/>
      <c r="O1137" s="133"/>
      <c r="P1137" s="133"/>
      <c r="Q1137" s="132"/>
      <c r="R1137" s="132"/>
      <c r="S1137" s="132"/>
      <c r="T1137" s="132"/>
      <c r="U1137" s="132"/>
    </row>
    <row r="1138" ht="25.5" customHeight="1">
      <c r="A1138" s="66"/>
      <c r="B1138" s="67"/>
      <c r="C1138" s="67"/>
      <c r="D1138" s="67"/>
      <c r="E1138" s="67"/>
      <c r="F1138" s="67"/>
      <c r="G1138" s="68"/>
      <c r="H1138" s="76"/>
      <c r="I1138" s="77"/>
      <c r="J1138" s="77"/>
      <c r="K1138" s="77"/>
      <c r="L1138" s="131"/>
      <c r="M1138" s="131"/>
      <c r="N1138" s="169"/>
      <c r="O1138" s="133"/>
      <c r="P1138" s="133"/>
      <c r="Q1138" s="132"/>
      <c r="R1138" s="132"/>
      <c r="S1138" s="132"/>
      <c r="T1138" s="132"/>
      <c r="U1138" s="132"/>
    </row>
    <row r="1139" ht="25.5" customHeight="1">
      <c r="A1139" s="66"/>
      <c r="B1139" s="67"/>
      <c r="C1139" s="67"/>
      <c r="D1139" s="67"/>
      <c r="E1139" s="67"/>
      <c r="F1139" s="67"/>
      <c r="G1139" s="68"/>
      <c r="H1139" s="76"/>
      <c r="I1139" s="77"/>
      <c r="J1139" s="77"/>
      <c r="K1139" s="77"/>
      <c r="L1139" s="131"/>
      <c r="M1139" s="131"/>
      <c r="N1139" s="169"/>
      <c r="O1139" s="133"/>
      <c r="P1139" s="133"/>
      <c r="Q1139" s="132"/>
      <c r="R1139" s="132"/>
      <c r="S1139" s="132"/>
      <c r="T1139" s="132"/>
      <c r="U1139" s="132"/>
    </row>
    <row r="1140" ht="25.5" customHeight="1">
      <c r="A1140" s="66"/>
      <c r="B1140" s="67"/>
      <c r="C1140" s="67"/>
      <c r="D1140" s="67"/>
      <c r="E1140" s="67"/>
      <c r="F1140" s="67"/>
      <c r="G1140" s="68"/>
      <c r="H1140" s="76"/>
      <c r="I1140" s="77"/>
      <c r="J1140" s="77"/>
      <c r="K1140" s="77"/>
      <c r="L1140" s="131"/>
      <c r="M1140" s="131"/>
      <c r="N1140" s="169"/>
      <c r="O1140" s="133"/>
      <c r="P1140" s="133"/>
      <c r="Q1140" s="132"/>
      <c r="R1140" s="132"/>
      <c r="S1140" s="132"/>
      <c r="T1140" s="132"/>
      <c r="U1140" s="132"/>
    </row>
    <row r="1141" ht="25.5" customHeight="1">
      <c r="A1141" s="66"/>
      <c r="B1141" s="67"/>
      <c r="C1141" s="67"/>
      <c r="D1141" s="67"/>
      <c r="E1141" s="67"/>
      <c r="F1141" s="67"/>
      <c r="G1141" s="68"/>
      <c r="H1141" s="76"/>
      <c r="I1141" s="77"/>
      <c r="J1141" s="77"/>
      <c r="K1141" s="77"/>
      <c r="L1141" s="131"/>
      <c r="M1141" s="131"/>
      <c r="N1141" s="169"/>
      <c r="O1141" s="133"/>
      <c r="P1141" s="133"/>
      <c r="Q1141" s="132"/>
      <c r="R1141" s="132"/>
      <c r="S1141" s="132"/>
      <c r="T1141" s="132"/>
      <c r="U1141" s="132"/>
    </row>
    <row r="1142" ht="25.5" customHeight="1">
      <c r="A1142" s="66"/>
      <c r="B1142" s="67"/>
      <c r="C1142" s="67"/>
      <c r="D1142" s="67"/>
      <c r="E1142" s="67"/>
      <c r="F1142" s="67"/>
      <c r="G1142" s="68"/>
      <c r="H1142" s="76"/>
      <c r="I1142" s="77"/>
      <c r="J1142" s="77"/>
      <c r="K1142" s="77"/>
      <c r="L1142" s="131"/>
      <c r="M1142" s="131"/>
      <c r="N1142" s="169"/>
      <c r="O1142" s="133"/>
      <c r="P1142" s="133"/>
      <c r="Q1142" s="132"/>
      <c r="R1142" s="132"/>
      <c r="S1142" s="132"/>
      <c r="T1142" s="132"/>
      <c r="U1142" s="132"/>
    </row>
    <row r="1143" ht="25.5" customHeight="1">
      <c r="A1143" s="66"/>
      <c r="B1143" s="67"/>
      <c r="C1143" s="67"/>
      <c r="D1143" s="67"/>
      <c r="E1143" s="67"/>
      <c r="F1143" s="67"/>
      <c r="G1143" s="68"/>
      <c r="H1143" s="76"/>
      <c r="I1143" s="77"/>
      <c r="J1143" s="77"/>
      <c r="K1143" s="77"/>
      <c r="L1143" s="131"/>
      <c r="M1143" s="131"/>
      <c r="N1143" s="169"/>
      <c r="O1143" s="133"/>
      <c r="P1143" s="133"/>
      <c r="Q1143" s="132"/>
      <c r="R1143" s="132"/>
      <c r="S1143" s="132"/>
      <c r="T1143" s="132"/>
      <c r="U1143" s="132"/>
    </row>
    <row r="1144" ht="25.5" customHeight="1">
      <c r="A1144" s="66"/>
      <c r="B1144" s="67"/>
      <c r="C1144" s="67"/>
      <c r="D1144" s="67"/>
      <c r="E1144" s="67"/>
      <c r="F1144" s="67"/>
      <c r="G1144" s="68"/>
      <c r="H1144" s="76"/>
      <c r="I1144" s="77"/>
      <c r="J1144" s="77"/>
      <c r="K1144" s="77"/>
      <c r="L1144" s="131"/>
      <c r="M1144" s="131"/>
      <c r="N1144" s="169"/>
      <c r="O1144" s="133"/>
      <c r="P1144" s="133"/>
      <c r="Q1144" s="132"/>
      <c r="R1144" s="132"/>
      <c r="S1144" s="132"/>
      <c r="T1144" s="132"/>
      <c r="U1144" s="132"/>
    </row>
    <row r="1145" ht="25.5" customHeight="1">
      <c r="A1145" s="66"/>
      <c r="B1145" s="67"/>
      <c r="C1145" s="67"/>
      <c r="D1145" s="67"/>
      <c r="E1145" s="67"/>
      <c r="F1145" s="67"/>
      <c r="G1145" s="68"/>
      <c r="H1145" s="76"/>
      <c r="I1145" s="77"/>
      <c r="J1145" s="77"/>
      <c r="K1145" s="77"/>
      <c r="L1145" s="131"/>
      <c r="M1145" s="131"/>
      <c r="N1145" s="169"/>
      <c r="O1145" s="133"/>
      <c r="P1145" s="133"/>
      <c r="Q1145" s="132"/>
      <c r="R1145" s="132"/>
      <c r="S1145" s="132"/>
      <c r="T1145" s="132"/>
      <c r="U1145" s="132"/>
    </row>
    <row r="1146" ht="25.5" customHeight="1">
      <c r="A1146" s="66"/>
      <c r="B1146" s="67"/>
      <c r="C1146" s="67"/>
      <c r="D1146" s="67"/>
      <c r="E1146" s="67"/>
      <c r="F1146" s="67"/>
      <c r="G1146" s="68"/>
      <c r="H1146" s="76"/>
      <c r="I1146" s="77"/>
      <c r="J1146" s="77"/>
      <c r="K1146" s="77"/>
      <c r="L1146" s="131"/>
      <c r="M1146" s="131"/>
      <c r="N1146" s="169"/>
      <c r="O1146" s="133"/>
      <c r="P1146" s="133"/>
      <c r="Q1146" s="132"/>
      <c r="R1146" s="132"/>
      <c r="S1146" s="132"/>
      <c r="T1146" s="132"/>
      <c r="U1146" s="132"/>
    </row>
    <row r="1147" ht="25.5" customHeight="1">
      <c r="A1147" s="66"/>
      <c r="B1147" s="67"/>
      <c r="C1147" s="67"/>
      <c r="D1147" s="67"/>
      <c r="E1147" s="67"/>
      <c r="F1147" s="67"/>
      <c r="G1147" s="68"/>
      <c r="H1147" s="76"/>
      <c r="I1147" s="77"/>
      <c r="J1147" s="77"/>
      <c r="K1147" s="77"/>
      <c r="L1147" s="131"/>
      <c r="M1147" s="131"/>
      <c r="N1147" s="169"/>
      <c r="O1147" s="133"/>
      <c r="P1147" s="133"/>
      <c r="Q1147" s="132"/>
      <c r="R1147" s="132"/>
      <c r="S1147" s="132"/>
      <c r="T1147" s="132"/>
      <c r="U1147" s="132"/>
    </row>
    <row r="1148" ht="25.5" customHeight="1">
      <c r="A1148" s="66"/>
      <c r="B1148" s="67"/>
      <c r="C1148" s="67"/>
      <c r="D1148" s="67"/>
      <c r="E1148" s="67"/>
      <c r="F1148" s="67"/>
      <c r="G1148" s="68"/>
      <c r="H1148" s="76"/>
      <c r="I1148" s="77"/>
      <c r="J1148" s="77"/>
      <c r="K1148" s="77"/>
      <c r="L1148" s="131"/>
      <c r="M1148" s="131"/>
      <c r="N1148" s="169"/>
      <c r="O1148" s="133"/>
      <c r="P1148" s="133"/>
      <c r="Q1148" s="132"/>
      <c r="R1148" s="132"/>
      <c r="S1148" s="132"/>
      <c r="T1148" s="132"/>
      <c r="U1148" s="132"/>
    </row>
    <row r="1149" ht="25.5" customHeight="1">
      <c r="A1149" s="66"/>
      <c r="B1149" s="67"/>
      <c r="C1149" s="67"/>
      <c r="D1149" s="67"/>
      <c r="E1149" s="67"/>
      <c r="F1149" s="67"/>
      <c r="G1149" s="68"/>
      <c r="H1149" s="76"/>
      <c r="I1149" s="77"/>
      <c r="J1149" s="77"/>
      <c r="K1149" s="77"/>
      <c r="L1149" s="131"/>
      <c r="M1149" s="131"/>
      <c r="N1149" s="169"/>
      <c r="O1149" s="133"/>
      <c r="P1149" s="133"/>
      <c r="Q1149" s="132"/>
      <c r="R1149" s="132"/>
      <c r="S1149" s="132"/>
      <c r="T1149" s="132"/>
      <c r="U1149" s="132"/>
    </row>
    <row r="1150" ht="25.5" customHeight="1">
      <c r="A1150" s="66"/>
      <c r="B1150" s="67"/>
      <c r="C1150" s="67"/>
      <c r="D1150" s="67"/>
      <c r="E1150" s="67"/>
      <c r="F1150" s="67"/>
      <c r="G1150" s="68"/>
      <c r="H1150" s="76"/>
      <c r="I1150" s="77"/>
      <c r="J1150" s="77"/>
      <c r="K1150" s="77"/>
      <c r="L1150" s="131"/>
      <c r="M1150" s="131"/>
      <c r="N1150" s="169"/>
      <c r="O1150" s="133"/>
      <c r="P1150" s="133"/>
      <c r="Q1150" s="132"/>
      <c r="R1150" s="132"/>
      <c r="S1150" s="132"/>
      <c r="T1150" s="132"/>
      <c r="U1150" s="132"/>
    </row>
    <row r="1151" ht="25.5" customHeight="1">
      <c r="A1151" s="66"/>
      <c r="B1151" s="67"/>
      <c r="C1151" s="67"/>
      <c r="D1151" s="67"/>
      <c r="E1151" s="67"/>
      <c r="F1151" s="67"/>
      <c r="G1151" s="68"/>
      <c r="H1151" s="76"/>
      <c r="I1151" s="77"/>
      <c r="J1151" s="77"/>
      <c r="K1151" s="77"/>
      <c r="L1151" s="131"/>
      <c r="M1151" s="131"/>
      <c r="N1151" s="169"/>
      <c r="O1151" s="133"/>
      <c r="P1151" s="133"/>
      <c r="Q1151" s="132"/>
      <c r="R1151" s="132"/>
      <c r="S1151" s="132"/>
      <c r="T1151" s="132"/>
      <c r="U1151" s="132"/>
    </row>
    <row r="1152" ht="25.5" customHeight="1">
      <c r="A1152" s="66"/>
      <c r="B1152" s="67"/>
      <c r="C1152" s="67"/>
      <c r="D1152" s="67"/>
      <c r="E1152" s="67"/>
      <c r="F1152" s="67"/>
      <c r="G1152" s="68"/>
      <c r="H1152" s="76"/>
      <c r="I1152" s="77"/>
      <c r="J1152" s="77"/>
      <c r="K1152" s="77"/>
      <c r="L1152" s="131"/>
      <c r="M1152" s="131"/>
      <c r="N1152" s="169"/>
      <c r="O1152" s="133"/>
      <c r="P1152" s="133"/>
      <c r="Q1152" s="132"/>
      <c r="R1152" s="132"/>
      <c r="S1152" s="132"/>
      <c r="T1152" s="132"/>
      <c r="U1152" s="132"/>
    </row>
    <row r="1153" ht="25.5" customHeight="1">
      <c r="A1153" s="66"/>
      <c r="B1153" s="67"/>
      <c r="C1153" s="67"/>
      <c r="D1153" s="67"/>
      <c r="E1153" s="67"/>
      <c r="F1153" s="67"/>
      <c r="G1153" s="68"/>
      <c r="H1153" s="76"/>
      <c r="I1153" s="77"/>
      <c r="J1153" s="77"/>
      <c r="K1153" s="77"/>
      <c r="L1153" s="131"/>
      <c r="M1153" s="131"/>
      <c r="N1153" s="169"/>
      <c r="O1153" s="133"/>
      <c r="P1153" s="133"/>
      <c r="Q1153" s="132"/>
      <c r="R1153" s="132"/>
      <c r="S1153" s="132"/>
      <c r="T1153" s="132"/>
      <c r="U1153" s="132"/>
    </row>
    <row r="1154" ht="25.5" customHeight="1">
      <c r="A1154" s="66"/>
      <c r="B1154" s="67"/>
      <c r="C1154" s="67"/>
      <c r="D1154" s="67"/>
      <c r="E1154" s="67"/>
      <c r="F1154" s="67"/>
      <c r="G1154" s="68"/>
      <c r="H1154" s="76"/>
      <c r="I1154" s="77"/>
      <c r="J1154" s="77"/>
      <c r="K1154" s="77"/>
      <c r="L1154" s="131"/>
      <c r="M1154" s="131"/>
      <c r="N1154" s="169"/>
      <c r="O1154" s="133"/>
      <c r="P1154" s="133"/>
      <c r="Q1154" s="132"/>
      <c r="R1154" s="132"/>
      <c r="S1154" s="132"/>
      <c r="T1154" s="132"/>
      <c r="U1154" s="132"/>
    </row>
    <row r="1155" ht="25.5" customHeight="1">
      <c r="A1155" s="66"/>
      <c r="B1155" s="67"/>
      <c r="C1155" s="67"/>
      <c r="D1155" s="67"/>
      <c r="E1155" s="67"/>
      <c r="F1155" s="67"/>
      <c r="G1155" s="68"/>
      <c r="H1155" s="76"/>
      <c r="I1155" s="77"/>
      <c r="J1155" s="77"/>
      <c r="K1155" s="77"/>
      <c r="L1155" s="131"/>
      <c r="M1155" s="131"/>
      <c r="N1155" s="169"/>
      <c r="O1155" s="133"/>
      <c r="P1155" s="133"/>
      <c r="Q1155" s="132"/>
      <c r="R1155" s="132"/>
      <c r="S1155" s="132"/>
      <c r="T1155" s="132"/>
      <c r="U1155" s="132"/>
    </row>
    <row r="1156" ht="25.5" customHeight="1">
      <c r="A1156" s="66"/>
      <c r="B1156" s="67"/>
      <c r="C1156" s="67"/>
      <c r="D1156" s="67"/>
      <c r="E1156" s="67"/>
      <c r="F1156" s="67"/>
      <c r="G1156" s="68"/>
      <c r="H1156" s="76"/>
      <c r="I1156" s="77"/>
      <c r="J1156" s="77"/>
      <c r="K1156" s="77"/>
      <c r="L1156" s="131"/>
      <c r="M1156" s="131"/>
      <c r="N1156" s="169"/>
      <c r="O1156" s="133"/>
      <c r="P1156" s="133"/>
      <c r="Q1156" s="132"/>
      <c r="R1156" s="132"/>
      <c r="S1156" s="132"/>
      <c r="T1156" s="132"/>
      <c r="U1156" s="132"/>
    </row>
    <row r="1157" ht="25.5" customHeight="1">
      <c r="A1157" s="66"/>
      <c r="B1157" s="67"/>
      <c r="C1157" s="67"/>
      <c r="D1157" s="67"/>
      <c r="E1157" s="67"/>
      <c r="F1157" s="67"/>
      <c r="G1157" s="68"/>
      <c r="H1157" s="76"/>
      <c r="I1157" s="77"/>
      <c r="J1157" s="77"/>
      <c r="K1157" s="77"/>
      <c r="L1157" s="131"/>
      <c r="M1157" s="131"/>
      <c r="N1157" s="169"/>
      <c r="O1157" s="133"/>
      <c r="P1157" s="133"/>
      <c r="Q1157" s="132"/>
      <c r="R1157" s="132"/>
      <c r="S1157" s="132"/>
      <c r="T1157" s="132"/>
      <c r="U1157" s="132"/>
    </row>
    <row r="1158" ht="25.5" customHeight="1">
      <c r="A1158" s="66"/>
      <c r="B1158" s="67"/>
      <c r="C1158" s="67"/>
      <c r="D1158" s="67"/>
      <c r="E1158" s="67"/>
      <c r="F1158" s="67"/>
      <c r="G1158" s="68"/>
      <c r="H1158" s="76"/>
      <c r="I1158" s="77"/>
      <c r="J1158" s="77"/>
      <c r="K1158" s="77"/>
      <c r="L1158" s="131"/>
      <c r="M1158" s="131"/>
      <c r="N1158" s="169"/>
      <c r="O1158" s="133"/>
      <c r="P1158" s="133"/>
      <c r="Q1158" s="132"/>
      <c r="R1158" s="132"/>
      <c r="S1158" s="132"/>
      <c r="T1158" s="132"/>
      <c r="U1158" s="132"/>
    </row>
    <row r="1159" ht="25.5" customHeight="1">
      <c r="A1159" s="66"/>
      <c r="B1159" s="67"/>
      <c r="C1159" s="67"/>
      <c r="D1159" s="67"/>
      <c r="E1159" s="67"/>
      <c r="F1159" s="67"/>
      <c r="G1159" s="68"/>
      <c r="H1159" s="76"/>
      <c r="I1159" s="77"/>
      <c r="J1159" s="77"/>
      <c r="K1159" s="77"/>
      <c r="L1159" s="131"/>
      <c r="M1159" s="131"/>
      <c r="N1159" s="169"/>
      <c r="O1159" s="133"/>
      <c r="P1159" s="133"/>
      <c r="Q1159" s="132"/>
      <c r="R1159" s="132"/>
      <c r="S1159" s="132"/>
      <c r="T1159" s="132"/>
      <c r="U1159" s="132"/>
    </row>
    <row r="1160" ht="25.5" customHeight="1">
      <c r="A1160" s="66"/>
      <c r="B1160" s="67"/>
      <c r="C1160" s="67"/>
      <c r="D1160" s="67"/>
      <c r="E1160" s="67"/>
      <c r="F1160" s="67"/>
      <c r="G1160" s="68"/>
      <c r="H1160" s="76"/>
      <c r="I1160" s="77"/>
      <c r="J1160" s="77"/>
      <c r="K1160" s="77"/>
      <c r="L1160" s="131"/>
      <c r="M1160" s="131"/>
      <c r="N1160" s="169"/>
      <c r="O1160" s="133"/>
      <c r="P1160" s="133"/>
      <c r="Q1160" s="132"/>
      <c r="R1160" s="132"/>
      <c r="S1160" s="132"/>
      <c r="T1160" s="132"/>
      <c r="U1160" s="132"/>
    </row>
  </sheetData>
  <autoFilter ref="$A$4:$W$1113"/>
  <mergeCells count="3">
    <mergeCell ref="A1:K1"/>
    <mergeCell ref="A3:K3"/>
    <mergeCell ref="O3:U3"/>
  </mergeCells>
  <printOptions/>
  <pageMargins bottom="0.39370078740157477" footer="0.0" header="0.0" left="0.39370078740157477" right="0.39370078740157477" top="0.39370078740157477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2" width="15.0"/>
    <col customWidth="1" min="3" max="3" width="31.75"/>
    <col customWidth="1" min="4" max="4" width="18.13"/>
    <col customWidth="1" min="5" max="5" width="29.0"/>
    <col customWidth="1" min="6" max="6" width="14.63"/>
    <col customWidth="1" min="7" max="7" width="46.13"/>
    <col customWidth="1" min="8" max="8" width="13.38"/>
    <col customWidth="1" min="9" max="9" width="10.25"/>
    <col customWidth="1" min="10" max="10" width="21.88"/>
    <col customWidth="1" min="11" max="11" width="14.63"/>
    <col customWidth="1" min="12" max="12" width="9.25"/>
    <col customWidth="1" min="13" max="13" width="13.63"/>
    <col customWidth="1" min="14" max="14" width="17.75"/>
    <col customWidth="1" min="15" max="15" width="12.13"/>
    <col customWidth="1" min="16" max="26" width="9.13"/>
  </cols>
  <sheetData>
    <row r="1">
      <c r="A1" s="2"/>
      <c r="B1" s="4"/>
      <c r="C1" s="5"/>
      <c r="D1" s="2"/>
      <c r="E1" s="5"/>
      <c r="F1" s="2"/>
      <c r="G1" s="2"/>
      <c r="H1" s="2"/>
      <c r="I1" s="2"/>
      <c r="J1" s="2"/>
      <c r="K1" s="12">
        <f>H14+I14+H15+I15+H16+I16+H17+I17-J14-J15-J16-J17</f>
        <v>1458.4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4"/>
      <c r="C2" s="5"/>
      <c r="D2" s="2"/>
      <c r="E2" s="5"/>
      <c r="F2" s="2"/>
      <c r="G2" s="2"/>
      <c r="H2" s="18">
        <f t="shared" ref="H2:K2" si="1">SUBTOTAL(9,H3:H364)</f>
        <v>3025750</v>
      </c>
      <c r="I2" s="18">
        <f t="shared" si="1"/>
        <v>0</v>
      </c>
      <c r="J2" s="18">
        <f t="shared" si="1"/>
        <v>0</v>
      </c>
      <c r="K2" s="18">
        <f t="shared" si="1"/>
        <v>1305750</v>
      </c>
      <c r="L2" s="2"/>
      <c r="M2" s="2"/>
      <c r="N2" s="2"/>
      <c r="O2" s="23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63.75" customHeight="1">
      <c r="A3" s="27" t="s">
        <v>8</v>
      </c>
      <c r="B3" s="28" t="s">
        <v>12</v>
      </c>
      <c r="C3" s="29"/>
      <c r="D3" s="30" t="s">
        <v>18</v>
      </c>
      <c r="E3" s="30" t="s">
        <v>20</v>
      </c>
      <c r="F3" s="27" t="s">
        <v>22</v>
      </c>
      <c r="G3" s="27" t="s">
        <v>23</v>
      </c>
      <c r="H3" s="27" t="s">
        <v>24</v>
      </c>
      <c r="I3" s="33" t="s">
        <v>27</v>
      </c>
      <c r="J3" s="27" t="s">
        <v>30</v>
      </c>
      <c r="K3" s="27" t="s">
        <v>31</v>
      </c>
      <c r="L3" s="30" t="s">
        <v>32</v>
      </c>
      <c r="M3" s="27" t="s">
        <v>33</v>
      </c>
      <c r="N3" s="27" t="s">
        <v>31</v>
      </c>
      <c r="O3" s="27"/>
      <c r="P3" s="35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hidden="1" customHeight="1">
      <c r="A4" s="39" t="s">
        <v>37</v>
      </c>
      <c r="B4" s="40"/>
      <c r="C4" s="42" t="s">
        <v>42</v>
      </c>
      <c r="D4" s="42"/>
      <c r="E4" s="42"/>
      <c r="F4" s="42" t="s">
        <v>44</v>
      </c>
      <c r="G4" s="42" t="s">
        <v>45</v>
      </c>
      <c r="H4" s="44"/>
      <c r="I4" s="46"/>
      <c r="J4" s="47"/>
      <c r="K4" s="44"/>
      <c r="L4" s="44"/>
      <c r="M4" s="44"/>
      <c r="N4" s="44"/>
      <c r="O4" s="44"/>
      <c r="P4" s="49"/>
      <c r="Q4" s="2"/>
      <c r="R4" s="2"/>
      <c r="S4" s="2"/>
      <c r="T4" s="2"/>
      <c r="U4" s="2"/>
      <c r="V4" s="2"/>
      <c r="W4" s="2"/>
      <c r="X4" s="2"/>
      <c r="Y4" s="2"/>
      <c r="Z4" s="2"/>
    </row>
    <row r="5" hidden="1">
      <c r="A5" s="51" t="s">
        <v>65</v>
      </c>
      <c r="B5" s="53">
        <v>46084.0</v>
      </c>
      <c r="C5" s="57" t="str">
        <f t="shared" ref="C5:C324" si="2">D5&amp;E5&amp;F5</f>
        <v>15126/YFY/01HH-CT00149</v>
      </c>
      <c r="D5" s="51">
        <v>151.0</v>
      </c>
      <c r="E5" s="37" t="s">
        <v>69</v>
      </c>
      <c r="F5" s="59" t="s">
        <v>72</v>
      </c>
      <c r="G5" s="61" t="s">
        <v>73</v>
      </c>
      <c r="H5" s="63">
        <v>1000.0</v>
      </c>
      <c r="I5" s="63"/>
      <c r="J5" s="63">
        <f>SUMIFS('SỔ CHI TIẾT BÁN HÀNG'!$G$5:$G$2062,'SỔ CHI TIẾT BÁN HÀNG'!$C$5:$C$2062,'Đơn đặt'!F5,'SỔ CHI TIẾT BÁN HÀNG'!$L$5:$L$2062,'Đơn đặt'!C5)</f>
        <v>1000</v>
      </c>
      <c r="K5" s="63">
        <f t="shared" ref="K5:K264" si="3">H5+I5-J5</f>
        <v>0</v>
      </c>
      <c r="L5" s="63"/>
      <c r="M5" s="72">
        <f>IF(E5="Hàng SX",0,SUMIFS('SỔ CHI TIẾT BÁN HÀNG'!$Q$5:$Q$2863,'SỔ CHI TIẾT BÁN HÀNG'!$C$5:$C$2863,'Đơn đặt'!F5,'SỔ CHI TIẾT BÁN HÀNG'!$N$5:$N$2863,'Đơn đặt'!E5))</f>
        <v>1000</v>
      </c>
      <c r="N5" s="72">
        <f t="shared" ref="N5:N289" si="4">IF(E5="Hàng SX",0,H5-M5)</f>
        <v>0</v>
      </c>
      <c r="O5" s="74"/>
      <c r="P5" s="74" t="s">
        <v>80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 hidden="1">
      <c r="A6" s="51" t="s">
        <v>65</v>
      </c>
      <c r="B6" s="53">
        <v>46084.0</v>
      </c>
      <c r="C6" s="57" t="str">
        <f t="shared" si="2"/>
        <v>151a26/TB/01HH-NT00038</v>
      </c>
      <c r="D6" s="51" t="s">
        <v>81</v>
      </c>
      <c r="E6" s="37" t="s">
        <v>82</v>
      </c>
      <c r="F6" s="59" t="s">
        <v>83</v>
      </c>
      <c r="G6" s="61" t="s">
        <v>84</v>
      </c>
      <c r="H6" s="63">
        <v>27000.0</v>
      </c>
      <c r="I6" s="63"/>
      <c r="J6" s="63">
        <f>SUMIFS('SỔ CHI TIẾT BÁN HÀNG'!$G$5:$G$2062,'SỔ CHI TIẾT BÁN HÀNG'!$C$5:$C$2062,'Đơn đặt'!F6,'SỔ CHI TIẾT BÁN HÀNG'!$L$5:$L$2062,'Đơn đặt'!C6)</f>
        <v>27000</v>
      </c>
      <c r="K6" s="63">
        <f t="shared" si="3"/>
        <v>0</v>
      </c>
      <c r="L6" s="63"/>
      <c r="M6" s="72">
        <f>IF(E6="Hàng SX",0,SUMIFS('SỔ CHI TIẾT BÁN HÀNG'!$Q$5:$Q$2863,'SỔ CHI TIẾT BÁN HÀNG'!$C$5:$C$2863,'Đơn đặt'!F6,'SỔ CHI TIẾT BÁN HÀNG'!$N$5:$N$2863,'Đơn đặt'!E6))</f>
        <v>27000</v>
      </c>
      <c r="N6" s="72">
        <f t="shared" si="4"/>
        <v>0</v>
      </c>
      <c r="O6" s="74"/>
      <c r="P6" s="74" t="s">
        <v>80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 hidden="1">
      <c r="A7" s="51" t="s">
        <v>65</v>
      </c>
      <c r="B7" s="53">
        <v>46084.0</v>
      </c>
      <c r="C7" s="57" t="str">
        <f t="shared" si="2"/>
        <v>151a26/TB/01HH-NT00039</v>
      </c>
      <c r="D7" s="51" t="s">
        <v>81</v>
      </c>
      <c r="E7" s="37" t="s">
        <v>82</v>
      </c>
      <c r="F7" s="59" t="s">
        <v>88</v>
      </c>
      <c r="G7" s="61" t="s">
        <v>89</v>
      </c>
      <c r="H7" s="63">
        <v>541000.0</v>
      </c>
      <c r="I7" s="63"/>
      <c r="J7" s="63">
        <f>SUMIFS('SỔ CHI TIẾT BÁN HÀNG'!$G$5:$G$2062,'SỔ CHI TIẾT BÁN HÀNG'!$C$5:$C$2062,'Đơn đặt'!F7,'SỔ CHI TIẾT BÁN HÀNG'!$L$5:$L$2062,'Đơn đặt'!C7)</f>
        <v>541000</v>
      </c>
      <c r="K7" s="63">
        <f t="shared" si="3"/>
        <v>0</v>
      </c>
      <c r="L7" s="63"/>
      <c r="M7" s="72">
        <f>IF(E7="Hàng SX",0,SUMIFS('SỔ CHI TIẾT BÁN HÀNG'!$Q$5:$Q$2863,'SỔ CHI TIẾT BÁN HÀNG'!$C$5:$C$2863,'Đơn đặt'!F7,'SỔ CHI TIẾT BÁN HÀNG'!$N$5:$N$2863,'Đơn đặt'!E7))</f>
        <v>541000</v>
      </c>
      <c r="N7" s="72">
        <f t="shared" si="4"/>
        <v>0</v>
      </c>
      <c r="O7" s="74"/>
      <c r="P7" s="74" t="s">
        <v>80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 hidden="1">
      <c r="A8" s="51" t="s">
        <v>65</v>
      </c>
      <c r="B8" s="53">
        <v>46120.0</v>
      </c>
      <c r="C8" s="57" t="str">
        <f t="shared" si="2"/>
        <v>23226/YFY/02HH-CT00149</v>
      </c>
      <c r="D8" s="51">
        <v>232.0</v>
      </c>
      <c r="E8" s="37" t="s">
        <v>97</v>
      </c>
      <c r="F8" s="59" t="s">
        <v>72</v>
      </c>
      <c r="G8" s="61" t="s">
        <v>73</v>
      </c>
      <c r="H8" s="63">
        <v>700.0</v>
      </c>
      <c r="I8" s="63"/>
      <c r="J8" s="63">
        <f>SUMIFS('SỔ CHI TIẾT BÁN HÀNG'!$G$5:$G$2062,'SỔ CHI TIẾT BÁN HÀNG'!$C$5:$C$2062,'Đơn đặt'!F8,'SỔ CHI TIẾT BÁN HÀNG'!$L$5:$L$2062,'Đơn đặt'!C8)</f>
        <v>700</v>
      </c>
      <c r="K8" s="63">
        <f t="shared" si="3"/>
        <v>0</v>
      </c>
      <c r="L8" s="63"/>
      <c r="M8" s="72">
        <f>IF(E8="Hàng SX",0,SUMIFS('SỔ CHI TIẾT BÁN HÀNG'!$Q$5:$Q$2863,'SỔ CHI TIẾT BÁN HÀNG'!$C$5:$C$2863,'Đơn đặt'!F8,'SỔ CHI TIẾT BÁN HÀNG'!$N$5:$N$2863,'Đơn đặt'!E8))</f>
        <v>700</v>
      </c>
      <c r="N8" s="72">
        <f t="shared" si="4"/>
        <v>0</v>
      </c>
      <c r="O8" s="74"/>
      <c r="P8" s="74" t="s">
        <v>80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 hidden="1">
      <c r="A9" s="51" t="s">
        <v>65</v>
      </c>
      <c r="B9" s="53">
        <v>46120.0</v>
      </c>
      <c r="C9" s="57" t="str">
        <f t="shared" si="2"/>
        <v>23226/YFY/02HH-CT00150</v>
      </c>
      <c r="D9" s="51">
        <v>232.0</v>
      </c>
      <c r="E9" s="37" t="s">
        <v>97</v>
      </c>
      <c r="F9" s="59" t="s">
        <v>99</v>
      </c>
      <c r="G9" s="61" t="s">
        <v>100</v>
      </c>
      <c r="H9" s="63">
        <v>350.0</v>
      </c>
      <c r="I9" s="63"/>
      <c r="J9" s="63">
        <f>SUMIFS('SỔ CHI TIẾT BÁN HÀNG'!$G$5:$G$2062,'SỔ CHI TIẾT BÁN HÀNG'!$C$5:$C$2062,'Đơn đặt'!F9,'SỔ CHI TIẾT BÁN HÀNG'!$L$5:$L$2062,'Đơn đặt'!C9)</f>
        <v>350</v>
      </c>
      <c r="K9" s="63">
        <f t="shared" si="3"/>
        <v>0</v>
      </c>
      <c r="L9" s="63"/>
      <c r="M9" s="72">
        <f>IF(E9="Hàng SX",0,SUMIFS('SỔ CHI TIẾT BÁN HÀNG'!$Q$5:$Q$2863,'SỔ CHI TIẾT BÁN HÀNG'!$C$5:$C$2863,'Đơn đặt'!F9,'SỔ CHI TIẾT BÁN HÀNG'!$N$5:$N$2863,'Đơn đặt'!E9))</f>
        <v>350</v>
      </c>
      <c r="N9" s="72">
        <f t="shared" si="4"/>
        <v>0</v>
      </c>
      <c r="O9" s="74"/>
      <c r="P9" s="74" t="s">
        <v>80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 hidden="1">
      <c r="A10" s="51" t="s">
        <v>65</v>
      </c>
      <c r="B10" s="53">
        <v>46120.0</v>
      </c>
      <c r="C10" s="57" t="str">
        <f t="shared" si="2"/>
        <v>232a26/TB/02HH-NT00039</v>
      </c>
      <c r="D10" s="51" t="s">
        <v>102</v>
      </c>
      <c r="E10" s="37" t="s">
        <v>103</v>
      </c>
      <c r="F10" s="59" t="s">
        <v>88</v>
      </c>
      <c r="G10" s="61" t="s">
        <v>89</v>
      </c>
      <c r="H10" s="63">
        <v>351000.0</v>
      </c>
      <c r="I10" s="63"/>
      <c r="J10" s="63">
        <f>SUMIFS('SỔ CHI TIẾT BÁN HÀNG'!$G$5:$G$2062,'SỔ CHI TIẾT BÁN HÀNG'!$C$5:$C$2062,'Đơn đặt'!F10,'SỔ CHI TIẾT BÁN HÀNG'!$L$5:$L$2062,'Đơn đặt'!C10)</f>
        <v>351000</v>
      </c>
      <c r="K10" s="63">
        <f t="shared" si="3"/>
        <v>0</v>
      </c>
      <c r="L10" s="63"/>
      <c r="M10" s="72">
        <f>IF(E10="Hàng SX",0,SUMIFS('SỔ CHI TIẾT BÁN HÀNG'!$Q$5:$Q$2863,'SỔ CHI TIẾT BÁN HÀNG'!$C$5:$C$2863,'Đơn đặt'!F10,'SỔ CHI TIẾT BÁN HÀNG'!$N$5:$N$2863,'Đơn đặt'!E10))</f>
        <v>351000</v>
      </c>
      <c r="N10" s="72">
        <f t="shared" si="4"/>
        <v>0</v>
      </c>
      <c r="O10" s="74"/>
      <c r="P10" s="74" t="s">
        <v>80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idden="1">
      <c r="A11" s="51" t="s">
        <v>65</v>
      </c>
      <c r="B11" s="53">
        <v>46120.0</v>
      </c>
      <c r="C11" s="57" t="str">
        <f t="shared" si="2"/>
        <v>232a26/TB/02HH-NT00040</v>
      </c>
      <c r="D11" s="51" t="s">
        <v>102</v>
      </c>
      <c r="E11" s="37" t="s">
        <v>103</v>
      </c>
      <c r="F11" s="59" t="s">
        <v>108</v>
      </c>
      <c r="G11" s="61" t="s">
        <v>109</v>
      </c>
      <c r="H11" s="63">
        <v>183000.0</v>
      </c>
      <c r="I11" s="63"/>
      <c r="J11" s="63">
        <f>SUMIFS('SỔ CHI TIẾT BÁN HÀNG'!$G$5:$G$2062,'SỔ CHI TIẾT BÁN HÀNG'!$C$5:$C$2062,'Đơn đặt'!F11,'SỔ CHI TIẾT BÁN HÀNG'!$L$5:$L$2062,'Đơn đặt'!C11)</f>
        <v>183000</v>
      </c>
      <c r="K11" s="63">
        <f t="shared" si="3"/>
        <v>0</v>
      </c>
      <c r="L11" s="63"/>
      <c r="M11" s="72">
        <f>IF(E11="Hàng SX",0,SUMIFS('SỔ CHI TIẾT BÁN HÀNG'!$Q$5:$Q$2863,'SỔ CHI TIẾT BÁN HÀNG'!$C$5:$C$2863,'Đơn đặt'!F11,'SỔ CHI TIẾT BÁN HÀNG'!$N$5:$N$2863,'Đơn đặt'!E11))</f>
        <v>183000</v>
      </c>
      <c r="N11" s="72">
        <f t="shared" si="4"/>
        <v>0</v>
      </c>
      <c r="O11" s="74"/>
      <c r="P11" s="74" t="s">
        <v>80</v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idden="1">
      <c r="A12" s="51" t="s">
        <v>65</v>
      </c>
      <c r="B12" s="53">
        <v>46150.0</v>
      </c>
      <c r="C12" s="57" t="str">
        <f t="shared" si="2"/>
        <v>30126/TB/03HH-NT00039</v>
      </c>
      <c r="D12" s="51">
        <v>301.0</v>
      </c>
      <c r="E12" s="37" t="s">
        <v>114</v>
      </c>
      <c r="F12" s="59" t="s">
        <v>88</v>
      </c>
      <c r="G12" s="61" t="s">
        <v>89</v>
      </c>
      <c r="H12" s="63">
        <v>541000.0</v>
      </c>
      <c r="I12" s="63"/>
      <c r="J12" s="63">
        <f>SUMIFS('SỔ CHI TIẾT BÁN HÀNG'!$G$5:$G$2062,'SỔ CHI TIẾT BÁN HÀNG'!$C$5:$C$2062,'Đơn đặt'!F12,'SỔ CHI TIẾT BÁN HÀNG'!$L$5:$L$2062,'Đơn đặt'!C12)</f>
        <v>541000</v>
      </c>
      <c r="K12" s="63">
        <f t="shared" si="3"/>
        <v>0</v>
      </c>
      <c r="L12" s="63"/>
      <c r="M12" s="72">
        <f>IF(E12="Hàng SX",0,SUMIFS('SỔ CHI TIẾT BÁN HÀNG'!$Q$5:$Q$2863,'SỔ CHI TIẾT BÁN HÀNG'!$C$5:$C$2863,'Đơn đặt'!F12,'SỔ CHI TIẾT BÁN HÀNG'!$N$5:$N$2863,'Đơn đặt'!E12))</f>
        <v>541000</v>
      </c>
      <c r="N12" s="72">
        <f t="shared" si="4"/>
        <v>0</v>
      </c>
      <c r="O12" s="74"/>
      <c r="P12" s="74" t="s">
        <v>80</v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idden="1">
      <c r="A13" s="51" t="s">
        <v>65</v>
      </c>
      <c r="B13" s="53">
        <v>46150.0</v>
      </c>
      <c r="C13" s="57" t="str">
        <f t="shared" si="2"/>
        <v>301a26/YFY/03HH-CT00149</v>
      </c>
      <c r="D13" s="51" t="s">
        <v>117</v>
      </c>
      <c r="E13" s="37" t="s">
        <v>118</v>
      </c>
      <c r="F13" s="59" t="s">
        <v>72</v>
      </c>
      <c r="G13" s="61" t="s">
        <v>73</v>
      </c>
      <c r="H13" s="63">
        <v>1070.0</v>
      </c>
      <c r="I13" s="63"/>
      <c r="J13" s="63">
        <f>SUMIFS('SỔ CHI TIẾT BÁN HÀNG'!$G$5:$G$2062,'SỔ CHI TIẾT BÁN HÀNG'!$C$5:$C$2062,'Đơn đặt'!F13,'SỔ CHI TIẾT BÁN HÀNG'!$L$5:$L$2062,'Đơn đặt'!C13)</f>
        <v>1070</v>
      </c>
      <c r="K13" s="63">
        <f t="shared" si="3"/>
        <v>0</v>
      </c>
      <c r="L13" s="63"/>
      <c r="M13" s="72">
        <f>IF(E13="Hàng SX",0,SUMIFS('SỔ CHI TIẾT BÁN HÀNG'!$Q$5:$Q$2863,'SỔ CHI TIẾT BÁN HÀNG'!$C$5:$C$2863,'Đơn đặt'!F13,'SỔ CHI TIẾT BÁN HÀNG'!$N$5:$N$2863,'Đơn đặt'!E13))</f>
        <v>1070</v>
      </c>
      <c r="N13" s="72">
        <f t="shared" si="4"/>
        <v>0</v>
      </c>
      <c r="O13" s="74"/>
      <c r="P13" s="74" t="s">
        <v>80</v>
      </c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idden="1">
      <c r="A14" s="51" t="s">
        <v>123</v>
      </c>
      <c r="B14" s="53">
        <v>46031.0</v>
      </c>
      <c r="C14" s="57" t="str">
        <f t="shared" si="2"/>
        <v>01/TS/26Hàng SXTP-LG00004-TH</v>
      </c>
      <c r="D14" s="85" t="s">
        <v>124</v>
      </c>
      <c r="E14" s="37" t="s">
        <v>98</v>
      </c>
      <c r="F14" s="59" t="s">
        <v>125</v>
      </c>
      <c r="G14" s="61" t="s">
        <v>126</v>
      </c>
      <c r="H14" s="63">
        <v>5000.0</v>
      </c>
      <c r="I14" s="63">
        <v>244.0</v>
      </c>
      <c r="J14" s="63">
        <f>SUMIFS('SỔ CHI TIẾT BÁN HÀNG'!$G$5:$G$2062,'SỔ CHI TIẾT BÁN HÀNG'!$C$5:$C$2062,'Đơn đặt'!F14,'SỔ CHI TIẾT BÁN HÀNG'!$L$5:$L$2062,'Đơn đặt'!C14)</f>
        <v>5244</v>
      </c>
      <c r="K14" s="63">
        <f t="shared" si="3"/>
        <v>0</v>
      </c>
      <c r="L14" s="86">
        <f t="shared" ref="L14:L17" si="5">+I14/H14</f>
        <v>0.0488</v>
      </c>
      <c r="M14" s="72">
        <f>IF(E14="Hàng SX",0,SUMIFS('SỔ CHI TIẾT BÁN HÀNG'!$Q$5:$Q$2863,'SỔ CHI TIẾT BÁN HÀNG'!$C$5:$C$2863,'Đơn đặt'!F14,'SỔ CHI TIẾT BÁN HÀNG'!$N$5:$N$2863,'Đơn đặt'!E14))</f>
        <v>0</v>
      </c>
      <c r="N14" s="72">
        <f t="shared" si="4"/>
        <v>0</v>
      </c>
      <c r="O14" s="74"/>
      <c r="P14" s="74" t="s">
        <v>80</v>
      </c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idden="1">
      <c r="A15" s="51" t="s">
        <v>123</v>
      </c>
      <c r="B15" s="53">
        <v>46044.0</v>
      </c>
      <c r="C15" s="57" t="str">
        <f t="shared" si="2"/>
        <v>02/TS/26Hàng SXTP-LG00004-TH</v>
      </c>
      <c r="D15" s="85" t="s">
        <v>131</v>
      </c>
      <c r="E15" s="37" t="s">
        <v>98</v>
      </c>
      <c r="F15" s="59" t="s">
        <v>125</v>
      </c>
      <c r="G15" s="61" t="s">
        <v>126</v>
      </c>
      <c r="H15" s="63">
        <v>5000.0</v>
      </c>
      <c r="I15" s="63">
        <v>244.0</v>
      </c>
      <c r="J15" s="63">
        <f>SUMIFS('SỔ CHI TIẾT BÁN HÀNG'!$G$5:$G$2062,'SỔ CHI TIẾT BÁN HÀNG'!$C$5:$C$2062,'Đơn đặt'!F15,'SỔ CHI TIẾT BÁN HÀNG'!$L$5:$L$2062,'Đơn đặt'!C15)</f>
        <v>5244</v>
      </c>
      <c r="K15" s="63">
        <f t="shared" si="3"/>
        <v>0</v>
      </c>
      <c r="L15" s="86">
        <f t="shared" si="5"/>
        <v>0.0488</v>
      </c>
      <c r="M15" s="72">
        <f>IF(E15="Hàng SX",0,SUMIFS('SỔ CHI TIẾT BÁN HÀNG'!$Q$5:$Q$2863,'SỔ CHI TIẾT BÁN HÀNG'!$C$5:$C$2863,'Đơn đặt'!F15,'SỔ CHI TIẾT BÁN HÀNG'!$N$5:$N$2863,'Đơn đặt'!E15))</f>
        <v>0</v>
      </c>
      <c r="N15" s="72">
        <f t="shared" si="4"/>
        <v>0</v>
      </c>
      <c r="O15" s="74"/>
      <c r="P15" s="74" t="s">
        <v>80</v>
      </c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idden="1">
      <c r="A16" s="51" t="s">
        <v>123</v>
      </c>
      <c r="B16" s="53">
        <v>46101.0</v>
      </c>
      <c r="C16" s="57" t="str">
        <f t="shared" si="2"/>
        <v>03/TS/26Hàng SXTP-LG00004-TH</v>
      </c>
      <c r="D16" s="85" t="s">
        <v>135</v>
      </c>
      <c r="E16" s="37" t="s">
        <v>98</v>
      </c>
      <c r="F16" s="59" t="s">
        <v>125</v>
      </c>
      <c r="G16" s="61" t="s">
        <v>126</v>
      </c>
      <c r="H16" s="63">
        <v>5000.0</v>
      </c>
      <c r="I16" s="63">
        <v>244.0</v>
      </c>
      <c r="J16" s="63">
        <f>SUMIFS('SỔ CHI TIẾT BÁN HÀNG'!$G$5:$G$2062,'SỔ CHI TIẾT BÁN HÀNG'!$C$5:$C$2062,'Đơn đặt'!F16,'SỔ CHI TIẾT BÁN HÀNG'!$L$5:$L$2062,'Đơn đặt'!C16)</f>
        <v>5244</v>
      </c>
      <c r="K16" s="63">
        <f t="shared" si="3"/>
        <v>0</v>
      </c>
      <c r="L16" s="86">
        <f t="shared" si="5"/>
        <v>0.0488</v>
      </c>
      <c r="M16" s="72">
        <f>IF(E16="Hàng SX",0,SUMIFS('SỔ CHI TIẾT BÁN HÀNG'!$Q$5:$Q$2863,'SỔ CHI TIẾT BÁN HÀNG'!$C$5:$C$2863,'Đơn đặt'!F16,'SỔ CHI TIẾT BÁN HÀNG'!$N$5:$N$2863,'Đơn đặt'!E16))</f>
        <v>0</v>
      </c>
      <c r="N16" s="72">
        <f t="shared" si="4"/>
        <v>0</v>
      </c>
      <c r="O16" s="74"/>
      <c r="P16" s="74" t="s">
        <v>80</v>
      </c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idden="1">
      <c r="A17" s="51" t="s">
        <v>123</v>
      </c>
      <c r="B17" s="53">
        <v>46129.0</v>
      </c>
      <c r="C17" s="57" t="str">
        <f t="shared" si="2"/>
        <v>04/TS/26Hàng SXTP-LG00004-TH</v>
      </c>
      <c r="D17" s="85" t="s">
        <v>139</v>
      </c>
      <c r="E17" s="37" t="s">
        <v>98</v>
      </c>
      <c r="F17" s="59" t="s">
        <v>125</v>
      </c>
      <c r="G17" s="61" t="s">
        <v>126</v>
      </c>
      <c r="H17" s="63">
        <v>8000.0</v>
      </c>
      <c r="I17" s="63">
        <f>H17*10%</f>
        <v>800</v>
      </c>
      <c r="J17" s="63">
        <f>SUMIFS('SỔ CHI TIẾT BÁN HÀNG'!$G$5:$G$2062,'SỔ CHI TIẾT BÁN HÀNG'!$C$5:$C$2062,'Đơn đặt'!F17,'SỔ CHI TIẾT BÁN HÀNG'!$L$5:$L$2062,'Đơn đặt'!C17)</f>
        <v>7341.6</v>
      </c>
      <c r="K17" s="63">
        <f t="shared" si="3"/>
        <v>1458.4</v>
      </c>
      <c r="L17" s="86">
        <f t="shared" si="5"/>
        <v>0.1</v>
      </c>
      <c r="M17" s="72">
        <f>IF(E17="Hàng SX",0,SUMIFS('SỔ CHI TIẾT BÁN HÀNG'!$Q$5:$Q$2863,'SỔ CHI TIẾT BÁN HÀNG'!$C$5:$C$2863,'Đơn đặt'!F17,'SỔ CHI TIẾT BÁN HÀNG'!$N$5:$N$2863,'Đơn đặt'!E17))</f>
        <v>0</v>
      </c>
      <c r="N17" s="72">
        <f t="shared" si="4"/>
        <v>0</v>
      </c>
      <c r="O17" s="74"/>
      <c r="P17" s="74" t="s">
        <v>80</v>
      </c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idden="1">
      <c r="A18" s="51" t="s">
        <v>144</v>
      </c>
      <c r="B18" s="53">
        <v>46038.0</v>
      </c>
      <c r="C18" s="57" t="str">
        <f t="shared" si="2"/>
        <v>82Hàng SXTP-LG00003-TL</v>
      </c>
      <c r="D18" s="51">
        <v>82.0</v>
      </c>
      <c r="E18" s="37" t="s">
        <v>98</v>
      </c>
      <c r="F18" s="59" t="s">
        <v>145</v>
      </c>
      <c r="G18" s="61" t="s">
        <v>146</v>
      </c>
      <c r="H18" s="63">
        <v>120.0</v>
      </c>
      <c r="I18" s="63"/>
      <c r="J18" s="63">
        <f>SUMIFS('SỔ CHI TIẾT BÁN HÀNG'!$G$5:$G$2062,'SỔ CHI TIẾT BÁN HÀNG'!$C$5:$C$2062,'Đơn đặt'!F18,'SỔ CHI TIẾT BÁN HÀNG'!$L$5:$L$2062,'Đơn đặt'!C18)</f>
        <v>120</v>
      </c>
      <c r="K18" s="63">
        <f t="shared" si="3"/>
        <v>0</v>
      </c>
      <c r="L18" s="63"/>
      <c r="M18" s="72">
        <f>IF(E18="Hàng SX",0,SUMIFS('SỔ CHI TIẾT BÁN HÀNG'!$Q$5:$Q$2863,'SỔ CHI TIẾT BÁN HÀNG'!$C$5:$C$2863,'Đơn đặt'!F18,'SỔ CHI TIẾT BÁN HÀNG'!$N$5:$N$2863,'Đơn đặt'!E18))</f>
        <v>0</v>
      </c>
      <c r="N18" s="72">
        <f t="shared" si="4"/>
        <v>0</v>
      </c>
      <c r="O18" s="74"/>
      <c r="P18" s="74" t="s">
        <v>80</v>
      </c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idden="1">
      <c r="A19" s="51" t="s">
        <v>144</v>
      </c>
      <c r="B19" s="53">
        <v>46038.0</v>
      </c>
      <c r="C19" s="57" t="str">
        <f t="shared" si="2"/>
        <v>82Hàng SXTP-LG00002</v>
      </c>
      <c r="D19" s="51">
        <v>82.0</v>
      </c>
      <c r="E19" s="37" t="s">
        <v>98</v>
      </c>
      <c r="F19" s="59" t="s">
        <v>148</v>
      </c>
      <c r="G19" s="61" t="s">
        <v>149</v>
      </c>
      <c r="H19" s="63">
        <v>1800.0</v>
      </c>
      <c r="I19" s="63"/>
      <c r="J19" s="63">
        <f>SUMIFS('SỔ CHI TIẾT BÁN HÀNG'!$G$5:$G$2062,'SỔ CHI TIẾT BÁN HÀNG'!$C$5:$C$2062,'Đơn đặt'!F19,'SỔ CHI TIẾT BÁN HÀNG'!$L$5:$L$2062,'Đơn đặt'!C19)</f>
        <v>1800</v>
      </c>
      <c r="K19" s="63">
        <f t="shared" si="3"/>
        <v>0</v>
      </c>
      <c r="L19" s="63"/>
      <c r="M19" s="72">
        <f>IF(E19="Hàng SX",0,SUMIFS('SỔ CHI TIẾT BÁN HÀNG'!$Q$5:$Q$2863,'SỔ CHI TIẾT BÁN HÀNG'!$C$5:$C$2863,'Đơn đặt'!F19,'SỔ CHI TIẾT BÁN HÀNG'!$N$5:$N$2863,'Đơn đặt'!E19))</f>
        <v>0</v>
      </c>
      <c r="N19" s="72">
        <f t="shared" si="4"/>
        <v>0</v>
      </c>
      <c r="O19" s="74"/>
      <c r="P19" s="74" t="s">
        <v>80</v>
      </c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idden="1">
      <c r="A20" s="51" t="s">
        <v>144</v>
      </c>
      <c r="B20" s="53">
        <v>46055.0</v>
      </c>
      <c r="C20" s="57" t="str">
        <f t="shared" si="2"/>
        <v>128Hàng SXTP-LG00003-TL</v>
      </c>
      <c r="D20" s="51">
        <v>128.0</v>
      </c>
      <c r="E20" s="37" t="s">
        <v>98</v>
      </c>
      <c r="F20" s="59" t="s">
        <v>145</v>
      </c>
      <c r="G20" s="61" t="s">
        <v>146</v>
      </c>
      <c r="H20" s="63">
        <v>60.0</v>
      </c>
      <c r="I20" s="63"/>
      <c r="J20" s="63">
        <f>SUMIFS('SỔ CHI TIẾT BÁN HÀNG'!$G$5:$G$2062,'SỔ CHI TIẾT BÁN HÀNG'!$C$5:$C$2062,'Đơn đặt'!F20,'SỔ CHI TIẾT BÁN HÀNG'!$L$5:$L$2062,'Đơn đặt'!C20)</f>
        <v>60</v>
      </c>
      <c r="K20" s="63">
        <f t="shared" si="3"/>
        <v>0</v>
      </c>
      <c r="L20" s="63"/>
      <c r="M20" s="72">
        <f>IF(E20="Hàng SX",0,SUMIFS('SỔ CHI TIẾT BÁN HÀNG'!$Q$5:$Q$2863,'SỔ CHI TIẾT BÁN HÀNG'!$C$5:$C$2863,'Đơn đặt'!F20,'SỔ CHI TIẾT BÁN HÀNG'!$N$5:$N$2863,'Đơn đặt'!E20))</f>
        <v>0</v>
      </c>
      <c r="N20" s="72">
        <f t="shared" si="4"/>
        <v>0</v>
      </c>
      <c r="O20" s="74"/>
      <c r="P20" s="74" t="s">
        <v>80</v>
      </c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hidden="1" customHeight="1">
      <c r="A21" s="51" t="s">
        <v>144</v>
      </c>
      <c r="B21" s="53">
        <v>46055.0</v>
      </c>
      <c r="C21" s="57" t="str">
        <f t="shared" si="2"/>
        <v>128Hàng SXTP-LG00002</v>
      </c>
      <c r="D21" s="51">
        <v>128.0</v>
      </c>
      <c r="E21" s="37" t="s">
        <v>98</v>
      </c>
      <c r="F21" s="59" t="s">
        <v>148</v>
      </c>
      <c r="G21" s="61" t="s">
        <v>149</v>
      </c>
      <c r="H21" s="63">
        <f>240+600*2</f>
        <v>1440</v>
      </c>
      <c r="I21" s="63"/>
      <c r="J21" s="63">
        <f>SUMIFS('SỔ CHI TIẾT BÁN HÀNG'!$G$5:$G$2062,'SỔ CHI TIẾT BÁN HÀNG'!$C$5:$C$2062,'Đơn đặt'!F21,'SỔ CHI TIẾT BÁN HÀNG'!$L$5:$L$2062,'Đơn đặt'!C21)</f>
        <v>1440</v>
      </c>
      <c r="K21" s="63">
        <f t="shared" si="3"/>
        <v>0</v>
      </c>
      <c r="L21" s="63"/>
      <c r="M21" s="72">
        <f>IF(E21="Hàng SX",0,SUMIFS('SỔ CHI TIẾT BÁN HÀNG'!$Q$5:$Q$2863,'SỔ CHI TIẾT BÁN HÀNG'!$C$5:$C$2863,'Đơn đặt'!F21,'SỔ CHI TIẾT BÁN HÀNG'!$N$5:$N$2863,'Đơn đặt'!E21))</f>
        <v>0</v>
      </c>
      <c r="N21" s="72">
        <f t="shared" si="4"/>
        <v>0</v>
      </c>
      <c r="O21" s="74"/>
      <c r="P21" s="74" t="s">
        <v>80</v>
      </c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hidden="1" customHeight="1">
      <c r="A22" s="51" t="s">
        <v>144</v>
      </c>
      <c r="B22" s="53">
        <v>46055.0</v>
      </c>
      <c r="C22" s="57" t="str">
        <f t="shared" si="2"/>
        <v>128Hàng SXTP-LG00004-TL</v>
      </c>
      <c r="D22" s="51">
        <v>128.0</v>
      </c>
      <c r="E22" s="37" t="s">
        <v>98</v>
      </c>
      <c r="F22" s="59" t="s">
        <v>155</v>
      </c>
      <c r="G22" s="61" t="s">
        <v>156</v>
      </c>
      <c r="H22" s="63">
        <v>30.0</v>
      </c>
      <c r="I22" s="63"/>
      <c r="J22" s="63">
        <f>SUMIFS('SỔ CHI TIẾT BÁN HÀNG'!$G$5:$G$2062,'SỔ CHI TIẾT BÁN HÀNG'!$C$5:$C$2062,'Đơn đặt'!F22,'SỔ CHI TIẾT BÁN HÀNG'!$L$5:$L$2062,'Đơn đặt'!C22)</f>
        <v>30</v>
      </c>
      <c r="K22" s="63">
        <f t="shared" si="3"/>
        <v>0</v>
      </c>
      <c r="L22" s="63"/>
      <c r="M22" s="72">
        <f>IF(E22="Hàng SX",0,SUMIFS('SỔ CHI TIẾT BÁN HÀNG'!$Q$5:$Q$2863,'SỔ CHI TIẾT BÁN HÀNG'!$C$5:$C$2863,'Đơn đặt'!F22,'SỔ CHI TIẾT BÁN HÀNG'!$N$5:$N$2863,'Đơn đặt'!E22))</f>
        <v>0</v>
      </c>
      <c r="N22" s="72">
        <f t="shared" si="4"/>
        <v>0</v>
      </c>
      <c r="O22" s="74"/>
      <c r="P22" s="74" t="s">
        <v>80</v>
      </c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hidden="1" customHeight="1">
      <c r="A23" s="51" t="s">
        <v>144</v>
      </c>
      <c r="B23" s="53">
        <v>46079.0</v>
      </c>
      <c r="C23" s="57" t="str">
        <f t="shared" si="2"/>
        <v>184Hàng SXTP-LG00003-TL</v>
      </c>
      <c r="D23" s="51">
        <v>184.0</v>
      </c>
      <c r="E23" s="37" t="s">
        <v>98</v>
      </c>
      <c r="F23" s="59" t="s">
        <v>145</v>
      </c>
      <c r="G23" s="61" t="s">
        <v>146</v>
      </c>
      <c r="H23" s="63">
        <v>120.0</v>
      </c>
      <c r="I23" s="63"/>
      <c r="J23" s="63">
        <f>SUMIFS('SỔ CHI TIẾT BÁN HÀNG'!$G$5:$G$2062,'SỔ CHI TIẾT BÁN HÀNG'!$C$5:$C$2062,'Đơn đặt'!F23,'SỔ CHI TIẾT BÁN HÀNG'!$L$5:$L$2062,'Đơn đặt'!C23)</f>
        <v>120</v>
      </c>
      <c r="K23" s="63">
        <f t="shared" si="3"/>
        <v>0</v>
      </c>
      <c r="L23" s="63"/>
      <c r="M23" s="72">
        <f>IF(E23="Hàng SX",0,SUMIFS('SỔ CHI TIẾT BÁN HÀNG'!$Q$5:$Q$2863,'SỔ CHI TIẾT BÁN HÀNG'!$C$5:$C$2863,'Đơn đặt'!F23,'SỔ CHI TIẾT BÁN HÀNG'!$N$5:$N$2863,'Đơn đặt'!E23))</f>
        <v>0</v>
      </c>
      <c r="N23" s="72">
        <f t="shared" si="4"/>
        <v>0</v>
      </c>
      <c r="O23" s="74"/>
      <c r="P23" s="74" t="s">
        <v>80</v>
      </c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hidden="1" customHeight="1">
      <c r="A24" s="51" t="s">
        <v>144</v>
      </c>
      <c r="B24" s="53">
        <v>46093.0</v>
      </c>
      <c r="C24" s="57" t="str">
        <f t="shared" si="2"/>
        <v>239Hàng SXTP-LG00003-TL</v>
      </c>
      <c r="D24" s="51">
        <v>239.0</v>
      </c>
      <c r="E24" s="37" t="s">
        <v>98</v>
      </c>
      <c r="F24" s="59" t="s">
        <v>145</v>
      </c>
      <c r="G24" s="61" t="s">
        <v>146</v>
      </c>
      <c r="H24" s="63">
        <v>180.0</v>
      </c>
      <c r="I24" s="63"/>
      <c r="J24" s="63">
        <f>SUMIFS('SỔ CHI TIẾT BÁN HÀNG'!$G$5:$G$2062,'SỔ CHI TIẾT BÁN HÀNG'!$C$5:$C$2062,'Đơn đặt'!F24,'SỔ CHI TIẾT BÁN HÀNG'!$L$5:$L$2062,'Đơn đặt'!C24)</f>
        <v>180</v>
      </c>
      <c r="K24" s="63">
        <f t="shared" si="3"/>
        <v>0</v>
      </c>
      <c r="L24" s="63"/>
      <c r="M24" s="72">
        <f>IF(E24="Hàng SX",0,SUMIFS('SỔ CHI TIẾT BÁN HÀNG'!$Q$5:$Q$2863,'SỔ CHI TIẾT BÁN HÀNG'!$C$5:$C$2863,'Đơn đặt'!F24,'SỔ CHI TIẾT BÁN HÀNG'!$N$5:$N$2863,'Đơn đặt'!E24))</f>
        <v>0</v>
      </c>
      <c r="N24" s="72">
        <f t="shared" si="4"/>
        <v>0</v>
      </c>
      <c r="O24" s="74"/>
      <c r="P24" s="74" t="s">
        <v>80</v>
      </c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hidden="1" customHeight="1">
      <c r="A25" s="51" t="s">
        <v>144</v>
      </c>
      <c r="B25" s="53">
        <v>46093.0</v>
      </c>
      <c r="C25" s="57" t="str">
        <f t="shared" si="2"/>
        <v>239Hàng SXTP-LG00005</v>
      </c>
      <c r="D25" s="51">
        <v>239.0</v>
      </c>
      <c r="E25" s="37" t="s">
        <v>98</v>
      </c>
      <c r="F25" s="59" t="s">
        <v>166</v>
      </c>
      <c r="G25" s="61" t="s">
        <v>167</v>
      </c>
      <c r="H25" s="63">
        <v>60.0</v>
      </c>
      <c r="I25" s="63"/>
      <c r="J25" s="63">
        <f>SUMIFS('SỔ CHI TIẾT BÁN HÀNG'!$G$5:$G$2062,'SỔ CHI TIẾT BÁN HÀNG'!$C$5:$C$2062,'Đơn đặt'!F25,'SỔ CHI TIẾT BÁN HÀNG'!$L$5:$L$2062,'Đơn đặt'!C25)</f>
        <v>60</v>
      </c>
      <c r="K25" s="63">
        <f t="shared" si="3"/>
        <v>0</v>
      </c>
      <c r="L25" s="63"/>
      <c r="M25" s="72">
        <f>IF(E25="Hàng SX",0,SUMIFS('SỔ CHI TIẾT BÁN HÀNG'!$Q$5:$Q$2863,'SỔ CHI TIẾT BÁN HÀNG'!$C$5:$C$2863,'Đơn đặt'!F25,'SỔ CHI TIẾT BÁN HÀNG'!$N$5:$N$2863,'Đơn đặt'!E25))</f>
        <v>0</v>
      </c>
      <c r="N25" s="72">
        <f t="shared" si="4"/>
        <v>0</v>
      </c>
      <c r="O25" s="74"/>
      <c r="P25" s="74" t="s">
        <v>80</v>
      </c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hidden="1" customHeight="1">
      <c r="A26" s="51" t="s">
        <v>144</v>
      </c>
      <c r="B26" s="53">
        <v>46093.0</v>
      </c>
      <c r="C26" s="57" t="str">
        <f t="shared" si="2"/>
        <v>239Hàng SXTP-LG00002</v>
      </c>
      <c r="D26" s="51">
        <v>239.0</v>
      </c>
      <c r="E26" s="37" t="s">
        <v>98</v>
      </c>
      <c r="F26" s="59" t="s">
        <v>148</v>
      </c>
      <c r="G26" s="61" t="s">
        <v>149</v>
      </c>
      <c r="H26" s="63">
        <v>600.0</v>
      </c>
      <c r="I26" s="63"/>
      <c r="J26" s="63">
        <f>SUMIFS('SỔ CHI TIẾT BÁN HÀNG'!$G$5:$G$2062,'SỔ CHI TIẾT BÁN HÀNG'!$C$5:$C$2062,'Đơn đặt'!F26,'SỔ CHI TIẾT BÁN HÀNG'!$L$5:$L$2062,'Đơn đặt'!C26)</f>
        <v>600</v>
      </c>
      <c r="K26" s="63">
        <f t="shared" si="3"/>
        <v>0</v>
      </c>
      <c r="L26" s="63"/>
      <c r="M26" s="72">
        <f>IF(E26="Hàng SX",0,SUMIFS('SỔ CHI TIẾT BÁN HÀNG'!$Q$5:$Q$2863,'SỔ CHI TIẾT BÁN HÀNG'!$C$5:$C$2863,'Đơn đặt'!F26,'SỔ CHI TIẾT BÁN HÀNG'!$N$5:$N$2863,'Đơn đặt'!E26))</f>
        <v>0</v>
      </c>
      <c r="N26" s="72">
        <f t="shared" si="4"/>
        <v>0</v>
      </c>
      <c r="O26" s="74"/>
      <c r="P26" s="74" t="s">
        <v>80</v>
      </c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hidden="1" customHeight="1">
      <c r="A27" s="51" t="s">
        <v>144</v>
      </c>
      <c r="B27" s="53">
        <v>46108.0</v>
      </c>
      <c r="C27" s="57" t="str">
        <f t="shared" si="2"/>
        <v>294Hàng SXTP-LG00005-TL</v>
      </c>
      <c r="D27" s="51">
        <v>294.0</v>
      </c>
      <c r="E27" s="37" t="s">
        <v>98</v>
      </c>
      <c r="F27" s="59" t="s">
        <v>173</v>
      </c>
      <c r="G27" s="61" t="s">
        <v>174</v>
      </c>
      <c r="H27" s="63">
        <v>22.0</v>
      </c>
      <c r="I27" s="63"/>
      <c r="J27" s="63">
        <f>SUMIFS('SỔ CHI TIẾT BÁN HÀNG'!$G$5:$G$2062,'SỔ CHI TIẾT BÁN HÀNG'!$C$5:$C$2062,'Đơn đặt'!F27,'SỔ CHI TIẾT BÁN HÀNG'!$L$5:$L$2062,'Đơn đặt'!C27)</f>
        <v>22</v>
      </c>
      <c r="K27" s="63">
        <f t="shared" si="3"/>
        <v>0</v>
      </c>
      <c r="L27" s="63"/>
      <c r="M27" s="72">
        <f>IF(E27="Hàng SX",0,SUMIFS('SỔ CHI TIẾT BÁN HÀNG'!$Q$5:$Q$2863,'SỔ CHI TIẾT BÁN HÀNG'!$C$5:$C$2863,'Đơn đặt'!F27,'SỔ CHI TIẾT BÁN HÀNG'!$N$5:$N$2863,'Đơn đặt'!E27))</f>
        <v>0</v>
      </c>
      <c r="N27" s="72">
        <f t="shared" si="4"/>
        <v>0</v>
      </c>
      <c r="O27" s="74"/>
      <c r="P27" s="74" t="s">
        <v>80</v>
      </c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hidden="1" customHeight="1">
      <c r="A28" s="51" t="s">
        <v>144</v>
      </c>
      <c r="B28" s="53">
        <v>46113.0</v>
      </c>
      <c r="C28" s="57" t="str">
        <f t="shared" si="2"/>
        <v>30926/THP/01HH-CT00037</v>
      </c>
      <c r="D28" s="51">
        <v>309.0</v>
      </c>
      <c r="E28" s="88" t="s">
        <v>176</v>
      </c>
      <c r="F28" s="59" t="s">
        <v>178</v>
      </c>
      <c r="G28" s="61" t="s">
        <v>179</v>
      </c>
      <c r="H28" s="63">
        <v>1000.0</v>
      </c>
      <c r="I28" s="63"/>
      <c r="J28" s="63">
        <f>SUMIFS('SỔ CHI TIẾT BÁN HÀNG'!$G$5:$G$2062,'SỔ CHI TIẾT BÁN HÀNG'!$C$5:$C$2062,'Đơn đặt'!F28,'SỔ CHI TIẾT BÁN HÀNG'!$L$5:$L$2062,'Đơn đặt'!C28)</f>
        <v>1000</v>
      </c>
      <c r="K28" s="63">
        <f t="shared" si="3"/>
        <v>0</v>
      </c>
      <c r="L28" s="63"/>
      <c r="M28" s="72">
        <f>IF(E28="Hàng SX",0,SUMIFS('SỔ CHI TIẾT BÁN HÀNG'!$Q$5:$Q$2863,'SỔ CHI TIẾT BÁN HÀNG'!$C$5:$C$2863,'Đơn đặt'!F28,'SỔ CHI TIẾT BÁN HÀNG'!$N$5:$N$2863,'Đơn đặt'!E28))</f>
        <v>1000</v>
      </c>
      <c r="N28" s="72">
        <f t="shared" si="4"/>
        <v>0</v>
      </c>
      <c r="O28" s="74"/>
      <c r="P28" s="74" t="s">
        <v>80</v>
      </c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hidden="1" customHeight="1">
      <c r="A29" s="51" t="s">
        <v>144</v>
      </c>
      <c r="B29" s="53">
        <v>46148.0</v>
      </c>
      <c r="C29" s="57" t="str">
        <f t="shared" si="2"/>
        <v>44426/THP/02HH-CT00037</v>
      </c>
      <c r="D29" s="51">
        <v>444.0</v>
      </c>
      <c r="E29" s="88" t="s">
        <v>182</v>
      </c>
      <c r="F29" s="59" t="s">
        <v>178</v>
      </c>
      <c r="G29" s="61" t="s">
        <v>179</v>
      </c>
      <c r="H29" s="63">
        <v>2000.0</v>
      </c>
      <c r="I29" s="63"/>
      <c r="J29" s="63">
        <f>SUMIFS('SỔ CHI TIẾT BÁN HÀNG'!$G$5:$G$2062,'SỔ CHI TIẾT BÁN HÀNG'!$C$5:$C$2062,'Đơn đặt'!F29,'SỔ CHI TIẾT BÁN HÀNG'!$L$5:$L$2062,'Đơn đặt'!C29)</f>
        <v>1606</v>
      </c>
      <c r="K29" s="63">
        <f t="shared" si="3"/>
        <v>394</v>
      </c>
      <c r="L29" s="63"/>
      <c r="M29" s="72">
        <f>IF(E29="Hàng SX",0,SUMIFS('SỔ CHI TIẾT BÁN HÀNG'!$Q$5:$Q$2863,'SỔ CHI TIẾT BÁN HÀNG'!$C$5:$C$2863,'Đơn đặt'!F29,'SỔ CHI TIẾT BÁN HÀNG'!$N$5:$N$2863,'Đơn đặt'!E29))</f>
        <v>1606</v>
      </c>
      <c r="N29" s="72">
        <f t="shared" si="4"/>
        <v>394</v>
      </c>
      <c r="O29" s="74"/>
      <c r="P29" s="74" t="s">
        <v>80</v>
      </c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hidden="1" customHeight="1">
      <c r="A30" s="51" t="s">
        <v>186</v>
      </c>
      <c r="B30" s="53">
        <v>45965.0</v>
      </c>
      <c r="C30" s="57" t="str">
        <f t="shared" si="2"/>
        <v>11/08/TSC-LTHàng SXTP-LG00008-SG</v>
      </c>
      <c r="D30" s="51" t="s">
        <v>187</v>
      </c>
      <c r="E30" s="37" t="s">
        <v>98</v>
      </c>
      <c r="F30" s="61" t="s">
        <v>110</v>
      </c>
      <c r="G30" s="61" t="s">
        <v>188</v>
      </c>
      <c r="H30" s="63">
        <v>2808.0</v>
      </c>
      <c r="I30" s="63"/>
      <c r="J30" s="63">
        <f>SUMIFS('SỔ CHI TIẾT BÁN HÀNG'!$G$5:$G$2062,'SỔ CHI TIẾT BÁN HÀNG'!$C$5:$C$2062,'Đơn đặt'!F30,'SỔ CHI TIẾT BÁN HÀNG'!$L$5:$L$2062,'Đơn đặt'!C30)</f>
        <v>2808</v>
      </c>
      <c r="K30" s="63">
        <f t="shared" si="3"/>
        <v>0</v>
      </c>
      <c r="L30" s="63"/>
      <c r="M30" s="72">
        <f>IF(E30="Hàng SX",0,SUMIFS('SỔ CHI TIẾT BÁN HÀNG'!$Q$5:$Q$2863,'SỔ CHI TIẾT BÁN HÀNG'!$C$5:$C$2863,'Đơn đặt'!F30,'SỔ CHI TIẾT BÁN HÀNG'!$N$5:$N$2863,'Đơn đặt'!E30))</f>
        <v>0</v>
      </c>
      <c r="N30" s="72">
        <f t="shared" si="4"/>
        <v>0</v>
      </c>
      <c r="O30" s="74"/>
      <c r="P30" s="74" t="s">
        <v>80</v>
      </c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hidden="1" customHeight="1">
      <c r="A31" s="51" t="s">
        <v>186</v>
      </c>
      <c r="B31" s="53">
        <v>45982.0</v>
      </c>
      <c r="C31" s="57" t="str">
        <f t="shared" si="2"/>
        <v>11-10-TS136-2025/TS-AVP/ĐĐHHH-CT00072</v>
      </c>
      <c r="D31" s="51" t="s">
        <v>191</v>
      </c>
      <c r="E31" s="88" t="s">
        <v>192</v>
      </c>
      <c r="F31" s="59" t="s">
        <v>55</v>
      </c>
      <c r="G31" s="61" t="s">
        <v>53</v>
      </c>
      <c r="H31" s="63">
        <v>500.0</v>
      </c>
      <c r="I31" s="63"/>
      <c r="J31" s="63">
        <f>SUMIFS('SỔ CHI TIẾT BÁN HÀNG'!$G$5:$G$2062,'SỔ CHI TIẾT BÁN HÀNG'!$C$5:$C$2062,'Đơn đặt'!F31,'SỔ CHI TIẾT BÁN HÀNG'!$L$5:$L$2062,'Đơn đặt'!C31)</f>
        <v>500</v>
      </c>
      <c r="K31" s="63">
        <f t="shared" si="3"/>
        <v>0</v>
      </c>
      <c r="L31" s="63"/>
      <c r="M31" s="72">
        <f>IF(E31="Hàng SX",0,SUMIFS('SỔ CHI TIẾT BÁN HÀNG'!$Q$5:$Q$2863,'SỔ CHI TIẾT BÁN HÀNG'!$C$5:$C$2863,'Đơn đặt'!F31,'SỔ CHI TIẾT BÁN HÀNG'!$N$5:$N$2863,'Đơn đặt'!E31))</f>
        <v>500</v>
      </c>
      <c r="N31" s="72">
        <f t="shared" si="4"/>
        <v>0</v>
      </c>
      <c r="O31" s="74"/>
      <c r="P31" s="74" t="s">
        <v>80</v>
      </c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hidden="1" customHeight="1">
      <c r="A32" s="51" t="s">
        <v>186</v>
      </c>
      <c r="B32" s="53">
        <v>45982.0</v>
      </c>
      <c r="C32" s="57" t="str">
        <f t="shared" si="2"/>
        <v>11-10-TS137-2025/TS-AVP/ĐĐHHH-CT00007</v>
      </c>
      <c r="D32" s="51" t="s">
        <v>191</v>
      </c>
      <c r="E32" s="37" t="s">
        <v>194</v>
      </c>
      <c r="F32" s="74" t="s">
        <v>48</v>
      </c>
      <c r="G32" s="37" t="s">
        <v>47</v>
      </c>
      <c r="H32" s="63">
        <v>46800.0</v>
      </c>
      <c r="I32" s="63"/>
      <c r="J32" s="63">
        <f>SUMIFS('SỔ CHI TIẾT BÁN HÀNG'!$G$5:$G$2062,'SỔ CHI TIẾT BÁN HÀNG'!$C$5:$C$2062,'Đơn đặt'!F32,'SỔ CHI TIẾT BÁN HÀNG'!$L$5:$L$2062,'Đơn đặt'!C32)</f>
        <v>46800</v>
      </c>
      <c r="K32" s="63">
        <f t="shared" si="3"/>
        <v>0</v>
      </c>
      <c r="L32" s="63"/>
      <c r="M32" s="72">
        <f>IF(E32="Hàng SX",0,SUMIFS('SỔ CHI TIẾT BÁN HÀNG'!$Q$5:$Q$2863,'SỔ CHI TIẾT BÁN HÀNG'!$C$5:$C$2863,'Đơn đặt'!F32,'SỔ CHI TIẾT BÁN HÀNG'!$N$5:$N$2863,'Đơn đặt'!E32))</f>
        <v>46800</v>
      </c>
      <c r="N32" s="72">
        <f t="shared" si="4"/>
        <v>0</v>
      </c>
      <c r="O32" s="74"/>
      <c r="P32" s="74" t="s">
        <v>80</v>
      </c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hidden="1" customHeight="1">
      <c r="A33" s="51" t="s">
        <v>186</v>
      </c>
      <c r="B33" s="53">
        <v>45982.0</v>
      </c>
      <c r="C33" s="57" t="str">
        <f t="shared" si="2"/>
        <v>11-10-TS137-2025/TS-AVP/ĐĐHHH-CT00008</v>
      </c>
      <c r="D33" s="51" t="s">
        <v>191</v>
      </c>
      <c r="E33" s="37" t="s">
        <v>194</v>
      </c>
      <c r="F33" s="74" t="s">
        <v>50</v>
      </c>
      <c r="G33" s="37" t="s">
        <v>49</v>
      </c>
      <c r="H33" s="63">
        <v>9000.0</v>
      </c>
      <c r="I33" s="63"/>
      <c r="J33" s="63">
        <f>SUMIFS('SỔ CHI TIẾT BÁN HÀNG'!$G$5:$G$2062,'SỔ CHI TIẾT BÁN HÀNG'!$C$5:$C$2062,'Đơn đặt'!F33,'SỔ CHI TIẾT BÁN HÀNG'!$L$5:$L$2062,'Đơn đặt'!C33)</f>
        <v>9000</v>
      </c>
      <c r="K33" s="63">
        <f t="shared" si="3"/>
        <v>0</v>
      </c>
      <c r="L33" s="63"/>
      <c r="M33" s="72">
        <f>IF(E33="Hàng SX",0,SUMIFS('SỔ CHI TIẾT BÁN HÀNG'!$Q$5:$Q$2863,'SỔ CHI TIẾT BÁN HÀNG'!$C$5:$C$2863,'Đơn đặt'!F33,'SỔ CHI TIẾT BÁN HÀNG'!$N$5:$N$2863,'Đơn đặt'!E33))</f>
        <v>9000</v>
      </c>
      <c r="N33" s="72">
        <f t="shared" si="4"/>
        <v>0</v>
      </c>
      <c r="O33" s="74"/>
      <c r="P33" s="74" t="s">
        <v>80</v>
      </c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hidden="1" customHeight="1">
      <c r="A34" s="51" t="s">
        <v>186</v>
      </c>
      <c r="B34" s="53">
        <v>46001.0</v>
      </c>
      <c r="C34" s="57" t="str">
        <f t="shared" si="2"/>
        <v>12-01-TS146-2025/TS-AVP/ĐĐHHH-CT00072</v>
      </c>
      <c r="D34" s="53" t="s">
        <v>200</v>
      </c>
      <c r="E34" s="88" t="s">
        <v>201</v>
      </c>
      <c r="F34" s="59" t="s">
        <v>55</v>
      </c>
      <c r="G34" s="61" t="s">
        <v>53</v>
      </c>
      <c r="H34" s="63">
        <v>12000.0</v>
      </c>
      <c r="I34" s="63"/>
      <c r="J34" s="63">
        <f>SUMIFS('SỔ CHI TIẾT BÁN HÀNG'!$G$5:$G$2062,'SỔ CHI TIẾT BÁN HÀNG'!$C$5:$C$2062,'Đơn đặt'!F34,'SỔ CHI TIẾT BÁN HÀNG'!$L$5:$L$2062,'Đơn đặt'!C34)</f>
        <v>12000</v>
      </c>
      <c r="K34" s="63">
        <f t="shared" si="3"/>
        <v>0</v>
      </c>
      <c r="L34" s="63"/>
      <c r="M34" s="72">
        <f>IF(E34="Hàng SX",0,SUMIFS('SỔ CHI TIẾT BÁN HÀNG'!$Q$5:$Q$2863,'SỔ CHI TIẾT BÁN HÀNG'!$C$5:$C$2863,'Đơn đặt'!F34,'SỔ CHI TIẾT BÁN HÀNG'!$N$5:$N$2863,'Đơn đặt'!E34))</f>
        <v>12000</v>
      </c>
      <c r="N34" s="72">
        <f t="shared" si="4"/>
        <v>0</v>
      </c>
      <c r="O34" s="74"/>
      <c r="P34" s="74" t="s">
        <v>80</v>
      </c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hidden="1" customHeight="1">
      <c r="A35" s="51" t="s">
        <v>186</v>
      </c>
      <c r="B35" s="53">
        <v>46014.0</v>
      </c>
      <c r="C35" s="57" t="str">
        <f t="shared" si="2"/>
        <v>12-09-TS149-2025/TS-AVP/ĐĐHHH-CT00064</v>
      </c>
      <c r="D35" s="51" t="s">
        <v>203</v>
      </c>
      <c r="E35" s="88" t="s">
        <v>204</v>
      </c>
      <c r="F35" s="59" t="s">
        <v>77</v>
      </c>
      <c r="G35" s="61" t="s">
        <v>78</v>
      </c>
      <c r="H35" s="63">
        <v>8000.0</v>
      </c>
      <c r="I35" s="63"/>
      <c r="J35" s="63">
        <f>SUMIFS('SỔ CHI TIẾT BÁN HÀNG'!$G$5:$G$2062,'SỔ CHI TIẾT BÁN HÀNG'!$C$5:$C$2062,'Đơn đặt'!F35,'SỔ CHI TIẾT BÁN HÀNG'!$L$5:$L$2062,'Đơn đặt'!C35)</f>
        <v>8000</v>
      </c>
      <c r="K35" s="63">
        <f t="shared" si="3"/>
        <v>0</v>
      </c>
      <c r="L35" s="63"/>
      <c r="M35" s="72">
        <f>IF(E35="Hàng SX",0,SUMIFS('SỔ CHI TIẾT BÁN HÀNG'!$Q$5:$Q$2863,'SỔ CHI TIẾT BÁN HÀNG'!$C$5:$C$2863,'Đơn đặt'!F35,'SỔ CHI TIẾT BÁN HÀNG'!$N$5:$N$2863,'Đơn đặt'!E35))</f>
        <v>8000</v>
      </c>
      <c r="N35" s="72">
        <f t="shared" si="4"/>
        <v>0</v>
      </c>
      <c r="O35" s="74"/>
      <c r="P35" s="74" t="s">
        <v>80</v>
      </c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hidden="1" customHeight="1">
      <c r="A36" s="51" t="s">
        <v>186</v>
      </c>
      <c r="B36" s="53">
        <v>46016.0</v>
      </c>
      <c r="C36" s="57" t="str">
        <f t="shared" si="2"/>
        <v>12-38/TS-LP150-2025/TS-AVP/ĐĐHTP-PE00004</v>
      </c>
      <c r="D36" s="51" t="s">
        <v>209</v>
      </c>
      <c r="E36" s="88" t="s">
        <v>210</v>
      </c>
      <c r="F36" s="59" t="s">
        <v>140</v>
      </c>
      <c r="G36" s="37" t="s">
        <v>211</v>
      </c>
      <c r="H36" s="63">
        <v>4000.0</v>
      </c>
      <c r="I36" s="63"/>
      <c r="J36" s="63">
        <f>SUMIFS('SỔ CHI TIẾT BÁN HÀNG'!$G$5:$G$2062,'SỔ CHI TIẾT BÁN HÀNG'!$C$5:$C$2062,'Đơn đặt'!F36,'SỔ CHI TIẾT BÁN HÀNG'!$L$5:$L$2062,'Đơn đặt'!C36)</f>
        <v>4000</v>
      </c>
      <c r="K36" s="63">
        <f t="shared" si="3"/>
        <v>0</v>
      </c>
      <c r="L36" s="63"/>
      <c r="M36" s="72">
        <f>IF(E36="Hàng SX",0,SUMIFS('SỔ CHI TIẾT BÁN HÀNG'!$Q$5:$Q$2863,'SỔ CHI TIẾT BÁN HÀNG'!$C$5:$C$2863,'Đơn đặt'!F36,'SỔ CHI TIẾT BÁN HÀNG'!$N$5:$N$2863,'Đơn đặt'!E36))</f>
        <v>4000</v>
      </c>
      <c r="N36" s="72">
        <f t="shared" si="4"/>
        <v>0</v>
      </c>
      <c r="O36" s="74"/>
      <c r="P36" s="74" t="s">
        <v>80</v>
      </c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hidden="1" customHeight="1">
      <c r="A37" s="51" t="s">
        <v>186</v>
      </c>
      <c r="B37" s="53">
        <v>46016.0</v>
      </c>
      <c r="C37" s="57" t="str">
        <f t="shared" si="2"/>
        <v>12-38/TS-LP150-2025/TS-AVP/ĐĐHTP-PE00006</v>
      </c>
      <c r="D37" s="51" t="s">
        <v>209</v>
      </c>
      <c r="E37" s="88" t="s">
        <v>210</v>
      </c>
      <c r="F37" s="59" t="s">
        <v>1</v>
      </c>
      <c r="G37" s="37" t="s">
        <v>214</v>
      </c>
      <c r="H37" s="63">
        <v>1000.0</v>
      </c>
      <c r="I37" s="63"/>
      <c r="J37" s="63">
        <f>SUMIFS('SỔ CHI TIẾT BÁN HÀNG'!$G$5:$G$2062,'SỔ CHI TIẾT BÁN HÀNG'!$C$5:$C$2062,'Đơn đặt'!F37,'SỔ CHI TIẾT BÁN HÀNG'!$L$5:$L$2062,'Đơn đặt'!C37)</f>
        <v>1000</v>
      </c>
      <c r="K37" s="63">
        <f t="shared" si="3"/>
        <v>0</v>
      </c>
      <c r="L37" s="63"/>
      <c r="M37" s="72">
        <f>IF(E37="Hàng SX",0,SUMIFS('SỔ CHI TIẾT BÁN HÀNG'!$Q$5:$Q$2863,'SỔ CHI TIẾT BÁN HÀNG'!$C$5:$C$2863,'Đơn đặt'!F37,'SỔ CHI TIẾT BÁN HÀNG'!$N$5:$N$2863,'Đơn đặt'!E37))</f>
        <v>1000</v>
      </c>
      <c r="N37" s="72">
        <f t="shared" si="4"/>
        <v>0</v>
      </c>
      <c r="O37" s="74"/>
      <c r="P37" s="74" t="s">
        <v>80</v>
      </c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hidden="1" customHeight="1">
      <c r="A38" s="51" t="s">
        <v>186</v>
      </c>
      <c r="B38" s="53">
        <v>46016.0</v>
      </c>
      <c r="C38" s="57" t="str">
        <f t="shared" si="2"/>
        <v>12-38/TS-LP150-2025/TS-AVP/ĐĐHTP-PE00001</v>
      </c>
      <c r="D38" s="51" t="s">
        <v>209</v>
      </c>
      <c r="E38" s="88" t="s">
        <v>210</v>
      </c>
      <c r="F38" s="59" t="s">
        <v>3</v>
      </c>
      <c r="G38" s="37" t="s">
        <v>215</v>
      </c>
      <c r="H38" s="63">
        <v>14000.0</v>
      </c>
      <c r="I38" s="63"/>
      <c r="J38" s="63">
        <f>SUMIFS('SỔ CHI TIẾT BÁN HÀNG'!$G$5:$G$2062,'SỔ CHI TIẾT BÁN HÀNG'!$C$5:$C$2062,'Đơn đặt'!F38,'SỔ CHI TIẾT BÁN HÀNG'!$L$5:$L$2062,'Đơn đặt'!C38)</f>
        <v>14000</v>
      </c>
      <c r="K38" s="63">
        <f t="shared" si="3"/>
        <v>0</v>
      </c>
      <c r="L38" s="63"/>
      <c r="M38" s="72">
        <f>IF(E38="Hàng SX",0,SUMIFS('SỔ CHI TIẾT BÁN HÀNG'!$Q$5:$Q$2863,'SỔ CHI TIẾT BÁN HÀNG'!$C$5:$C$2863,'Đơn đặt'!F38,'SỔ CHI TIẾT BÁN HÀNG'!$N$5:$N$2863,'Đơn đặt'!E38))</f>
        <v>14000</v>
      </c>
      <c r="N38" s="72">
        <f t="shared" si="4"/>
        <v>0</v>
      </c>
      <c r="O38" s="74"/>
      <c r="P38" s="74" t="s">
        <v>80</v>
      </c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hidden="1" customHeight="1">
      <c r="A39" s="51" t="s">
        <v>186</v>
      </c>
      <c r="B39" s="53">
        <v>45965.0</v>
      </c>
      <c r="C39" s="57" t="str">
        <f t="shared" si="2"/>
        <v>11-04-TS01-2026/TS-AVP/ĐĐHHH-CT00025</v>
      </c>
      <c r="D39" s="51" t="s">
        <v>217</v>
      </c>
      <c r="E39" s="88" t="s">
        <v>218</v>
      </c>
      <c r="F39" s="74" t="s">
        <v>119</v>
      </c>
      <c r="G39" s="37" t="s">
        <v>120</v>
      </c>
      <c r="H39" s="63">
        <v>11490.0</v>
      </c>
      <c r="I39" s="63"/>
      <c r="J39" s="63">
        <f>SUMIFS('SỔ CHI TIẾT BÁN HÀNG'!$G$5:$G$2062,'SỔ CHI TIẾT BÁN HÀNG'!$C$5:$C$2062,'Đơn đặt'!F39,'SỔ CHI TIẾT BÁN HÀNG'!$L$5:$L$2062,'Đơn đặt'!C39)</f>
        <v>11490</v>
      </c>
      <c r="K39" s="63">
        <f t="shared" si="3"/>
        <v>0</v>
      </c>
      <c r="L39" s="63"/>
      <c r="M39" s="72">
        <f>IF(E39="Hàng SX",0,SUMIFS('SỔ CHI TIẾT BÁN HÀNG'!$Q$5:$Q$2863,'SỔ CHI TIẾT BÁN HÀNG'!$C$5:$C$2863,'Đơn đặt'!F39,'SỔ CHI TIẾT BÁN HÀNG'!$N$5:$N$2863,'Đơn đặt'!E39))</f>
        <v>11490</v>
      </c>
      <c r="N39" s="72">
        <f t="shared" si="4"/>
        <v>0</v>
      </c>
      <c r="O39" s="74"/>
      <c r="P39" s="74" t="s">
        <v>80</v>
      </c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hidden="1" customHeight="1">
      <c r="A40" s="51" t="s">
        <v>186</v>
      </c>
      <c r="B40" s="53">
        <v>45965.0</v>
      </c>
      <c r="C40" s="57" t="str">
        <f t="shared" si="2"/>
        <v>11-04-TS01-2026/TS-AVP/ĐĐHHH-CT00031</v>
      </c>
      <c r="D40" s="51" t="s">
        <v>217</v>
      </c>
      <c r="E40" s="88" t="s">
        <v>218</v>
      </c>
      <c r="F40" s="74" t="s">
        <v>206</v>
      </c>
      <c r="G40" s="37" t="s">
        <v>207</v>
      </c>
      <c r="H40" s="63">
        <v>11430.0</v>
      </c>
      <c r="I40" s="63"/>
      <c r="J40" s="63">
        <f>SUMIFS('SỔ CHI TIẾT BÁN HÀNG'!$G$5:$G$2062,'SỔ CHI TIẾT BÁN HÀNG'!$C$5:$C$2062,'Đơn đặt'!F40,'SỔ CHI TIẾT BÁN HÀNG'!$L$5:$L$2062,'Đơn đặt'!C40)</f>
        <v>11430</v>
      </c>
      <c r="K40" s="63">
        <f t="shared" si="3"/>
        <v>0</v>
      </c>
      <c r="L40" s="63"/>
      <c r="M40" s="72">
        <f>IF(E40="Hàng SX",0,SUMIFS('SỔ CHI TIẾT BÁN HÀNG'!$Q$5:$Q$2863,'SỔ CHI TIẾT BÁN HÀNG'!$C$5:$C$2863,'Đơn đặt'!F40,'SỔ CHI TIẾT BÁN HÀNG'!$N$5:$N$2863,'Đơn đặt'!E40))</f>
        <v>11430</v>
      </c>
      <c r="N40" s="72">
        <f t="shared" si="4"/>
        <v>0</v>
      </c>
      <c r="O40" s="74"/>
      <c r="P40" s="74" t="s">
        <v>80</v>
      </c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hidden="1" customHeight="1">
      <c r="A41" s="51" t="s">
        <v>186</v>
      </c>
      <c r="B41" s="53">
        <v>45965.0</v>
      </c>
      <c r="C41" s="57" t="str">
        <f t="shared" si="2"/>
        <v>11-04-TS01-2026/TS-AVP/ĐĐHHH-CT00054</v>
      </c>
      <c r="D41" s="51" t="s">
        <v>217</v>
      </c>
      <c r="E41" s="37" t="s">
        <v>218</v>
      </c>
      <c r="F41" s="74" t="s">
        <v>222</v>
      </c>
      <c r="G41" s="37" t="s">
        <v>223</v>
      </c>
      <c r="H41" s="63">
        <v>4270.0</v>
      </c>
      <c r="I41" s="63"/>
      <c r="J41" s="63">
        <f>SUMIFS('SỔ CHI TIẾT BÁN HÀNG'!$G$5:$G$2062,'SỔ CHI TIẾT BÁN HÀNG'!$C$5:$C$2062,'Đơn đặt'!F41,'SỔ CHI TIẾT BÁN HÀNG'!$L$5:$L$2062,'Đơn đặt'!C41)</f>
        <v>4270</v>
      </c>
      <c r="K41" s="63">
        <f t="shared" si="3"/>
        <v>0</v>
      </c>
      <c r="L41" s="63"/>
      <c r="M41" s="72">
        <f>IF(E41="Hàng SX",0,SUMIFS('SỔ CHI TIẾT BÁN HÀNG'!$Q$5:$Q$2863,'SỔ CHI TIẾT BÁN HÀNG'!$C$5:$C$2863,'Đơn đặt'!F41,'SỔ CHI TIẾT BÁN HÀNG'!$N$5:$N$2863,'Đơn đặt'!E41))</f>
        <v>4270</v>
      </c>
      <c r="N41" s="72">
        <f t="shared" si="4"/>
        <v>0</v>
      </c>
      <c r="O41" s="74"/>
      <c r="P41" s="74" t="s">
        <v>80</v>
      </c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hidden="1" customHeight="1">
      <c r="A42" s="51" t="s">
        <v>186</v>
      </c>
      <c r="B42" s="53">
        <v>45982.0</v>
      </c>
      <c r="C42" s="57" t="str">
        <f t="shared" si="2"/>
        <v>11-10-TS02-2026/TS-AVP/ĐĐHHH-CT00131</v>
      </c>
      <c r="D42" s="51" t="s">
        <v>191</v>
      </c>
      <c r="E42" s="37" t="s">
        <v>225</v>
      </c>
      <c r="F42" s="74" t="s">
        <v>59</v>
      </c>
      <c r="G42" s="37" t="s">
        <v>58</v>
      </c>
      <c r="H42" s="63">
        <v>25610.0</v>
      </c>
      <c r="I42" s="63"/>
      <c r="J42" s="63">
        <f>SUMIFS('SỔ CHI TIẾT BÁN HÀNG'!$G$5:$G$2062,'SỔ CHI TIẾT BÁN HÀNG'!$C$5:$C$2062,'Đơn đặt'!F42,'SỔ CHI TIẾT BÁN HÀNG'!$L$5:$L$2062,'Đơn đặt'!C42)</f>
        <v>25610</v>
      </c>
      <c r="K42" s="63">
        <f t="shared" si="3"/>
        <v>0</v>
      </c>
      <c r="L42" s="63"/>
      <c r="M42" s="72">
        <f>IF(E42="Hàng SX",0,SUMIFS('SỔ CHI TIẾT BÁN HÀNG'!$Q$5:$Q$2863,'SỔ CHI TIẾT BÁN HÀNG'!$C$5:$C$2863,'Đơn đặt'!F42,'SỔ CHI TIẾT BÁN HÀNG'!$N$5:$N$2863,'Đơn đặt'!E42))</f>
        <v>25610</v>
      </c>
      <c r="N42" s="72">
        <f t="shared" si="4"/>
        <v>0</v>
      </c>
      <c r="O42" s="74"/>
      <c r="P42" s="74" t="s">
        <v>80</v>
      </c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hidden="1" customHeight="1">
      <c r="A43" s="51" t="s">
        <v>186</v>
      </c>
      <c r="B43" s="53">
        <v>45982.0</v>
      </c>
      <c r="C43" s="57" t="str">
        <f t="shared" si="2"/>
        <v>11-10-TS02-2026/TS-AVP/ĐĐHHH-CT00036</v>
      </c>
      <c r="D43" s="51" t="s">
        <v>191</v>
      </c>
      <c r="E43" s="37" t="s">
        <v>225</v>
      </c>
      <c r="F43" s="74" t="s">
        <v>14</v>
      </c>
      <c r="G43" s="37" t="s">
        <v>13</v>
      </c>
      <c r="H43" s="63">
        <v>11830.0</v>
      </c>
      <c r="I43" s="63"/>
      <c r="J43" s="63">
        <f>SUMIFS('SỔ CHI TIẾT BÁN HÀNG'!$G$5:$G$2062,'SỔ CHI TIẾT BÁN HÀNG'!$C$5:$C$2062,'Đơn đặt'!F43,'SỔ CHI TIẾT BÁN HÀNG'!$L$5:$L$2062,'Đơn đặt'!C43)</f>
        <v>11830</v>
      </c>
      <c r="K43" s="63">
        <f t="shared" si="3"/>
        <v>0</v>
      </c>
      <c r="L43" s="63"/>
      <c r="M43" s="72">
        <f>IF(E43="Hàng SX",0,SUMIFS('SỔ CHI TIẾT BÁN HÀNG'!$Q$5:$Q$2863,'SỔ CHI TIẾT BÁN HÀNG'!$C$5:$C$2863,'Đơn đặt'!F43,'SỔ CHI TIẾT BÁN HÀNG'!$N$5:$N$2863,'Đơn đặt'!E43))</f>
        <v>11830</v>
      </c>
      <c r="N43" s="72">
        <f t="shared" si="4"/>
        <v>0</v>
      </c>
      <c r="O43" s="74"/>
      <c r="P43" s="74" t="s">
        <v>80</v>
      </c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hidden="1" customHeight="1">
      <c r="A44" s="51" t="s">
        <v>186</v>
      </c>
      <c r="B44" s="53">
        <v>45982.0</v>
      </c>
      <c r="C44" s="57" t="str">
        <f t="shared" si="2"/>
        <v>11-10-TS02-2026/TS-AVP/ĐĐHHH-CT00005</v>
      </c>
      <c r="D44" s="51" t="s">
        <v>191</v>
      </c>
      <c r="E44" s="37" t="s">
        <v>225</v>
      </c>
      <c r="F44" s="74" t="s">
        <v>38</v>
      </c>
      <c r="G44" s="37" t="s">
        <v>36</v>
      </c>
      <c r="H44" s="63">
        <v>4000.0</v>
      </c>
      <c r="I44" s="63"/>
      <c r="J44" s="63">
        <f>SUMIFS('SỔ CHI TIẾT BÁN HÀNG'!$G$5:$G$2062,'SỔ CHI TIẾT BÁN HÀNG'!$C$5:$C$2062,'Đơn đặt'!F44,'SỔ CHI TIẾT BÁN HÀNG'!$L$5:$L$2062,'Đơn đặt'!C44)</f>
        <v>4000</v>
      </c>
      <c r="K44" s="63">
        <f t="shared" si="3"/>
        <v>0</v>
      </c>
      <c r="L44" s="63"/>
      <c r="M44" s="72">
        <f>IF(E44="Hàng SX",0,SUMIFS('SỔ CHI TIẾT BÁN HÀNG'!$Q$5:$Q$2863,'SỔ CHI TIẾT BÁN HÀNG'!$C$5:$C$2863,'Đơn đặt'!F44,'SỔ CHI TIẾT BÁN HÀNG'!$N$5:$N$2863,'Đơn đặt'!E44))</f>
        <v>4000</v>
      </c>
      <c r="N44" s="72">
        <f t="shared" si="4"/>
        <v>0</v>
      </c>
      <c r="O44" s="74"/>
      <c r="P44" s="74" t="s">
        <v>80</v>
      </c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hidden="1" customHeight="1">
      <c r="A45" s="51" t="s">
        <v>186</v>
      </c>
      <c r="B45" s="53">
        <v>46001.0</v>
      </c>
      <c r="C45" s="57" t="str">
        <f t="shared" si="2"/>
        <v>12-01-TS03-2026/TS-AVP/ĐĐHHH-CT00006</v>
      </c>
      <c r="D45" s="51" t="s">
        <v>200</v>
      </c>
      <c r="E45" s="37" t="s">
        <v>231</v>
      </c>
      <c r="F45" s="74" t="s">
        <v>35</v>
      </c>
      <c r="G45" s="37" t="s">
        <v>34</v>
      </c>
      <c r="H45" s="63">
        <v>4030.0</v>
      </c>
      <c r="I45" s="63"/>
      <c r="J45" s="63">
        <f>SUMIFS('SỔ CHI TIẾT BÁN HÀNG'!$G$5:$G$2062,'SỔ CHI TIẾT BÁN HÀNG'!$C$5:$C$2062,'Đơn đặt'!F45,'SỔ CHI TIẾT BÁN HÀNG'!$L$5:$L$2062,'Đơn đặt'!C45)</f>
        <v>4030</v>
      </c>
      <c r="K45" s="63">
        <f t="shared" si="3"/>
        <v>0</v>
      </c>
      <c r="L45" s="63"/>
      <c r="M45" s="72">
        <f>IF(E45="Hàng SX",0,SUMIFS('SỔ CHI TIẾT BÁN HÀNG'!$Q$5:$Q$2863,'SỔ CHI TIẾT BÁN HÀNG'!$C$5:$C$2863,'Đơn đặt'!F45,'SỔ CHI TIẾT BÁN HÀNG'!$N$5:$N$2863,'Đơn đặt'!E45))</f>
        <v>4030</v>
      </c>
      <c r="N45" s="72">
        <f t="shared" si="4"/>
        <v>0</v>
      </c>
      <c r="O45" s="74"/>
      <c r="P45" s="74" t="s">
        <v>80</v>
      </c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hidden="1" customHeight="1">
      <c r="A46" s="51" t="s">
        <v>186</v>
      </c>
      <c r="B46" s="53">
        <v>46001.0</v>
      </c>
      <c r="C46" s="57" t="str">
        <f t="shared" si="2"/>
        <v>12-01-TS03-2026/TS-AVP/ĐĐHHH-CT00131</v>
      </c>
      <c r="D46" s="51" t="s">
        <v>200</v>
      </c>
      <c r="E46" s="37" t="s">
        <v>231</v>
      </c>
      <c r="F46" s="74" t="s">
        <v>59</v>
      </c>
      <c r="G46" s="37" t="s">
        <v>58</v>
      </c>
      <c r="H46" s="63">
        <v>33000.0</v>
      </c>
      <c r="I46" s="63"/>
      <c r="J46" s="63">
        <f>SUMIFS('SỔ CHI TIẾT BÁN HÀNG'!$G$5:$G$2062,'SỔ CHI TIẾT BÁN HÀNG'!$C$5:$C$2062,'Đơn đặt'!F46,'SỔ CHI TIẾT BÁN HÀNG'!$L$5:$L$2062,'Đơn đặt'!C46)</f>
        <v>33000</v>
      </c>
      <c r="K46" s="63">
        <f t="shared" si="3"/>
        <v>0</v>
      </c>
      <c r="L46" s="63"/>
      <c r="M46" s="72">
        <f>IF(E46="Hàng SX",0,SUMIFS('SỔ CHI TIẾT BÁN HÀNG'!$Q$5:$Q$2863,'SỔ CHI TIẾT BÁN HÀNG'!$C$5:$C$2863,'Đơn đặt'!F46,'SỔ CHI TIẾT BÁN HÀNG'!$N$5:$N$2863,'Đơn đặt'!E46))</f>
        <v>33000</v>
      </c>
      <c r="N46" s="72">
        <f t="shared" si="4"/>
        <v>0</v>
      </c>
      <c r="O46" s="74"/>
      <c r="P46" s="74" t="s">
        <v>80</v>
      </c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hidden="1" customHeight="1">
      <c r="A47" s="51" t="s">
        <v>186</v>
      </c>
      <c r="B47" s="53">
        <v>46001.0</v>
      </c>
      <c r="C47" s="57" t="str">
        <f t="shared" si="2"/>
        <v>12-01-TS03-2026/TS-AVP/ĐĐHHH-CT00036</v>
      </c>
      <c r="D47" s="51" t="s">
        <v>200</v>
      </c>
      <c r="E47" s="37" t="s">
        <v>231</v>
      </c>
      <c r="F47" s="74" t="s">
        <v>14</v>
      </c>
      <c r="G47" s="37" t="s">
        <v>13</v>
      </c>
      <c r="H47" s="63">
        <v>17000.0</v>
      </c>
      <c r="I47" s="63"/>
      <c r="J47" s="63">
        <f>SUMIFS('SỔ CHI TIẾT BÁN HÀNG'!$G$5:$G$2062,'SỔ CHI TIẾT BÁN HÀNG'!$C$5:$C$2062,'Đơn đặt'!F47,'SỔ CHI TIẾT BÁN HÀNG'!$L$5:$L$2062,'Đơn đặt'!C47)</f>
        <v>17000</v>
      </c>
      <c r="K47" s="63">
        <f t="shared" si="3"/>
        <v>0</v>
      </c>
      <c r="L47" s="63"/>
      <c r="M47" s="72">
        <f>IF(E47="Hàng SX",0,SUMIFS('SỔ CHI TIẾT BÁN HÀNG'!$Q$5:$Q$2863,'SỔ CHI TIẾT BÁN HÀNG'!$C$5:$C$2863,'Đơn đặt'!F47,'SỔ CHI TIẾT BÁN HÀNG'!$N$5:$N$2863,'Đơn đặt'!E47))</f>
        <v>17000</v>
      </c>
      <c r="N47" s="72">
        <f t="shared" si="4"/>
        <v>0</v>
      </c>
      <c r="O47" s="74"/>
      <c r="P47" s="74" t="s">
        <v>80</v>
      </c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hidden="1" customHeight="1">
      <c r="A48" s="51" t="s">
        <v>186</v>
      </c>
      <c r="B48" s="53">
        <v>46001.0</v>
      </c>
      <c r="C48" s="57" t="str">
        <f t="shared" si="2"/>
        <v>12-01-TS03-2026/TS-AVP/ĐĐHHH-CT00005</v>
      </c>
      <c r="D48" s="51" t="s">
        <v>200</v>
      </c>
      <c r="E48" s="37" t="s">
        <v>231</v>
      </c>
      <c r="F48" s="74" t="s">
        <v>38</v>
      </c>
      <c r="G48" s="37" t="s">
        <v>36</v>
      </c>
      <c r="H48" s="63">
        <v>8000.0</v>
      </c>
      <c r="I48" s="63"/>
      <c r="J48" s="63">
        <f>SUMIFS('SỔ CHI TIẾT BÁN HÀNG'!$G$5:$G$2062,'SỔ CHI TIẾT BÁN HÀNG'!$C$5:$C$2062,'Đơn đặt'!F48,'SỔ CHI TIẾT BÁN HÀNG'!$L$5:$L$2062,'Đơn đặt'!C48)</f>
        <v>8000</v>
      </c>
      <c r="K48" s="63">
        <f t="shared" si="3"/>
        <v>0</v>
      </c>
      <c r="L48" s="63"/>
      <c r="M48" s="72">
        <f>IF(E48="Hàng SX",0,SUMIFS('SỔ CHI TIẾT BÁN HÀNG'!$Q$5:$Q$2863,'SỔ CHI TIẾT BÁN HÀNG'!$C$5:$C$2863,'Đơn đặt'!F48,'SỔ CHI TIẾT BÁN HÀNG'!$N$5:$N$2863,'Đơn đặt'!E48))</f>
        <v>8000</v>
      </c>
      <c r="N48" s="72">
        <f t="shared" si="4"/>
        <v>0</v>
      </c>
      <c r="O48" s="74"/>
      <c r="P48" s="74" t="s">
        <v>80</v>
      </c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hidden="1" customHeight="1">
      <c r="A49" s="51" t="s">
        <v>186</v>
      </c>
      <c r="B49" s="53">
        <v>45942.0</v>
      </c>
      <c r="C49" s="57" t="str">
        <f t="shared" si="2"/>
        <v>12-01-TS03-2026/TS-AVP/ĐĐHHH-CT00078</v>
      </c>
      <c r="D49" s="51" t="s">
        <v>200</v>
      </c>
      <c r="E49" s="37" t="s">
        <v>231</v>
      </c>
      <c r="F49" s="74" t="s">
        <v>41</v>
      </c>
      <c r="G49" s="37" t="s">
        <v>40</v>
      </c>
      <c r="H49" s="63">
        <v>5000.0</v>
      </c>
      <c r="I49" s="63"/>
      <c r="J49" s="63">
        <f>SUMIFS('SỔ CHI TIẾT BÁN HÀNG'!$G$5:$G$2062,'SỔ CHI TIẾT BÁN HÀNG'!$C$5:$C$2062,'Đơn đặt'!F49,'SỔ CHI TIẾT BÁN HÀNG'!$L$5:$L$2062,'Đơn đặt'!C49)</f>
        <v>5000</v>
      </c>
      <c r="K49" s="63">
        <f t="shared" si="3"/>
        <v>0</v>
      </c>
      <c r="L49" s="63"/>
      <c r="M49" s="72">
        <f>IF(E49="Hàng SX",0,SUMIFS('SỔ CHI TIẾT BÁN HÀNG'!$Q$5:$Q$2863,'SỔ CHI TIẾT BÁN HÀNG'!$C$5:$C$2863,'Đơn đặt'!F49,'SỔ CHI TIẾT BÁN HÀNG'!$N$5:$N$2863,'Đơn đặt'!E49))</f>
        <v>5000</v>
      </c>
      <c r="N49" s="72">
        <f t="shared" si="4"/>
        <v>0</v>
      </c>
      <c r="O49" s="74"/>
      <c r="P49" s="74" t="s">
        <v>80</v>
      </c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hidden="1" customHeight="1">
      <c r="A50" s="51" t="s">
        <v>186</v>
      </c>
      <c r="B50" s="53">
        <v>46001.0</v>
      </c>
      <c r="C50" s="57" t="str">
        <f t="shared" si="2"/>
        <v>12-01-TS03-2026/TS-AVP/ĐĐHHH-CT00075</v>
      </c>
      <c r="D50" s="51" t="s">
        <v>200</v>
      </c>
      <c r="E50" s="37" t="s">
        <v>231</v>
      </c>
      <c r="F50" s="74" t="s">
        <v>244</v>
      </c>
      <c r="G50" s="37" t="s">
        <v>245</v>
      </c>
      <c r="H50" s="63">
        <v>1000.0</v>
      </c>
      <c r="I50" s="63"/>
      <c r="J50" s="63">
        <f>SUMIFS('SỔ CHI TIẾT BÁN HÀNG'!$G$5:$G$2062,'SỔ CHI TIẾT BÁN HÀNG'!$C$5:$C$2062,'Đơn đặt'!F50,'SỔ CHI TIẾT BÁN HÀNG'!$L$5:$L$2062,'Đơn đặt'!C50)</f>
        <v>1000</v>
      </c>
      <c r="K50" s="63">
        <f t="shared" si="3"/>
        <v>0</v>
      </c>
      <c r="L50" s="63"/>
      <c r="M50" s="72">
        <f>IF(E50="Hàng SX",0,SUMIFS('SỔ CHI TIẾT BÁN HÀNG'!$Q$5:$Q$2863,'SỔ CHI TIẾT BÁN HÀNG'!$C$5:$C$2863,'Đơn đặt'!F50,'SỔ CHI TIẾT BÁN HÀNG'!$N$5:$N$2863,'Đơn đặt'!E50))</f>
        <v>1000</v>
      </c>
      <c r="N50" s="72">
        <f t="shared" si="4"/>
        <v>0</v>
      </c>
      <c r="O50" s="74"/>
      <c r="P50" s="74" t="s">
        <v>80</v>
      </c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hidden="1" customHeight="1">
      <c r="A51" s="51" t="s">
        <v>186</v>
      </c>
      <c r="B51" s="53">
        <v>45942.0</v>
      </c>
      <c r="C51" s="57" t="str">
        <f t="shared" si="2"/>
        <v>12-01-TS03-2026/TS-AVP/ĐĐHHH-CT00083</v>
      </c>
      <c r="D51" s="51" t="s">
        <v>200</v>
      </c>
      <c r="E51" s="37" t="s">
        <v>231</v>
      </c>
      <c r="F51" s="74" t="s">
        <v>247</v>
      </c>
      <c r="G51" s="37" t="s">
        <v>249</v>
      </c>
      <c r="H51" s="63">
        <v>1900.0</v>
      </c>
      <c r="I51" s="63"/>
      <c r="J51" s="63">
        <f>SUMIFS('SỔ CHI TIẾT BÁN HÀNG'!$G$5:$G$2062,'SỔ CHI TIẾT BÁN HÀNG'!$C$5:$C$2062,'Đơn đặt'!F51,'SỔ CHI TIẾT BÁN HÀNG'!$L$5:$L$2062,'Đơn đặt'!C51)</f>
        <v>1900</v>
      </c>
      <c r="K51" s="63">
        <f t="shared" si="3"/>
        <v>0</v>
      </c>
      <c r="L51" s="63"/>
      <c r="M51" s="72">
        <f>IF(E51="Hàng SX",0,SUMIFS('SỔ CHI TIẾT BÁN HÀNG'!$Q$5:$Q$2863,'SỔ CHI TIẾT BÁN HÀNG'!$C$5:$C$2863,'Đơn đặt'!F51,'SỔ CHI TIẾT BÁN HÀNG'!$N$5:$N$2863,'Đơn đặt'!E51))</f>
        <v>1900</v>
      </c>
      <c r="N51" s="72">
        <f t="shared" si="4"/>
        <v>0</v>
      </c>
      <c r="O51" s="74"/>
      <c r="P51" s="74" t="s">
        <v>80</v>
      </c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hidden="1" customHeight="1">
      <c r="A52" s="51" t="s">
        <v>186</v>
      </c>
      <c r="B52" s="53">
        <v>46028.0</v>
      </c>
      <c r="C52" s="57" t="str">
        <f t="shared" si="2"/>
        <v>01-02-TS04-2026/TS-AVP/ĐĐHHH-CT00025</v>
      </c>
      <c r="D52" s="51" t="s">
        <v>252</v>
      </c>
      <c r="E52" s="37" t="s">
        <v>253</v>
      </c>
      <c r="F52" s="74" t="s">
        <v>119</v>
      </c>
      <c r="G52" s="37" t="s">
        <v>120</v>
      </c>
      <c r="H52" s="63">
        <v>46000.0</v>
      </c>
      <c r="I52" s="63"/>
      <c r="J52" s="63">
        <f>SUMIFS('SỔ CHI TIẾT BÁN HÀNG'!$G$5:$G$2062,'SỔ CHI TIẾT BÁN HÀNG'!$C$5:$C$2062,'Đơn đặt'!F52,'SỔ CHI TIẾT BÁN HÀNG'!$L$5:$L$2062,'Đơn đặt'!C52)</f>
        <v>46000</v>
      </c>
      <c r="K52" s="63">
        <f t="shared" si="3"/>
        <v>0</v>
      </c>
      <c r="L52" s="63"/>
      <c r="M52" s="72">
        <f>IF(E52="Hàng SX",0,SUMIFS('SỔ CHI TIẾT BÁN HÀNG'!$Q$5:$Q$2863,'SỔ CHI TIẾT BÁN HÀNG'!$C$5:$C$2863,'Đơn đặt'!F52,'SỔ CHI TIẾT BÁN HÀNG'!$N$5:$N$2863,'Đơn đặt'!E52))</f>
        <v>46000</v>
      </c>
      <c r="N52" s="72">
        <f t="shared" si="4"/>
        <v>0</v>
      </c>
      <c r="O52" s="74"/>
      <c r="P52" s="74" t="s">
        <v>80</v>
      </c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hidden="1" customHeight="1">
      <c r="A53" s="51" t="s">
        <v>186</v>
      </c>
      <c r="B53" s="53">
        <v>46001.0</v>
      </c>
      <c r="C53" s="57" t="str">
        <f t="shared" si="2"/>
        <v>12-01-TS05-2026/TS-AVP/ĐĐHHH-CT00007</v>
      </c>
      <c r="D53" s="51" t="s">
        <v>200</v>
      </c>
      <c r="E53" s="37" t="s">
        <v>255</v>
      </c>
      <c r="F53" s="74" t="s">
        <v>48</v>
      </c>
      <c r="G53" s="37" t="s">
        <v>47</v>
      </c>
      <c r="H53" s="63">
        <v>5000.0</v>
      </c>
      <c r="I53" s="63"/>
      <c r="J53" s="63">
        <f>SUMIFS('SỔ CHI TIẾT BÁN HÀNG'!$G$5:$G$2062,'SỔ CHI TIẾT BÁN HÀNG'!$C$5:$C$2062,'Đơn đặt'!F53,'SỔ CHI TIẾT BÁN HÀNG'!$L$5:$L$2062,'Đơn đặt'!C53)</f>
        <v>5000</v>
      </c>
      <c r="K53" s="63">
        <f t="shared" si="3"/>
        <v>0</v>
      </c>
      <c r="L53" s="63"/>
      <c r="M53" s="72">
        <f>IF(E53="Hàng SX",0,SUMIFS('SỔ CHI TIẾT BÁN HÀNG'!$Q$5:$Q$2863,'SỔ CHI TIẾT BÁN HÀNG'!$C$5:$C$2863,'Đơn đặt'!F53,'SỔ CHI TIẾT BÁN HÀNG'!$N$5:$N$2863,'Đơn đặt'!E53))</f>
        <v>5000</v>
      </c>
      <c r="N53" s="72">
        <f t="shared" si="4"/>
        <v>0</v>
      </c>
      <c r="O53" s="74" t="s">
        <v>256</v>
      </c>
      <c r="P53" s="74" t="s">
        <v>80</v>
      </c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hidden="1" customHeight="1">
      <c r="A54" s="51" t="s">
        <v>186</v>
      </c>
      <c r="B54" s="53">
        <v>46001.0</v>
      </c>
      <c r="C54" s="57" t="str">
        <f t="shared" si="2"/>
        <v>12-01-TS05-2026/TS-AVP/ĐĐHHH-CT00008</v>
      </c>
      <c r="D54" s="51" t="s">
        <v>200</v>
      </c>
      <c r="E54" s="37" t="s">
        <v>255</v>
      </c>
      <c r="F54" s="74" t="s">
        <v>50</v>
      </c>
      <c r="G54" s="37" t="s">
        <v>49</v>
      </c>
      <c r="H54" s="63">
        <v>1000.0</v>
      </c>
      <c r="I54" s="63"/>
      <c r="J54" s="63">
        <f>SUMIFS('SỔ CHI TIẾT BÁN HÀNG'!$G$5:$G$2062,'SỔ CHI TIẾT BÁN HÀNG'!$C$5:$C$2062,'Đơn đặt'!F54,'SỔ CHI TIẾT BÁN HÀNG'!$L$5:$L$2062,'Đơn đặt'!C54)</f>
        <v>1000</v>
      </c>
      <c r="K54" s="63">
        <f t="shared" si="3"/>
        <v>0</v>
      </c>
      <c r="L54" s="63"/>
      <c r="M54" s="72">
        <f>IF(E54="Hàng SX",0,SUMIFS('SỔ CHI TIẾT BÁN HÀNG'!$Q$5:$Q$2863,'SỔ CHI TIẾT BÁN HÀNG'!$C$5:$C$2863,'Đơn đặt'!F54,'SỔ CHI TIẾT BÁN HÀNG'!$N$5:$N$2863,'Đơn đặt'!E54))</f>
        <v>1000</v>
      </c>
      <c r="N54" s="72">
        <f t="shared" si="4"/>
        <v>0</v>
      </c>
      <c r="O54" s="74"/>
      <c r="P54" s="74" t="s">
        <v>80</v>
      </c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hidden="1" customHeight="1">
      <c r="A55" s="51" t="s">
        <v>186</v>
      </c>
      <c r="B55" s="53">
        <v>46031.0</v>
      </c>
      <c r="C55" s="57" t="str">
        <f t="shared" si="2"/>
        <v>01-03-TS06-2026/TS-AVP/ĐĐHHH-CT00095</v>
      </c>
      <c r="D55" s="51" t="s">
        <v>258</v>
      </c>
      <c r="E55" s="37" t="s">
        <v>259</v>
      </c>
      <c r="F55" s="59" t="s">
        <v>196</v>
      </c>
      <c r="G55" s="37" t="s">
        <v>260</v>
      </c>
      <c r="H55" s="63">
        <v>495.0</v>
      </c>
      <c r="I55" s="63"/>
      <c r="J55" s="63">
        <f>SUMIFS('SỔ CHI TIẾT BÁN HÀNG'!$G$5:$G$2062,'SỔ CHI TIẾT BÁN HÀNG'!$C$5:$C$2062,'Đơn đặt'!F55,'SỔ CHI TIẾT BÁN HÀNG'!$L$5:$L$2062,'Đơn đặt'!C55)</f>
        <v>495</v>
      </c>
      <c r="K55" s="63">
        <f t="shared" si="3"/>
        <v>0</v>
      </c>
      <c r="L55" s="63"/>
      <c r="M55" s="72">
        <f>IF(E55="Hàng SX",0,SUMIFS('SỔ CHI TIẾT BÁN HÀNG'!$Q$5:$Q$2863,'SỔ CHI TIẾT BÁN HÀNG'!$C$5:$C$2863,'Đơn đặt'!F55,'SỔ CHI TIẾT BÁN HÀNG'!$N$5:$N$2863,'Đơn đặt'!E55))</f>
        <v>495</v>
      </c>
      <c r="N55" s="72">
        <f t="shared" si="4"/>
        <v>0</v>
      </c>
      <c r="O55" s="74"/>
      <c r="P55" s="74" t="s">
        <v>80</v>
      </c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hidden="1" customHeight="1">
      <c r="A56" s="51" t="s">
        <v>186</v>
      </c>
      <c r="B56" s="53">
        <v>46031.0</v>
      </c>
      <c r="C56" s="57" t="str">
        <f t="shared" si="2"/>
        <v>01-04-TS07-2026/TS-AVP/ĐĐHHH-CT00031</v>
      </c>
      <c r="D56" s="51" t="s">
        <v>262</v>
      </c>
      <c r="E56" s="37" t="s">
        <v>263</v>
      </c>
      <c r="F56" s="74" t="s">
        <v>206</v>
      </c>
      <c r="G56" s="37" t="s">
        <v>207</v>
      </c>
      <c r="H56" s="63">
        <v>27610.0</v>
      </c>
      <c r="I56" s="63"/>
      <c r="J56" s="63">
        <f>SUMIFS('SỔ CHI TIẾT BÁN HÀNG'!$G$5:$G$2062,'SỔ CHI TIẾT BÁN HÀNG'!$C$5:$C$2062,'Đơn đặt'!F56,'SỔ CHI TIẾT BÁN HÀNG'!$L$5:$L$2062,'Đơn đặt'!C56)</f>
        <v>27610</v>
      </c>
      <c r="K56" s="63">
        <f t="shared" si="3"/>
        <v>0</v>
      </c>
      <c r="L56" s="63"/>
      <c r="M56" s="72">
        <f>IF(E56="Hàng SX",0,SUMIFS('SỔ CHI TIẾT BÁN HÀNG'!$Q$5:$Q$2863,'SỔ CHI TIẾT BÁN HÀNG'!$C$5:$C$2863,'Đơn đặt'!F56,'SỔ CHI TIẾT BÁN HÀNG'!$N$5:$N$2863,'Đơn đặt'!E56))</f>
        <v>27610</v>
      </c>
      <c r="N56" s="72">
        <f t="shared" si="4"/>
        <v>0</v>
      </c>
      <c r="O56" s="74"/>
      <c r="P56" s="74" t="s">
        <v>80</v>
      </c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hidden="1" customHeight="1">
      <c r="A57" s="51" t="s">
        <v>186</v>
      </c>
      <c r="B57" s="53">
        <v>46031.0</v>
      </c>
      <c r="C57" s="57" t="str">
        <f t="shared" si="2"/>
        <v>01-04-TS07-2026/TS-AVP/ĐĐHHH-CT00046</v>
      </c>
      <c r="D57" s="51" t="s">
        <v>262</v>
      </c>
      <c r="E57" s="37" t="s">
        <v>263</v>
      </c>
      <c r="F57" s="59" t="s">
        <v>266</v>
      </c>
      <c r="G57" s="37" t="s">
        <v>267</v>
      </c>
      <c r="H57" s="63">
        <v>3595.0</v>
      </c>
      <c r="I57" s="63"/>
      <c r="J57" s="63">
        <f>SUMIFS('SỔ CHI TIẾT BÁN HÀNG'!$G$5:$G$2062,'SỔ CHI TIẾT BÁN HÀNG'!$C$5:$C$2062,'Đơn đặt'!F57,'SỔ CHI TIẾT BÁN HÀNG'!$L$5:$L$2062,'Đơn đặt'!C57)</f>
        <v>3595</v>
      </c>
      <c r="K57" s="63">
        <f t="shared" si="3"/>
        <v>0</v>
      </c>
      <c r="L57" s="63"/>
      <c r="M57" s="72">
        <f>IF(E57="Hàng SX",0,SUMIFS('SỔ CHI TIẾT BÁN HÀNG'!$Q$5:$Q$2863,'SỔ CHI TIẾT BÁN HÀNG'!$C$5:$C$2863,'Đơn đặt'!F57,'SỔ CHI TIẾT BÁN HÀNG'!$N$5:$N$2863,'Đơn đặt'!E57))</f>
        <v>3595</v>
      </c>
      <c r="N57" s="72">
        <f t="shared" si="4"/>
        <v>0</v>
      </c>
      <c r="O57" s="74"/>
      <c r="P57" s="74" t="s">
        <v>80</v>
      </c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hidden="1" customHeight="1">
      <c r="A58" s="51" t="s">
        <v>186</v>
      </c>
      <c r="B58" s="53">
        <v>46031.0</v>
      </c>
      <c r="C58" s="57" t="str">
        <f t="shared" si="2"/>
        <v>01-04-TS07-2026/TS-AVP/ĐĐHHH-CT00054</v>
      </c>
      <c r="D58" s="51" t="s">
        <v>262</v>
      </c>
      <c r="E58" s="37" t="s">
        <v>263</v>
      </c>
      <c r="F58" s="74" t="s">
        <v>222</v>
      </c>
      <c r="G58" s="37" t="s">
        <v>223</v>
      </c>
      <c r="H58" s="63">
        <v>9200.0</v>
      </c>
      <c r="I58" s="63"/>
      <c r="J58" s="63">
        <f>SUMIFS('SỔ CHI TIẾT BÁN HÀNG'!$G$5:$G$2062,'SỔ CHI TIẾT BÁN HÀNG'!$C$5:$C$2062,'Đơn đặt'!F58,'SỔ CHI TIẾT BÁN HÀNG'!$L$5:$L$2062,'Đơn đặt'!C58)</f>
        <v>9200</v>
      </c>
      <c r="K58" s="63">
        <f t="shared" si="3"/>
        <v>0</v>
      </c>
      <c r="L58" s="63"/>
      <c r="M58" s="72">
        <f>IF(E58="Hàng SX",0,SUMIFS('SỔ CHI TIẾT BÁN HÀNG'!$Q$5:$Q$2863,'SỔ CHI TIẾT BÁN HÀNG'!$C$5:$C$2863,'Đơn đặt'!F58,'SỔ CHI TIẾT BÁN HÀNG'!$N$5:$N$2863,'Đơn đặt'!E58))</f>
        <v>9200</v>
      </c>
      <c r="N58" s="72">
        <f t="shared" si="4"/>
        <v>0</v>
      </c>
      <c r="O58" s="74"/>
      <c r="P58" s="74" t="s">
        <v>80</v>
      </c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hidden="1" customHeight="1">
      <c r="A59" s="51" t="s">
        <v>186</v>
      </c>
      <c r="B59" s="53">
        <v>46031.0</v>
      </c>
      <c r="C59" s="57" t="str">
        <f t="shared" si="2"/>
        <v>01-04-TS07-2026/TS-AVP/ĐĐHHH-CT00061</v>
      </c>
      <c r="D59" s="51" t="s">
        <v>262</v>
      </c>
      <c r="E59" s="37" t="s">
        <v>263</v>
      </c>
      <c r="F59" s="74" t="s">
        <v>272</v>
      </c>
      <c r="G59" s="37" t="s">
        <v>273</v>
      </c>
      <c r="H59" s="63">
        <v>4585.0</v>
      </c>
      <c r="I59" s="63"/>
      <c r="J59" s="63">
        <f>SUMIFS('SỔ CHI TIẾT BÁN HÀNG'!$G$5:$G$2062,'SỔ CHI TIẾT BÁN HÀNG'!$C$5:$C$2062,'Đơn đặt'!F59,'SỔ CHI TIẾT BÁN HÀNG'!$L$5:$L$2062,'Đơn đặt'!C59)</f>
        <v>4585</v>
      </c>
      <c r="K59" s="63">
        <f t="shared" si="3"/>
        <v>0</v>
      </c>
      <c r="L59" s="63"/>
      <c r="M59" s="72">
        <f>IF(E59="Hàng SX",0,SUMIFS('SỔ CHI TIẾT BÁN HÀNG'!$Q$5:$Q$2863,'SỔ CHI TIẾT BÁN HÀNG'!$C$5:$C$2863,'Đơn đặt'!F59,'SỔ CHI TIẾT BÁN HÀNG'!$N$5:$N$2863,'Đơn đặt'!E59))</f>
        <v>4585</v>
      </c>
      <c r="N59" s="72">
        <f t="shared" si="4"/>
        <v>0</v>
      </c>
      <c r="O59" s="74"/>
      <c r="P59" s="74" t="s">
        <v>80</v>
      </c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hidden="1" customHeight="1">
      <c r="A60" s="51" t="s">
        <v>186</v>
      </c>
      <c r="B60" s="53">
        <v>46031.0</v>
      </c>
      <c r="C60" s="57" t="str">
        <f t="shared" si="2"/>
        <v>01-04-TS07-2026/TS-AVP/ĐĐHHH-CT00103</v>
      </c>
      <c r="D60" s="51" t="s">
        <v>262</v>
      </c>
      <c r="E60" s="37" t="s">
        <v>263</v>
      </c>
      <c r="F60" s="74" t="s">
        <v>275</v>
      </c>
      <c r="G60" s="37" t="s">
        <v>276</v>
      </c>
      <c r="H60" s="63">
        <v>620.0</v>
      </c>
      <c r="I60" s="63"/>
      <c r="J60" s="63">
        <f>SUMIFS('SỔ CHI TIẾT BÁN HÀNG'!$G$5:$G$2062,'SỔ CHI TIẾT BÁN HÀNG'!$C$5:$C$2062,'Đơn đặt'!F60,'SỔ CHI TIẾT BÁN HÀNG'!$L$5:$L$2062,'Đơn đặt'!C60)</f>
        <v>620</v>
      </c>
      <c r="K60" s="63">
        <f t="shared" si="3"/>
        <v>0</v>
      </c>
      <c r="L60" s="63"/>
      <c r="M60" s="72">
        <f>IF(E60="Hàng SX",0,SUMIFS('SỔ CHI TIẾT BÁN HÀNG'!$Q$5:$Q$2863,'SỔ CHI TIẾT BÁN HÀNG'!$C$5:$C$2863,'Đơn đặt'!F60,'SỔ CHI TIẾT BÁN HÀNG'!$N$5:$N$2863,'Đơn đặt'!E60))</f>
        <v>620</v>
      </c>
      <c r="N60" s="72">
        <f t="shared" si="4"/>
        <v>0</v>
      </c>
      <c r="O60" s="74"/>
      <c r="P60" s="74" t="s">
        <v>80</v>
      </c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hidden="1" customHeight="1">
      <c r="A61" s="51" t="s">
        <v>186</v>
      </c>
      <c r="B61" s="53">
        <v>46031.0</v>
      </c>
      <c r="C61" s="57" t="str">
        <f t="shared" si="2"/>
        <v>01-04-TS07-2026/TS-AVP/ĐĐHHH-CT00104</v>
      </c>
      <c r="D61" s="51" t="s">
        <v>262</v>
      </c>
      <c r="E61" s="37" t="s">
        <v>263</v>
      </c>
      <c r="F61" s="74" t="s">
        <v>279</v>
      </c>
      <c r="G61" s="37" t="s">
        <v>280</v>
      </c>
      <c r="H61" s="63">
        <v>300.0</v>
      </c>
      <c r="I61" s="63"/>
      <c r="J61" s="63">
        <f>SUMIFS('SỔ CHI TIẾT BÁN HÀNG'!$G$5:$G$2062,'SỔ CHI TIẾT BÁN HÀNG'!$C$5:$C$2062,'Đơn đặt'!F61,'SỔ CHI TIẾT BÁN HÀNG'!$L$5:$L$2062,'Đơn đặt'!C61)</f>
        <v>300</v>
      </c>
      <c r="K61" s="63">
        <f t="shared" si="3"/>
        <v>0</v>
      </c>
      <c r="L61" s="63"/>
      <c r="M61" s="72">
        <f>IF(E61="Hàng SX",0,SUMIFS('SỔ CHI TIẾT BÁN HÀNG'!$Q$5:$Q$2863,'SỔ CHI TIẾT BÁN HÀNG'!$C$5:$C$2863,'Đơn đặt'!F61,'SỔ CHI TIẾT BÁN HÀNG'!$N$5:$N$2863,'Đơn đặt'!E61))</f>
        <v>300</v>
      </c>
      <c r="N61" s="72">
        <f t="shared" si="4"/>
        <v>0</v>
      </c>
      <c r="O61" s="74"/>
      <c r="P61" s="74" t="s">
        <v>80</v>
      </c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hidden="1" customHeight="1">
      <c r="A62" s="51" t="s">
        <v>186</v>
      </c>
      <c r="B62" s="53">
        <v>46031.0</v>
      </c>
      <c r="C62" s="57" t="str">
        <f t="shared" si="2"/>
        <v>01/09/TSC-LTHàng SXTP-LG00008-SG</v>
      </c>
      <c r="D62" s="51" t="s">
        <v>283</v>
      </c>
      <c r="E62" s="37" t="s">
        <v>98</v>
      </c>
      <c r="F62" s="61" t="s">
        <v>110</v>
      </c>
      <c r="G62" s="61" t="s">
        <v>188</v>
      </c>
      <c r="H62" s="63">
        <v>18720.0</v>
      </c>
      <c r="I62" s="63"/>
      <c r="J62" s="63">
        <f>SUMIFS('SỔ CHI TIẾT BÁN HÀNG'!$G$5:$G$2062,'SỔ CHI TIẾT BÁN HÀNG'!$C$5:$C$2062,'Đơn đặt'!F62,'SỔ CHI TIẾT BÁN HÀNG'!$L$5:$L$2062,'Đơn đặt'!C62)</f>
        <v>18720</v>
      </c>
      <c r="K62" s="63">
        <f t="shared" si="3"/>
        <v>0</v>
      </c>
      <c r="L62" s="63"/>
      <c r="M62" s="72">
        <f>IF(E62="Hàng SX",0,SUMIFS('SỔ CHI TIẾT BÁN HÀNG'!$Q$5:$Q$2863,'SỔ CHI TIẾT BÁN HÀNG'!$C$5:$C$2863,'Đơn đặt'!F62,'SỔ CHI TIẾT BÁN HÀNG'!$N$5:$N$2863,'Đơn đặt'!E62))</f>
        <v>0</v>
      </c>
      <c r="N62" s="72">
        <f t="shared" si="4"/>
        <v>0</v>
      </c>
      <c r="O62" s="74"/>
      <c r="P62" s="74" t="s">
        <v>80</v>
      </c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hidden="1" customHeight="1">
      <c r="A63" s="51" t="s">
        <v>186</v>
      </c>
      <c r="B63" s="53">
        <v>46036.0</v>
      </c>
      <c r="C63" s="57" t="str">
        <f t="shared" si="2"/>
        <v>01-06-TS08-2026/TS-AVP/ĐĐHHH-CT00095</v>
      </c>
      <c r="D63" s="51" t="s">
        <v>285</v>
      </c>
      <c r="E63" s="37" t="s">
        <v>286</v>
      </c>
      <c r="F63" s="59" t="s">
        <v>196</v>
      </c>
      <c r="G63" s="37" t="s">
        <v>260</v>
      </c>
      <c r="H63" s="63">
        <v>2160.0</v>
      </c>
      <c r="I63" s="63"/>
      <c r="J63" s="63">
        <f>SUMIFS('SỔ CHI TIẾT BÁN HÀNG'!$G$5:$G$2062,'SỔ CHI TIẾT BÁN HÀNG'!$C$5:$C$2062,'Đơn đặt'!F63,'SỔ CHI TIẾT BÁN HÀNG'!$L$5:$L$2062,'Đơn đặt'!C63)</f>
        <v>2160</v>
      </c>
      <c r="K63" s="63">
        <f t="shared" si="3"/>
        <v>0</v>
      </c>
      <c r="L63" s="63"/>
      <c r="M63" s="72">
        <f>IF(E63="Hàng SX",0,SUMIFS('SỔ CHI TIẾT BÁN HÀNG'!$Q$5:$Q$2863,'SỔ CHI TIẾT BÁN HÀNG'!$C$5:$C$2863,'Đơn đặt'!F63,'SỔ CHI TIẾT BÁN HÀNG'!$N$5:$N$2863,'Đơn đặt'!E63))</f>
        <v>2160</v>
      </c>
      <c r="N63" s="72">
        <f t="shared" si="4"/>
        <v>0</v>
      </c>
      <c r="O63" s="74"/>
      <c r="P63" s="74" t="s">
        <v>80</v>
      </c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hidden="1" customHeight="1">
      <c r="A64" s="51" t="s">
        <v>186</v>
      </c>
      <c r="B64" s="53">
        <v>46001.0</v>
      </c>
      <c r="C64" s="57" t="str">
        <f t="shared" si="2"/>
        <v>12-01-TS09-2026/TS-AVP/ĐĐHHH-CT00007</v>
      </c>
      <c r="D64" s="51" t="s">
        <v>200</v>
      </c>
      <c r="E64" s="37" t="s">
        <v>287</v>
      </c>
      <c r="F64" s="74" t="s">
        <v>48</v>
      </c>
      <c r="G64" s="37" t="s">
        <v>47</v>
      </c>
      <c r="H64" s="63">
        <v>77000.0</v>
      </c>
      <c r="I64" s="63"/>
      <c r="J64" s="63">
        <f>SUMIFS('SỔ CHI TIẾT BÁN HÀNG'!$G$5:$G$2062,'SỔ CHI TIẾT BÁN HÀNG'!$C$5:$C$2062,'Đơn đặt'!F64,'SỔ CHI TIẾT BÁN HÀNG'!$L$5:$L$2062,'Đơn đặt'!C64)</f>
        <v>77000</v>
      </c>
      <c r="K64" s="63">
        <f t="shared" si="3"/>
        <v>0</v>
      </c>
      <c r="L64" s="63"/>
      <c r="M64" s="72">
        <f>IF(E64="Hàng SX",0,SUMIFS('SỔ CHI TIẾT BÁN HÀNG'!$Q$5:$Q$2863,'SỔ CHI TIẾT BÁN HÀNG'!$C$5:$C$2863,'Đơn đặt'!F64,'SỔ CHI TIẾT BÁN HÀNG'!$N$5:$N$2863,'Đơn đặt'!E64))</f>
        <v>77000</v>
      </c>
      <c r="N64" s="72">
        <f t="shared" si="4"/>
        <v>0</v>
      </c>
      <c r="O64" s="74" t="s">
        <v>256</v>
      </c>
      <c r="P64" s="74" t="s">
        <v>80</v>
      </c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hidden="1" customHeight="1">
      <c r="A65" s="51" t="s">
        <v>186</v>
      </c>
      <c r="B65" s="53">
        <v>46001.0</v>
      </c>
      <c r="C65" s="57" t="str">
        <f t="shared" si="2"/>
        <v>12-01-TS09-2026/TS-AVP/ĐĐHHH-CT00008</v>
      </c>
      <c r="D65" s="51" t="s">
        <v>200</v>
      </c>
      <c r="E65" s="37" t="s">
        <v>287</v>
      </c>
      <c r="F65" s="74" t="s">
        <v>50</v>
      </c>
      <c r="G65" s="37" t="s">
        <v>49</v>
      </c>
      <c r="H65" s="63">
        <v>23000.0</v>
      </c>
      <c r="I65" s="63"/>
      <c r="J65" s="63">
        <f>SUMIFS('SỔ CHI TIẾT BÁN HÀNG'!$G$5:$G$2062,'SỔ CHI TIẾT BÁN HÀNG'!$C$5:$C$2062,'Đơn đặt'!F65,'SỔ CHI TIẾT BÁN HÀNG'!$L$5:$L$2062,'Đơn đặt'!C65)</f>
        <v>23000</v>
      </c>
      <c r="K65" s="63">
        <f t="shared" si="3"/>
        <v>0</v>
      </c>
      <c r="L65" s="63"/>
      <c r="M65" s="72">
        <f>IF(E65="Hàng SX",0,SUMIFS('SỔ CHI TIẾT BÁN HÀNG'!$Q$5:$Q$2863,'SỔ CHI TIẾT BÁN HÀNG'!$C$5:$C$2863,'Đơn đặt'!F65,'SỔ CHI TIẾT BÁN HÀNG'!$N$5:$N$2863,'Đơn đặt'!E65))</f>
        <v>23000</v>
      </c>
      <c r="N65" s="72">
        <f t="shared" si="4"/>
        <v>0</v>
      </c>
      <c r="O65" s="74"/>
      <c r="P65" s="74" t="s">
        <v>80</v>
      </c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hidden="1" customHeight="1">
      <c r="A66" s="51" t="s">
        <v>186</v>
      </c>
      <c r="B66" s="53">
        <v>46043.0</v>
      </c>
      <c r="C66" s="57" t="str">
        <f t="shared" si="2"/>
        <v>01-18/TS-LP10-2026/TS-AVP/ĐĐHTP-PE00009</v>
      </c>
      <c r="D66" s="51" t="s">
        <v>293</v>
      </c>
      <c r="E66" s="37" t="s">
        <v>294</v>
      </c>
      <c r="F66" s="59" t="s">
        <v>295</v>
      </c>
      <c r="G66" s="37" t="s">
        <v>296</v>
      </c>
      <c r="H66" s="63">
        <v>1000.0</v>
      </c>
      <c r="I66" s="63"/>
      <c r="J66" s="63">
        <f>SUMIFS('SỔ CHI TIẾT BÁN HÀNG'!$G$5:$G$2062,'SỔ CHI TIẾT BÁN HÀNG'!$C$5:$C$2062,'Đơn đặt'!F66,'SỔ CHI TIẾT BÁN HÀNG'!$L$5:$L$2062,'Đơn đặt'!C66)</f>
        <v>1000</v>
      </c>
      <c r="K66" s="63">
        <f t="shared" si="3"/>
        <v>0</v>
      </c>
      <c r="L66" s="63"/>
      <c r="M66" s="72">
        <f>IF(E66="Hàng SX",0,SUMIFS('SỔ CHI TIẾT BÁN HÀNG'!$Q$5:$Q$2863,'SỔ CHI TIẾT BÁN HÀNG'!$C$5:$C$2863,'Đơn đặt'!F66,'SỔ CHI TIẾT BÁN HÀNG'!$N$5:$N$2863,'Đơn đặt'!E66))</f>
        <v>1000</v>
      </c>
      <c r="N66" s="72">
        <f t="shared" si="4"/>
        <v>0</v>
      </c>
      <c r="O66" s="74"/>
      <c r="P66" s="74" t="s">
        <v>80</v>
      </c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hidden="1" customHeight="1">
      <c r="A67" s="51" t="s">
        <v>186</v>
      </c>
      <c r="B67" s="53">
        <v>46043.0</v>
      </c>
      <c r="C67" s="57" t="str">
        <f t="shared" si="2"/>
        <v>01-18/TS-LP10-2026/TS-AVP/ĐĐHTP-PE00002</v>
      </c>
      <c r="D67" s="51" t="s">
        <v>293</v>
      </c>
      <c r="E67" s="37" t="s">
        <v>294</v>
      </c>
      <c r="F67" s="59" t="s">
        <v>299</v>
      </c>
      <c r="G67" s="37" t="s">
        <v>300</v>
      </c>
      <c r="H67" s="63">
        <v>1000.0</v>
      </c>
      <c r="I67" s="63"/>
      <c r="J67" s="63">
        <f>SUMIFS('SỔ CHI TIẾT BÁN HÀNG'!$G$5:$G$2062,'SỔ CHI TIẾT BÁN HÀNG'!$C$5:$C$2062,'Đơn đặt'!F67,'SỔ CHI TIẾT BÁN HÀNG'!$L$5:$L$2062,'Đơn đặt'!C67)</f>
        <v>1000</v>
      </c>
      <c r="K67" s="63">
        <f t="shared" si="3"/>
        <v>0</v>
      </c>
      <c r="L67" s="63"/>
      <c r="M67" s="72">
        <f>IF(E67="Hàng SX",0,SUMIFS('SỔ CHI TIẾT BÁN HÀNG'!$Q$5:$Q$2863,'SỔ CHI TIẾT BÁN HÀNG'!$C$5:$C$2863,'Đơn đặt'!F67,'SỔ CHI TIẾT BÁN HÀNG'!$N$5:$N$2863,'Đơn đặt'!E67))</f>
        <v>1000</v>
      </c>
      <c r="N67" s="72">
        <f t="shared" si="4"/>
        <v>0</v>
      </c>
      <c r="O67" s="74"/>
      <c r="P67" s="74" t="s">
        <v>80</v>
      </c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hidden="1" customHeight="1">
      <c r="A68" s="51" t="s">
        <v>186</v>
      </c>
      <c r="B68" s="53">
        <v>46043.0</v>
      </c>
      <c r="C68" s="57" t="str">
        <f t="shared" si="2"/>
        <v>01-14-TS11-2026/TS-AVP/ĐĐHHH-CT00007</v>
      </c>
      <c r="D68" s="51" t="s">
        <v>301</v>
      </c>
      <c r="E68" s="37" t="s">
        <v>302</v>
      </c>
      <c r="F68" s="74" t="s">
        <v>48</v>
      </c>
      <c r="G68" s="37" t="s">
        <v>47</v>
      </c>
      <c r="H68" s="63">
        <v>55200.0</v>
      </c>
      <c r="I68" s="63"/>
      <c r="J68" s="63">
        <f>SUMIFS('SỔ CHI TIẾT BÁN HÀNG'!$G$5:$G$2062,'SỔ CHI TIẾT BÁN HÀNG'!$C$5:$C$2062,'Đơn đặt'!F68,'SỔ CHI TIẾT BÁN HÀNG'!$L$5:$L$2062,'Đơn đặt'!C68)</f>
        <v>55200</v>
      </c>
      <c r="K68" s="63">
        <f t="shared" si="3"/>
        <v>0</v>
      </c>
      <c r="L68" s="63"/>
      <c r="M68" s="72">
        <f>IF(E68="Hàng SX",0,SUMIFS('SỔ CHI TIẾT BÁN HÀNG'!$Q$5:$Q$2863,'SỔ CHI TIẾT BÁN HÀNG'!$C$5:$C$2863,'Đơn đặt'!F68,'SỔ CHI TIẾT BÁN HÀNG'!$N$5:$N$2863,'Đơn đặt'!E68))</f>
        <v>55200</v>
      </c>
      <c r="N68" s="72">
        <f t="shared" si="4"/>
        <v>0</v>
      </c>
      <c r="O68" s="74"/>
      <c r="P68" s="74" t="s">
        <v>80</v>
      </c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hidden="1" customHeight="1">
      <c r="A69" s="51" t="s">
        <v>186</v>
      </c>
      <c r="B69" s="53">
        <v>46043.0</v>
      </c>
      <c r="C69" s="57" t="str">
        <f t="shared" si="2"/>
        <v>01-14-TS11-2026/TS-AVP/ĐĐHHH-CT00008</v>
      </c>
      <c r="D69" s="51" t="s">
        <v>301</v>
      </c>
      <c r="E69" s="37" t="s">
        <v>302</v>
      </c>
      <c r="F69" s="74" t="s">
        <v>50</v>
      </c>
      <c r="G69" s="37" t="s">
        <v>49</v>
      </c>
      <c r="H69" s="63">
        <v>16300.0</v>
      </c>
      <c r="I69" s="63"/>
      <c r="J69" s="63">
        <f>SUMIFS('SỔ CHI TIẾT BÁN HÀNG'!$G$5:$G$2062,'SỔ CHI TIẾT BÁN HÀNG'!$C$5:$C$2062,'Đơn đặt'!F69,'SỔ CHI TIẾT BÁN HÀNG'!$L$5:$L$2062,'Đơn đặt'!C69)</f>
        <v>16300</v>
      </c>
      <c r="K69" s="63">
        <f t="shared" si="3"/>
        <v>0</v>
      </c>
      <c r="L69" s="63"/>
      <c r="M69" s="72">
        <f>IF(E69="Hàng SX",0,SUMIFS('SỔ CHI TIẾT BÁN HÀNG'!$Q$5:$Q$2863,'SỔ CHI TIẾT BÁN HÀNG'!$C$5:$C$2863,'Đơn đặt'!F69,'SỔ CHI TIẾT BÁN HÀNG'!$N$5:$N$2863,'Đơn đặt'!E69))</f>
        <v>16300</v>
      </c>
      <c r="N69" s="72">
        <f t="shared" si="4"/>
        <v>0</v>
      </c>
      <c r="O69" s="74"/>
      <c r="P69" s="74" t="s">
        <v>80</v>
      </c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hidden="1" customHeight="1">
      <c r="A70" s="51" t="s">
        <v>186</v>
      </c>
      <c r="B70" s="53">
        <v>46043.0</v>
      </c>
      <c r="C70" s="57" t="str">
        <f t="shared" si="2"/>
        <v>01-14-TS11-2026/TS-AVP/ĐĐHHH-CT00063</v>
      </c>
      <c r="D70" s="51" t="s">
        <v>301</v>
      </c>
      <c r="E70" s="37" t="s">
        <v>302</v>
      </c>
      <c r="F70" s="74" t="s">
        <v>309</v>
      </c>
      <c r="G70" s="37" t="s">
        <v>310</v>
      </c>
      <c r="H70" s="63">
        <v>300.0</v>
      </c>
      <c r="I70" s="63"/>
      <c r="J70" s="63">
        <f>SUMIFS('SỔ CHI TIẾT BÁN HÀNG'!$G$5:$G$2062,'SỔ CHI TIẾT BÁN HÀNG'!$C$5:$C$2062,'Đơn đặt'!F70,'SỔ CHI TIẾT BÁN HÀNG'!$L$5:$L$2062,'Đơn đặt'!C70)</f>
        <v>300</v>
      </c>
      <c r="K70" s="63">
        <f t="shared" si="3"/>
        <v>0</v>
      </c>
      <c r="L70" s="63"/>
      <c r="M70" s="72">
        <f>IF(E70="Hàng SX",0,SUMIFS('SỔ CHI TIẾT BÁN HÀNG'!$Q$5:$Q$2863,'SỔ CHI TIẾT BÁN HÀNG'!$C$5:$C$2863,'Đơn đặt'!F70,'SỔ CHI TIẾT BÁN HÀNG'!$N$5:$N$2863,'Đơn đặt'!E70))</f>
        <v>300</v>
      </c>
      <c r="N70" s="72">
        <f t="shared" si="4"/>
        <v>0</v>
      </c>
      <c r="O70" s="74"/>
      <c r="P70" s="74" t="s">
        <v>80</v>
      </c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hidden="1" customHeight="1">
      <c r="A71" s="51" t="s">
        <v>186</v>
      </c>
      <c r="B71" s="53">
        <v>46043.0</v>
      </c>
      <c r="C71" s="57" t="str">
        <f t="shared" si="2"/>
        <v>01-14-TS12-2026/TS-AVP/ĐĐHHH-CT00006</v>
      </c>
      <c r="D71" s="51" t="s">
        <v>301</v>
      </c>
      <c r="E71" s="37" t="s">
        <v>312</v>
      </c>
      <c r="F71" s="74" t="s">
        <v>35</v>
      </c>
      <c r="G71" s="37" t="s">
        <v>34</v>
      </c>
      <c r="H71" s="63">
        <v>920.0</v>
      </c>
      <c r="I71" s="63"/>
      <c r="J71" s="63">
        <f>SUMIFS('SỔ CHI TIẾT BÁN HÀNG'!$G$5:$G$2062,'SỔ CHI TIẾT BÁN HÀNG'!$C$5:$C$2062,'Đơn đặt'!F71,'SỔ CHI TIẾT BÁN HÀNG'!$L$5:$L$2062,'Đơn đặt'!C71)</f>
        <v>920</v>
      </c>
      <c r="K71" s="63">
        <f t="shared" si="3"/>
        <v>0</v>
      </c>
      <c r="L71" s="63"/>
      <c r="M71" s="72">
        <f>IF(E71="Hàng SX",0,SUMIFS('SỔ CHI TIẾT BÁN HÀNG'!$Q$5:$Q$2863,'SỔ CHI TIẾT BÁN HÀNG'!$C$5:$C$2863,'Đơn đặt'!F71,'SỔ CHI TIẾT BÁN HÀNG'!$N$5:$N$2863,'Đơn đặt'!E71))</f>
        <v>920</v>
      </c>
      <c r="N71" s="72">
        <f t="shared" si="4"/>
        <v>0</v>
      </c>
      <c r="O71" s="74"/>
      <c r="P71" s="74" t="s">
        <v>80</v>
      </c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hidden="1" customHeight="1">
      <c r="A72" s="51" t="s">
        <v>186</v>
      </c>
      <c r="B72" s="53">
        <v>46043.0</v>
      </c>
      <c r="C72" s="57" t="str">
        <f t="shared" si="2"/>
        <v>01-14-TS12-2026/TS-AVP/ĐĐHHH-CT00028</v>
      </c>
      <c r="D72" s="51" t="s">
        <v>301</v>
      </c>
      <c r="E72" s="37" t="s">
        <v>312</v>
      </c>
      <c r="F72" s="74" t="s">
        <v>21</v>
      </c>
      <c r="G72" s="37" t="s">
        <v>19</v>
      </c>
      <c r="H72" s="63">
        <v>2000.0</v>
      </c>
      <c r="I72" s="63"/>
      <c r="J72" s="63">
        <f>SUMIFS('SỔ CHI TIẾT BÁN HÀNG'!$G$5:$G$2062,'SỔ CHI TIẾT BÁN HÀNG'!$C$5:$C$2062,'Đơn đặt'!F72,'SỔ CHI TIẾT BÁN HÀNG'!$L$5:$L$2062,'Đơn đặt'!C72)</f>
        <v>2000</v>
      </c>
      <c r="K72" s="63">
        <f t="shared" si="3"/>
        <v>0</v>
      </c>
      <c r="L72" s="63"/>
      <c r="M72" s="72">
        <f>IF(E72="Hàng SX",0,SUMIFS('SỔ CHI TIẾT BÁN HÀNG'!$Q$5:$Q$2863,'SỔ CHI TIẾT BÁN HÀNG'!$C$5:$C$2863,'Đơn đặt'!F72,'SỔ CHI TIẾT BÁN HÀNG'!$N$5:$N$2863,'Đơn đặt'!E72))</f>
        <v>2000</v>
      </c>
      <c r="N72" s="72">
        <f t="shared" si="4"/>
        <v>0</v>
      </c>
      <c r="O72" s="74"/>
      <c r="P72" s="74" t="s">
        <v>80</v>
      </c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hidden="1" customHeight="1">
      <c r="A73" s="51" t="s">
        <v>186</v>
      </c>
      <c r="B73" s="53">
        <v>46043.0</v>
      </c>
      <c r="C73" s="57" t="str">
        <f t="shared" si="2"/>
        <v>01-14-TS12-2026/TS-AVP/ĐĐHHH-CT00027</v>
      </c>
      <c r="D73" s="51" t="s">
        <v>301</v>
      </c>
      <c r="E73" s="37" t="s">
        <v>312</v>
      </c>
      <c r="F73" s="74" t="s">
        <v>316</v>
      </c>
      <c r="G73" s="37" t="s">
        <v>317</v>
      </c>
      <c r="H73" s="63">
        <v>200.0</v>
      </c>
      <c r="I73" s="63"/>
      <c r="J73" s="63">
        <f>SUMIFS('SỔ CHI TIẾT BÁN HÀNG'!$G$5:$G$2062,'SỔ CHI TIẾT BÁN HÀNG'!$C$5:$C$2062,'Đơn đặt'!F73,'SỔ CHI TIẾT BÁN HÀNG'!$L$5:$L$2062,'Đơn đặt'!C73)</f>
        <v>200</v>
      </c>
      <c r="K73" s="63">
        <f t="shared" si="3"/>
        <v>0</v>
      </c>
      <c r="L73" s="63"/>
      <c r="M73" s="72">
        <f>IF(E73="Hàng SX",0,SUMIFS('SỔ CHI TIẾT BÁN HÀNG'!$Q$5:$Q$2863,'SỔ CHI TIẾT BÁN HÀNG'!$C$5:$C$2863,'Đơn đặt'!F73,'SỔ CHI TIẾT BÁN HÀNG'!$N$5:$N$2863,'Đơn đặt'!E73))</f>
        <v>200</v>
      </c>
      <c r="N73" s="72">
        <f t="shared" si="4"/>
        <v>0</v>
      </c>
      <c r="O73" s="74"/>
      <c r="P73" s="74" t="s">
        <v>80</v>
      </c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hidden="1" customHeight="1">
      <c r="A74" s="51" t="s">
        <v>186</v>
      </c>
      <c r="B74" s="53">
        <v>46043.0</v>
      </c>
      <c r="C74" s="57" t="str">
        <f t="shared" si="2"/>
        <v>01-14-TS12-2026/TS-AVP/ĐĐHHH-CT00131</v>
      </c>
      <c r="D74" s="51" t="s">
        <v>301</v>
      </c>
      <c r="E74" s="37" t="s">
        <v>312</v>
      </c>
      <c r="F74" s="74" t="s">
        <v>59</v>
      </c>
      <c r="G74" s="37" t="s">
        <v>58</v>
      </c>
      <c r="H74" s="63">
        <v>22590.0</v>
      </c>
      <c r="I74" s="63"/>
      <c r="J74" s="63">
        <f>SUMIFS('SỔ CHI TIẾT BÁN HÀNG'!$G$5:$G$2062,'SỔ CHI TIẾT BÁN HÀNG'!$C$5:$C$2062,'Đơn đặt'!F74,'SỔ CHI TIẾT BÁN HÀNG'!$L$5:$L$2062,'Đơn đặt'!C74)</f>
        <v>22590</v>
      </c>
      <c r="K74" s="63">
        <f t="shared" si="3"/>
        <v>0</v>
      </c>
      <c r="L74" s="63"/>
      <c r="M74" s="72">
        <f>IF(E74="Hàng SX",0,SUMIFS('SỔ CHI TIẾT BÁN HÀNG'!$Q$5:$Q$2863,'SỔ CHI TIẾT BÁN HÀNG'!$C$5:$C$2863,'Đơn đặt'!F74,'SỔ CHI TIẾT BÁN HÀNG'!$N$5:$N$2863,'Đơn đặt'!E74))</f>
        <v>22590</v>
      </c>
      <c r="N74" s="72">
        <f t="shared" si="4"/>
        <v>0</v>
      </c>
      <c r="O74" s="74"/>
      <c r="P74" s="74" t="s">
        <v>80</v>
      </c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hidden="1" customHeight="1">
      <c r="A75" s="51" t="s">
        <v>186</v>
      </c>
      <c r="B75" s="53">
        <v>46043.0</v>
      </c>
      <c r="C75" s="57" t="str">
        <f t="shared" si="2"/>
        <v>01-14-TS12-2026/TS-AVP/ĐĐHHH-CT00036</v>
      </c>
      <c r="D75" s="51" t="s">
        <v>301</v>
      </c>
      <c r="E75" s="37" t="s">
        <v>312</v>
      </c>
      <c r="F75" s="74" t="s">
        <v>14</v>
      </c>
      <c r="G75" s="37" t="s">
        <v>13</v>
      </c>
      <c r="H75" s="63">
        <v>13730.0</v>
      </c>
      <c r="I75" s="63"/>
      <c r="J75" s="63">
        <f>SUMIFS('SỔ CHI TIẾT BÁN HÀNG'!$G$5:$G$2062,'SỔ CHI TIẾT BÁN HÀNG'!$C$5:$C$2062,'Đơn đặt'!F75,'SỔ CHI TIẾT BÁN HÀNG'!$L$5:$L$2062,'Đơn đặt'!C75)</f>
        <v>13730</v>
      </c>
      <c r="K75" s="63">
        <f t="shared" si="3"/>
        <v>0</v>
      </c>
      <c r="L75" s="63"/>
      <c r="M75" s="72">
        <f>IF(E75="Hàng SX",0,SUMIFS('SỔ CHI TIẾT BÁN HÀNG'!$Q$5:$Q$2863,'SỔ CHI TIẾT BÁN HÀNG'!$C$5:$C$2863,'Đơn đặt'!F75,'SỔ CHI TIẾT BÁN HÀNG'!$N$5:$N$2863,'Đơn đặt'!E75))</f>
        <v>13730</v>
      </c>
      <c r="N75" s="72">
        <f t="shared" si="4"/>
        <v>0</v>
      </c>
      <c r="O75" s="74"/>
      <c r="P75" s="74" t="s">
        <v>80</v>
      </c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hidden="1" customHeight="1">
      <c r="A76" s="51" t="s">
        <v>186</v>
      </c>
      <c r="B76" s="53">
        <v>46043.0</v>
      </c>
      <c r="C76" s="57" t="str">
        <f t="shared" si="2"/>
        <v>01-14-TS12-2026/TS-AVP/ĐĐHHH-CT00005</v>
      </c>
      <c r="D76" s="51" t="s">
        <v>301</v>
      </c>
      <c r="E76" s="37" t="s">
        <v>312</v>
      </c>
      <c r="F76" s="74" t="s">
        <v>38</v>
      </c>
      <c r="G76" s="37" t="s">
        <v>36</v>
      </c>
      <c r="H76" s="63">
        <v>3910.0</v>
      </c>
      <c r="I76" s="63"/>
      <c r="J76" s="63">
        <f>SUMIFS('SỔ CHI TIẾT BÁN HÀNG'!$G$5:$G$2062,'SỔ CHI TIẾT BÁN HÀNG'!$C$5:$C$2062,'Đơn đặt'!F76,'SỔ CHI TIẾT BÁN HÀNG'!$L$5:$L$2062,'Đơn đặt'!C76)</f>
        <v>3910</v>
      </c>
      <c r="K76" s="63">
        <f t="shared" si="3"/>
        <v>0</v>
      </c>
      <c r="L76" s="63"/>
      <c r="M76" s="72">
        <f>IF(E76="Hàng SX",0,SUMIFS('SỔ CHI TIẾT BÁN HÀNG'!$Q$5:$Q$2863,'SỔ CHI TIẾT BÁN HÀNG'!$C$5:$C$2863,'Đơn đặt'!F76,'SỔ CHI TIẾT BÁN HÀNG'!$N$5:$N$2863,'Đơn đặt'!E76))</f>
        <v>3910</v>
      </c>
      <c r="N76" s="72">
        <f t="shared" si="4"/>
        <v>0</v>
      </c>
      <c r="O76" s="74"/>
      <c r="P76" s="74" t="s">
        <v>80</v>
      </c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hidden="1" customHeight="1">
      <c r="A77" s="51" t="s">
        <v>186</v>
      </c>
      <c r="B77" s="53">
        <v>46043.0</v>
      </c>
      <c r="C77" s="57" t="str">
        <f t="shared" si="2"/>
        <v>01-14-TS12-2026/TS-AVP/ĐĐHHH-CT00083</v>
      </c>
      <c r="D77" s="51" t="s">
        <v>301</v>
      </c>
      <c r="E77" s="37" t="s">
        <v>312</v>
      </c>
      <c r="F77" s="74" t="s">
        <v>247</v>
      </c>
      <c r="G77" s="37" t="s">
        <v>249</v>
      </c>
      <c r="H77" s="63">
        <v>1250.0</v>
      </c>
      <c r="I77" s="63"/>
      <c r="J77" s="63">
        <f>SUMIFS('SỔ CHI TIẾT BÁN HÀNG'!$G$5:$G$2062,'SỔ CHI TIẾT BÁN HÀNG'!$C$5:$C$2062,'Đơn đặt'!F77,'SỔ CHI TIẾT BÁN HÀNG'!$L$5:$L$2062,'Đơn đặt'!C77)</f>
        <v>1250</v>
      </c>
      <c r="K77" s="63">
        <f t="shared" si="3"/>
        <v>0</v>
      </c>
      <c r="L77" s="63"/>
      <c r="M77" s="72">
        <f>IF(E77="Hàng SX",0,SUMIFS('SỔ CHI TIẾT BÁN HÀNG'!$Q$5:$Q$2863,'SỔ CHI TIẾT BÁN HÀNG'!$C$5:$C$2863,'Đơn đặt'!F77,'SỔ CHI TIẾT BÁN HÀNG'!$N$5:$N$2863,'Đơn đặt'!E77))</f>
        <v>1250</v>
      </c>
      <c r="N77" s="72">
        <f t="shared" si="4"/>
        <v>0</v>
      </c>
      <c r="O77" s="74"/>
      <c r="P77" s="74" t="s">
        <v>80</v>
      </c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hidden="1" customHeight="1">
      <c r="A78" s="51" t="s">
        <v>186</v>
      </c>
      <c r="B78" s="53">
        <v>46043.0</v>
      </c>
      <c r="C78" s="57" t="str">
        <f t="shared" si="2"/>
        <v>01-14-TS12-2026/TS-AVP/ĐĐHHH-CT00077</v>
      </c>
      <c r="D78" s="51" t="s">
        <v>301</v>
      </c>
      <c r="E78" s="37" t="s">
        <v>312</v>
      </c>
      <c r="F78" s="59" t="s">
        <v>329</v>
      </c>
      <c r="G78" s="37" t="s">
        <v>330</v>
      </c>
      <c r="H78" s="63">
        <v>1210.0</v>
      </c>
      <c r="I78" s="63"/>
      <c r="J78" s="63">
        <f>SUMIFS('SỔ CHI TIẾT BÁN HÀNG'!$G$5:$G$2062,'SỔ CHI TIẾT BÁN HÀNG'!$C$5:$C$2062,'Đơn đặt'!F78,'SỔ CHI TIẾT BÁN HÀNG'!$L$5:$L$2062,'Đơn đặt'!C78)</f>
        <v>1210</v>
      </c>
      <c r="K78" s="63">
        <f t="shared" si="3"/>
        <v>0</v>
      </c>
      <c r="L78" s="63"/>
      <c r="M78" s="72">
        <f>IF(E78="Hàng SX",0,SUMIFS('SỔ CHI TIẾT BÁN HÀNG'!$Q$5:$Q$2863,'SỔ CHI TIẾT BÁN HÀNG'!$C$5:$C$2863,'Đơn đặt'!F78,'SỔ CHI TIẾT BÁN HÀNG'!$N$5:$N$2863,'Đơn đặt'!E78))</f>
        <v>1210</v>
      </c>
      <c r="N78" s="72">
        <f t="shared" si="4"/>
        <v>0</v>
      </c>
      <c r="O78" s="74"/>
      <c r="P78" s="74" t="s">
        <v>80</v>
      </c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hidden="1" customHeight="1">
      <c r="A79" s="51" t="s">
        <v>186</v>
      </c>
      <c r="B79" s="53">
        <v>46043.0</v>
      </c>
      <c r="C79" s="57" t="str">
        <f t="shared" si="2"/>
        <v>01-14-TS12-2026/TS-AVP/ĐĐHHH-CT00081</v>
      </c>
      <c r="D79" s="51" t="s">
        <v>301</v>
      </c>
      <c r="E79" s="37" t="s">
        <v>312</v>
      </c>
      <c r="F79" s="74" t="s">
        <v>17</v>
      </c>
      <c r="G79" s="37" t="s">
        <v>16</v>
      </c>
      <c r="H79" s="63">
        <v>860.0</v>
      </c>
      <c r="I79" s="63"/>
      <c r="J79" s="63">
        <f>SUMIFS('SỔ CHI TIẾT BÁN HÀNG'!$G$5:$G$2062,'SỔ CHI TIẾT BÁN HÀNG'!$C$5:$C$2062,'Đơn đặt'!F79,'SỔ CHI TIẾT BÁN HÀNG'!$L$5:$L$2062,'Đơn đặt'!C79)</f>
        <v>860</v>
      </c>
      <c r="K79" s="63">
        <f t="shared" si="3"/>
        <v>0</v>
      </c>
      <c r="L79" s="63"/>
      <c r="M79" s="72">
        <f>IF(E79="Hàng SX",0,SUMIFS('SỔ CHI TIẾT BÁN HÀNG'!$Q$5:$Q$2863,'SỔ CHI TIẾT BÁN HÀNG'!$C$5:$C$2863,'Đơn đặt'!F79,'SỔ CHI TIẾT BÁN HÀNG'!$N$5:$N$2863,'Đơn đặt'!E79))</f>
        <v>860</v>
      </c>
      <c r="N79" s="72">
        <f t="shared" si="4"/>
        <v>0</v>
      </c>
      <c r="O79" s="74"/>
      <c r="P79" s="74" t="s">
        <v>80</v>
      </c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hidden="1" customHeight="1">
      <c r="A80" s="51" t="s">
        <v>186</v>
      </c>
      <c r="B80" s="53">
        <v>46043.0</v>
      </c>
      <c r="C80" s="57" t="str">
        <f t="shared" si="2"/>
        <v>01-14-TS13-2026/TS-AVP/ĐĐHHH-CT00072</v>
      </c>
      <c r="D80" s="51" t="s">
        <v>301</v>
      </c>
      <c r="E80" s="37" t="s">
        <v>338</v>
      </c>
      <c r="F80" s="74" t="s">
        <v>55</v>
      </c>
      <c r="G80" s="37" t="s">
        <v>53</v>
      </c>
      <c r="H80" s="63">
        <v>7960.0</v>
      </c>
      <c r="I80" s="63"/>
      <c r="J80" s="63">
        <f>SUMIFS('SỔ CHI TIẾT BÁN HÀNG'!$G$5:$G$2062,'SỔ CHI TIẾT BÁN HÀNG'!$C$5:$C$2062,'Đơn đặt'!F80,'SỔ CHI TIẾT BÁN HÀNG'!$L$5:$L$2062,'Đơn đặt'!C80)</f>
        <v>7960</v>
      </c>
      <c r="K80" s="63">
        <f t="shared" si="3"/>
        <v>0</v>
      </c>
      <c r="L80" s="63"/>
      <c r="M80" s="72">
        <f>IF(E80="Hàng SX",0,SUMIFS('SỔ CHI TIẾT BÁN HÀNG'!$Q$5:$Q$2863,'SỔ CHI TIẾT BÁN HÀNG'!$C$5:$C$2863,'Đơn đặt'!F80,'SỔ CHI TIẾT BÁN HÀNG'!$N$5:$N$2863,'Đơn đặt'!E80))</f>
        <v>7960</v>
      </c>
      <c r="N80" s="72">
        <f t="shared" si="4"/>
        <v>0</v>
      </c>
      <c r="O80" s="74"/>
      <c r="P80" s="74" t="s">
        <v>80</v>
      </c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hidden="1" customHeight="1">
      <c r="A81" s="51" t="s">
        <v>186</v>
      </c>
      <c r="B81" s="53">
        <v>46043.0</v>
      </c>
      <c r="C81" s="57" t="str">
        <f t="shared" si="2"/>
        <v>02-07/TS-LP14-2026/TS-AVP/ĐĐHHH-CT00112</v>
      </c>
      <c r="D81" s="51" t="s">
        <v>339</v>
      </c>
      <c r="E81" s="37" t="s">
        <v>340</v>
      </c>
      <c r="F81" s="59" t="s">
        <v>11</v>
      </c>
      <c r="G81" s="61" t="s">
        <v>10</v>
      </c>
      <c r="H81" s="63">
        <v>45000.0</v>
      </c>
      <c r="I81" s="63"/>
      <c r="J81" s="63">
        <f>SUMIFS('SỔ CHI TIẾT BÁN HÀNG'!$G$5:$G$2062,'SỔ CHI TIẾT BÁN HÀNG'!$C$5:$C$2062,'Đơn đặt'!F81,'SỔ CHI TIẾT BÁN HÀNG'!$L$5:$L$2062,'Đơn đặt'!C81)</f>
        <v>45000</v>
      </c>
      <c r="K81" s="63">
        <f t="shared" si="3"/>
        <v>0</v>
      </c>
      <c r="L81" s="63"/>
      <c r="M81" s="72">
        <f>IF(E81="Hàng SX",0,SUMIFS('SỔ CHI TIẾT BÁN HÀNG'!$Q$5:$Q$2863,'SỔ CHI TIẾT BÁN HÀNG'!$C$5:$C$2863,'Đơn đặt'!F81,'SỔ CHI TIẾT BÁN HÀNG'!$N$5:$N$2863,'Đơn đặt'!E81))</f>
        <v>45000</v>
      </c>
      <c r="N81" s="72">
        <f t="shared" si="4"/>
        <v>0</v>
      </c>
      <c r="O81" s="74"/>
      <c r="P81" s="74" t="s">
        <v>80</v>
      </c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hidden="1" customHeight="1">
      <c r="A82" s="51" t="s">
        <v>186</v>
      </c>
      <c r="B82" s="53">
        <v>46043.0</v>
      </c>
      <c r="C82" s="57" t="str">
        <f t="shared" si="2"/>
        <v>02-07/TS-LP14-2026/TS-AVP/ĐĐHHH-CT00111</v>
      </c>
      <c r="D82" s="51" t="s">
        <v>339</v>
      </c>
      <c r="E82" s="37" t="s">
        <v>340</v>
      </c>
      <c r="F82" s="74" t="s">
        <v>344</v>
      </c>
      <c r="G82" s="37" t="s">
        <v>345</v>
      </c>
      <c r="H82" s="63">
        <v>17000.0</v>
      </c>
      <c r="I82" s="63"/>
      <c r="J82" s="63">
        <f>SUMIFS('SỔ CHI TIẾT BÁN HÀNG'!$G$5:$G$2062,'SỔ CHI TIẾT BÁN HÀNG'!$C$5:$C$2062,'Đơn đặt'!F82,'SỔ CHI TIẾT BÁN HÀNG'!$L$5:$L$2062,'Đơn đặt'!C82)</f>
        <v>17000</v>
      </c>
      <c r="K82" s="63">
        <f t="shared" si="3"/>
        <v>0</v>
      </c>
      <c r="L82" s="63"/>
      <c r="M82" s="72">
        <f>IF(E82="Hàng SX",0,SUMIFS('SỔ CHI TIẾT BÁN HÀNG'!$Q$5:$Q$2863,'SỔ CHI TIẾT BÁN HÀNG'!$C$5:$C$2863,'Đơn đặt'!F82,'SỔ CHI TIẾT BÁN HÀNG'!$N$5:$N$2863,'Đơn đặt'!E82))</f>
        <v>17000</v>
      </c>
      <c r="N82" s="72">
        <f t="shared" si="4"/>
        <v>0</v>
      </c>
      <c r="O82" s="74"/>
      <c r="P82" s="74" t="s">
        <v>80</v>
      </c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hidden="1" customHeight="1">
      <c r="A83" s="51" t="s">
        <v>186</v>
      </c>
      <c r="B83" s="53">
        <v>46043.0</v>
      </c>
      <c r="C83" s="57" t="str">
        <f t="shared" si="2"/>
        <v>02-07/TS-LP14-2026/TS-AVP/ĐĐHHH-CT00110</v>
      </c>
      <c r="D83" s="51" t="s">
        <v>339</v>
      </c>
      <c r="E83" s="37" t="s">
        <v>340</v>
      </c>
      <c r="F83" s="74" t="s">
        <v>348</v>
      </c>
      <c r="G83" s="37" t="s">
        <v>349</v>
      </c>
      <c r="H83" s="63">
        <v>24000.0</v>
      </c>
      <c r="I83" s="63"/>
      <c r="J83" s="63">
        <f>SUMIFS('SỔ CHI TIẾT BÁN HÀNG'!$G$5:$G$2062,'SỔ CHI TIẾT BÁN HÀNG'!$C$5:$C$2062,'Đơn đặt'!F83,'SỔ CHI TIẾT BÁN HÀNG'!$L$5:$L$2062,'Đơn đặt'!C83)</f>
        <v>24000</v>
      </c>
      <c r="K83" s="63">
        <f t="shared" si="3"/>
        <v>0</v>
      </c>
      <c r="L83" s="63"/>
      <c r="M83" s="72">
        <f>IF(E83="Hàng SX",0,SUMIFS('SỔ CHI TIẾT BÁN HÀNG'!$Q$5:$Q$2863,'SỔ CHI TIẾT BÁN HÀNG'!$C$5:$C$2863,'Đơn đặt'!F83,'SỔ CHI TIẾT BÁN HÀNG'!$N$5:$N$2863,'Đơn đặt'!E83))</f>
        <v>24000</v>
      </c>
      <c r="N83" s="72">
        <f t="shared" si="4"/>
        <v>0</v>
      </c>
      <c r="O83" s="74"/>
      <c r="P83" s="74" t="s">
        <v>80</v>
      </c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hidden="1" customHeight="1">
      <c r="A84" s="51" t="s">
        <v>186</v>
      </c>
      <c r="B84" s="53">
        <v>46043.0</v>
      </c>
      <c r="C84" s="57" t="str">
        <f t="shared" si="2"/>
        <v>02-07/TS-LP15-2026/TS-AVP/ĐĐHHH-NT00014</v>
      </c>
      <c r="D84" s="51" t="s">
        <v>339</v>
      </c>
      <c r="E84" s="37" t="s">
        <v>352</v>
      </c>
      <c r="F84" s="74" t="s">
        <v>353</v>
      </c>
      <c r="G84" s="37" t="s">
        <v>354</v>
      </c>
      <c r="H84" s="63">
        <v>200000.0</v>
      </c>
      <c r="I84" s="63"/>
      <c r="J84" s="63">
        <f>SUMIFS('SỔ CHI TIẾT BÁN HÀNG'!$G$5:$G$2062,'SỔ CHI TIẾT BÁN HÀNG'!$C$5:$C$2062,'Đơn đặt'!F84,'SỔ CHI TIẾT BÁN HÀNG'!$L$5:$L$2062,'Đơn đặt'!C84)</f>
        <v>200000</v>
      </c>
      <c r="K84" s="63">
        <f t="shared" si="3"/>
        <v>0</v>
      </c>
      <c r="L84" s="63"/>
      <c r="M84" s="72">
        <f>IF(E84="Hàng SX",0,SUMIFS('SỔ CHI TIẾT BÁN HÀNG'!$Q$5:$Q$2863,'SỔ CHI TIẾT BÁN HÀNG'!$C$5:$C$2863,'Đơn đặt'!F84,'SỔ CHI TIẾT BÁN HÀNG'!$N$5:$N$2863,'Đơn đặt'!E84))</f>
        <v>200000</v>
      </c>
      <c r="N84" s="72">
        <f t="shared" si="4"/>
        <v>0</v>
      </c>
      <c r="O84" s="74"/>
      <c r="P84" s="74" t="s">
        <v>80</v>
      </c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hidden="1" customHeight="1">
      <c r="A85" s="51" t="s">
        <v>186</v>
      </c>
      <c r="B85" s="53">
        <v>46043.0</v>
      </c>
      <c r="C85" s="57" t="str">
        <f t="shared" si="2"/>
        <v>02-07/TS-LP15-2026/TS-AVP/ĐĐHHH-NT00013</v>
      </c>
      <c r="D85" s="51" t="s">
        <v>339</v>
      </c>
      <c r="E85" s="37" t="s">
        <v>352</v>
      </c>
      <c r="F85" s="74" t="s">
        <v>6</v>
      </c>
      <c r="G85" s="37" t="s">
        <v>358</v>
      </c>
      <c r="H85" s="63">
        <v>600000.0</v>
      </c>
      <c r="I85" s="63"/>
      <c r="J85" s="63">
        <f>SUMIFS('SỔ CHI TIẾT BÁN HÀNG'!$G$5:$G$2062,'SỔ CHI TIẾT BÁN HÀNG'!$C$5:$C$2062,'Đơn đặt'!F85,'SỔ CHI TIẾT BÁN HÀNG'!$L$5:$L$2062,'Đơn đặt'!C85)</f>
        <v>600000</v>
      </c>
      <c r="K85" s="63">
        <f t="shared" si="3"/>
        <v>0</v>
      </c>
      <c r="L85" s="63"/>
      <c r="M85" s="72">
        <f>IF(E85="Hàng SX",0,SUMIFS('SỔ CHI TIẾT BÁN HÀNG'!$Q$5:$Q$2863,'SỔ CHI TIẾT BÁN HÀNG'!$C$5:$C$2863,'Đơn đặt'!F85,'SỔ CHI TIẾT BÁN HÀNG'!$N$5:$N$2863,'Đơn đặt'!E85))</f>
        <v>600000</v>
      </c>
      <c r="N85" s="72">
        <f t="shared" si="4"/>
        <v>0</v>
      </c>
      <c r="O85" s="74"/>
      <c r="P85" s="74" t="s">
        <v>80</v>
      </c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hidden="1" customHeight="1">
      <c r="A86" s="51" t="s">
        <v>186</v>
      </c>
      <c r="B86" s="53">
        <v>46043.0</v>
      </c>
      <c r="C86" s="57" t="str">
        <f t="shared" si="2"/>
        <v>02-07/TS-LP15-2026/TS-AVP/ĐĐHHH-NT00011</v>
      </c>
      <c r="D86" s="51" t="s">
        <v>339</v>
      </c>
      <c r="E86" s="37" t="s">
        <v>352</v>
      </c>
      <c r="F86" s="74" t="s">
        <v>9</v>
      </c>
      <c r="G86" s="37" t="s">
        <v>361</v>
      </c>
      <c r="H86" s="63">
        <v>1000000.0</v>
      </c>
      <c r="I86" s="63"/>
      <c r="J86" s="63">
        <f>SUMIFS('SỔ CHI TIẾT BÁN HÀNG'!$G$5:$G$2062,'SỔ CHI TIẾT BÁN HÀNG'!$C$5:$C$2062,'Đơn đặt'!F86,'SỔ CHI TIẾT BÁN HÀNG'!$L$5:$L$2062,'Đơn đặt'!C86)</f>
        <v>1000000</v>
      </c>
      <c r="K86" s="63">
        <f t="shared" si="3"/>
        <v>0</v>
      </c>
      <c r="L86" s="63"/>
      <c r="M86" s="72">
        <f>IF(E86="Hàng SX",0,SUMIFS('SỔ CHI TIẾT BÁN HÀNG'!$Q$5:$Q$2863,'SỔ CHI TIẾT BÁN HÀNG'!$C$5:$C$2863,'Đơn đặt'!F86,'SỔ CHI TIẾT BÁN HÀNG'!$N$5:$N$2863,'Đơn đặt'!E86))</f>
        <v>1000000</v>
      </c>
      <c r="N86" s="72">
        <f t="shared" si="4"/>
        <v>0</v>
      </c>
      <c r="O86" s="74"/>
      <c r="P86" s="74" t="s">
        <v>80</v>
      </c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hidden="1" customHeight="1">
      <c r="A87" s="51" t="s">
        <v>186</v>
      </c>
      <c r="B87" s="53">
        <v>46043.0</v>
      </c>
      <c r="C87" s="57" t="str">
        <f t="shared" si="2"/>
        <v>01-13-TS16-2026/TS-AVP/ĐĐHHH-CT00064</v>
      </c>
      <c r="D87" s="51" t="s">
        <v>362</v>
      </c>
      <c r="E87" s="37" t="s">
        <v>363</v>
      </c>
      <c r="F87" s="59" t="s">
        <v>77</v>
      </c>
      <c r="G87" s="37" t="s">
        <v>364</v>
      </c>
      <c r="H87" s="63">
        <v>9685.0</v>
      </c>
      <c r="I87" s="63"/>
      <c r="J87" s="63">
        <f>SUMIFS('SỔ CHI TIẾT BÁN HÀNG'!$G$5:$G$2062,'SỔ CHI TIẾT BÁN HÀNG'!$C$5:$C$2062,'Đơn đặt'!F87,'SỔ CHI TIẾT BÁN HÀNG'!$L$5:$L$2062,'Đơn đặt'!C87)</f>
        <v>9685</v>
      </c>
      <c r="K87" s="63">
        <f t="shared" si="3"/>
        <v>0</v>
      </c>
      <c r="L87" s="63"/>
      <c r="M87" s="72">
        <f>IF(E87="Hàng SX",0,SUMIFS('SỔ CHI TIẾT BÁN HÀNG'!$Q$5:$Q$2863,'SỔ CHI TIẾT BÁN HÀNG'!$C$5:$C$2863,'Đơn đặt'!F87,'SỔ CHI TIẾT BÁN HÀNG'!$N$5:$N$2863,'Đơn đặt'!E87))</f>
        <v>9685</v>
      </c>
      <c r="N87" s="72">
        <f t="shared" si="4"/>
        <v>0</v>
      </c>
      <c r="O87" s="74"/>
      <c r="P87" s="74" t="s">
        <v>80</v>
      </c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hidden="1" customHeight="1">
      <c r="A88" s="51" t="s">
        <v>186</v>
      </c>
      <c r="B88" s="53">
        <v>46044.0</v>
      </c>
      <c r="C88" s="57" t="str">
        <f t="shared" si="2"/>
        <v>02-10/TS-LP17-2026/TS-AVP/ĐĐHTP-PE00002</v>
      </c>
      <c r="D88" s="51" t="s">
        <v>367</v>
      </c>
      <c r="E88" s="37" t="s">
        <v>368</v>
      </c>
      <c r="F88" s="59" t="s">
        <v>299</v>
      </c>
      <c r="G88" s="37" t="s">
        <v>300</v>
      </c>
      <c r="H88" s="63">
        <v>1000.0</v>
      </c>
      <c r="I88" s="63"/>
      <c r="J88" s="63">
        <f>SUMIFS('SỔ CHI TIẾT BÁN HÀNG'!$G$5:$G$2062,'SỔ CHI TIẾT BÁN HÀNG'!$C$5:$C$2062,'Đơn đặt'!F88,'SỔ CHI TIẾT BÁN HÀNG'!$L$5:$L$2062,'Đơn đặt'!C88)</f>
        <v>1000</v>
      </c>
      <c r="K88" s="63">
        <f t="shared" si="3"/>
        <v>0</v>
      </c>
      <c r="L88" s="63"/>
      <c r="M88" s="72">
        <f>IF(E88="Hàng SX",0,SUMIFS('SỔ CHI TIẾT BÁN HÀNG'!$Q$5:$Q$2863,'SỔ CHI TIẾT BÁN HÀNG'!$C$5:$C$2863,'Đơn đặt'!F88,'SỔ CHI TIẾT BÁN HÀNG'!$N$5:$N$2863,'Đơn đặt'!E88))</f>
        <v>1000</v>
      </c>
      <c r="N88" s="72">
        <f t="shared" si="4"/>
        <v>0</v>
      </c>
      <c r="O88" s="74"/>
      <c r="P88" s="74" t="s">
        <v>80</v>
      </c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hidden="1" customHeight="1">
      <c r="A89" s="51" t="s">
        <v>186</v>
      </c>
      <c r="B89" s="53">
        <v>46051.0</v>
      </c>
      <c r="C89" s="57" t="str">
        <f t="shared" si="2"/>
        <v>02-19/TS-LP18-2026/TS-AVP/ĐĐHTP-PE00001</v>
      </c>
      <c r="D89" s="51" t="s">
        <v>373</v>
      </c>
      <c r="E89" s="37" t="s">
        <v>374</v>
      </c>
      <c r="F89" s="59" t="s">
        <v>3</v>
      </c>
      <c r="G89" s="37" t="s">
        <v>215</v>
      </c>
      <c r="H89" s="63">
        <v>12000.0</v>
      </c>
      <c r="I89" s="63"/>
      <c r="J89" s="63">
        <f>SUMIFS('SỔ CHI TIẾT BÁN HÀNG'!$G$5:$G$2062,'SỔ CHI TIẾT BÁN HÀNG'!$C$5:$C$2062,'Đơn đặt'!F89,'SỔ CHI TIẾT BÁN HÀNG'!$L$5:$L$2062,'Đơn đặt'!C89)</f>
        <v>12000</v>
      </c>
      <c r="K89" s="63">
        <f t="shared" si="3"/>
        <v>0</v>
      </c>
      <c r="L89" s="63"/>
      <c r="M89" s="72">
        <f>IF(E89="Hàng SX",0,SUMIFS('SỔ CHI TIẾT BÁN HÀNG'!$Q$5:$Q$2863,'SỔ CHI TIẾT BÁN HÀNG'!$C$5:$C$2863,'Đơn đặt'!F89,'SỔ CHI TIẾT BÁN HÀNG'!$N$5:$N$2863,'Đơn đặt'!E89))</f>
        <v>12000</v>
      </c>
      <c r="N89" s="72">
        <f t="shared" si="4"/>
        <v>0</v>
      </c>
      <c r="O89" s="74"/>
      <c r="P89" s="74" t="s">
        <v>80</v>
      </c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hidden="1" customHeight="1">
      <c r="A90" s="51" t="s">
        <v>186</v>
      </c>
      <c r="B90" s="53">
        <v>46051.0</v>
      </c>
      <c r="C90" s="57" t="str">
        <f t="shared" si="2"/>
        <v>02-19/TS-LP19-2026/TS-AVP/ĐĐHTP-PE00004</v>
      </c>
      <c r="D90" s="51" t="s">
        <v>373</v>
      </c>
      <c r="E90" s="37" t="s">
        <v>377</v>
      </c>
      <c r="F90" s="59" t="s">
        <v>140</v>
      </c>
      <c r="G90" s="37" t="s">
        <v>211</v>
      </c>
      <c r="H90" s="63">
        <v>3000.0</v>
      </c>
      <c r="I90" s="63"/>
      <c r="J90" s="63">
        <f>SUMIFS('SỔ CHI TIẾT BÁN HÀNG'!$G$5:$G$2062,'SỔ CHI TIẾT BÁN HÀNG'!$C$5:$C$2062,'Đơn đặt'!F90,'SỔ CHI TIẾT BÁN HÀNG'!$L$5:$L$2062,'Đơn đặt'!C90)</f>
        <v>2990</v>
      </c>
      <c r="K90" s="63">
        <f t="shared" si="3"/>
        <v>10</v>
      </c>
      <c r="L90" s="63"/>
      <c r="M90" s="72">
        <f>IF(E90="Hàng SX",0,SUMIFS('SỔ CHI TIẾT BÁN HÀNG'!$Q$5:$Q$2863,'SỔ CHI TIẾT BÁN HÀNG'!$C$5:$C$2863,'Đơn đặt'!F90,'SỔ CHI TIẾT BÁN HÀNG'!$N$5:$N$2863,'Đơn đặt'!E90))</f>
        <v>2990</v>
      </c>
      <c r="N90" s="72">
        <f t="shared" si="4"/>
        <v>10</v>
      </c>
      <c r="O90" s="74"/>
      <c r="P90" s="74" t="s">
        <v>80</v>
      </c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hidden="1" customHeight="1">
      <c r="A91" s="51" t="s">
        <v>186</v>
      </c>
      <c r="B91" s="53">
        <v>46051.0</v>
      </c>
      <c r="C91" s="57" t="str">
        <f t="shared" si="2"/>
        <v>02-19/TS-LP19-2026/TS-AVP/ĐĐHTP-PE00006</v>
      </c>
      <c r="D91" s="51" t="s">
        <v>373</v>
      </c>
      <c r="E91" s="37" t="s">
        <v>377</v>
      </c>
      <c r="F91" s="59" t="s">
        <v>1</v>
      </c>
      <c r="G91" s="37" t="s">
        <v>214</v>
      </c>
      <c r="H91" s="63">
        <v>1000.0</v>
      </c>
      <c r="I91" s="63"/>
      <c r="J91" s="63">
        <f>SUMIFS('SỔ CHI TIẾT BÁN HÀNG'!$G$5:$G$2062,'SỔ CHI TIẾT BÁN HÀNG'!$C$5:$C$2062,'Đơn đặt'!F91,'SỔ CHI TIẾT BÁN HÀNG'!$L$5:$L$2062,'Đơn đặt'!C91)</f>
        <v>1000</v>
      </c>
      <c r="K91" s="63">
        <f t="shared" si="3"/>
        <v>0</v>
      </c>
      <c r="L91" s="63"/>
      <c r="M91" s="72">
        <f>IF(E91="Hàng SX",0,SUMIFS('SỔ CHI TIẾT BÁN HÀNG'!$Q$5:$Q$2863,'SỔ CHI TIẾT BÁN HÀNG'!$C$5:$C$2863,'Đơn đặt'!F91,'SỔ CHI TIẾT BÁN HÀNG'!$N$5:$N$2863,'Đơn đặt'!E91))</f>
        <v>1000</v>
      </c>
      <c r="N91" s="72">
        <f t="shared" si="4"/>
        <v>0</v>
      </c>
      <c r="O91" s="74"/>
      <c r="P91" s="74" t="s">
        <v>80</v>
      </c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hidden="1" customHeight="1">
      <c r="A92" s="51" t="s">
        <v>186</v>
      </c>
      <c r="B92" s="53">
        <v>46051.0</v>
      </c>
      <c r="C92" s="57" t="str">
        <f t="shared" si="2"/>
        <v>02-19/TS-LP19-2026/TS-AVP/ĐĐHTP-PE00001</v>
      </c>
      <c r="D92" s="51" t="s">
        <v>373</v>
      </c>
      <c r="E92" s="37" t="s">
        <v>377</v>
      </c>
      <c r="F92" s="59" t="s">
        <v>3</v>
      </c>
      <c r="G92" s="37" t="s">
        <v>215</v>
      </c>
      <c r="H92" s="63">
        <v>2000.0</v>
      </c>
      <c r="I92" s="63"/>
      <c r="J92" s="63">
        <f>SUMIFS('SỔ CHI TIẾT BÁN HÀNG'!$G$5:$G$2062,'SỔ CHI TIẾT BÁN HÀNG'!$C$5:$C$2062,'Đơn đặt'!F92,'SỔ CHI TIẾT BÁN HÀNG'!$L$5:$L$2062,'Đơn đặt'!C92)</f>
        <v>1980</v>
      </c>
      <c r="K92" s="63">
        <f t="shared" si="3"/>
        <v>20</v>
      </c>
      <c r="L92" s="63"/>
      <c r="M92" s="72">
        <f>IF(E92="Hàng SX",0,SUMIFS('SỔ CHI TIẾT BÁN HÀNG'!$Q$5:$Q$2863,'SỔ CHI TIẾT BÁN HÀNG'!$C$5:$C$2863,'Đơn đặt'!F92,'SỔ CHI TIẾT BÁN HÀNG'!$N$5:$N$2863,'Đơn đặt'!E92))</f>
        <v>1980</v>
      </c>
      <c r="N92" s="72">
        <f t="shared" si="4"/>
        <v>20</v>
      </c>
      <c r="O92" s="74"/>
      <c r="P92" s="74" t="s">
        <v>80</v>
      </c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hidden="1" customHeight="1">
      <c r="A93" s="51" t="s">
        <v>186</v>
      </c>
      <c r="B93" s="53">
        <v>46056.0</v>
      </c>
      <c r="C93" s="57" t="str">
        <f t="shared" si="2"/>
        <v>02-01-TS20-2026/TS-AVP/ĐĐHHH-CT00011</v>
      </c>
      <c r="D93" s="51" t="s">
        <v>385</v>
      </c>
      <c r="E93" s="37" t="s">
        <v>386</v>
      </c>
      <c r="F93" s="74" t="s">
        <v>387</v>
      </c>
      <c r="G93" s="37" t="s">
        <v>388</v>
      </c>
      <c r="H93" s="63">
        <v>120.0</v>
      </c>
      <c r="I93" s="63"/>
      <c r="J93" s="63">
        <f>SUMIFS('SỔ CHI TIẾT BÁN HÀNG'!$G$5:$G$2062,'SỔ CHI TIẾT BÁN HÀNG'!$C$5:$C$2062,'Đơn đặt'!F93,'SỔ CHI TIẾT BÁN HÀNG'!$L$5:$L$2062,'Đơn đặt'!C93)</f>
        <v>120</v>
      </c>
      <c r="K93" s="63">
        <f t="shared" si="3"/>
        <v>0</v>
      </c>
      <c r="L93" s="63"/>
      <c r="M93" s="72">
        <f>IF(E93="Hàng SX",0,SUMIFS('SỔ CHI TIẾT BÁN HÀNG'!$Q$5:$Q$2863,'SỔ CHI TIẾT BÁN HÀNG'!$C$5:$C$2863,'Đơn đặt'!F93,'SỔ CHI TIẾT BÁN HÀNG'!$N$5:$N$2863,'Đơn đặt'!E93))</f>
        <v>120</v>
      </c>
      <c r="N93" s="72">
        <f t="shared" si="4"/>
        <v>0</v>
      </c>
      <c r="O93" s="74"/>
      <c r="P93" s="74" t="s">
        <v>80</v>
      </c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hidden="1" customHeight="1">
      <c r="A94" s="51" t="s">
        <v>186</v>
      </c>
      <c r="B94" s="53">
        <v>46056.0</v>
      </c>
      <c r="C94" s="57" t="str">
        <f t="shared" si="2"/>
        <v>02-03-TS21-2026/TS-AVP/ĐĐHHH-CT00006</v>
      </c>
      <c r="D94" s="51" t="s">
        <v>390</v>
      </c>
      <c r="E94" s="37" t="s">
        <v>391</v>
      </c>
      <c r="F94" s="74" t="s">
        <v>35</v>
      </c>
      <c r="G94" s="37" t="s">
        <v>34</v>
      </c>
      <c r="H94" s="63">
        <v>4000.0</v>
      </c>
      <c r="I94" s="63"/>
      <c r="J94" s="63">
        <f>SUMIFS('SỔ CHI TIẾT BÁN HÀNG'!$G$5:$G$2062,'SỔ CHI TIẾT BÁN HÀNG'!$C$5:$C$2062,'Đơn đặt'!F94,'SỔ CHI TIẾT BÁN HÀNG'!$L$5:$L$2062,'Đơn đặt'!C94)</f>
        <v>4000</v>
      </c>
      <c r="K94" s="63">
        <f t="shared" si="3"/>
        <v>0</v>
      </c>
      <c r="L94" s="63"/>
      <c r="M94" s="72">
        <f>IF(E94="Hàng SX",0,SUMIFS('SỔ CHI TIẾT BÁN HÀNG'!$Q$5:$Q$2863,'SỔ CHI TIẾT BÁN HÀNG'!$C$5:$C$2863,'Đơn đặt'!F94,'SỔ CHI TIẾT BÁN HÀNG'!$N$5:$N$2863,'Đơn đặt'!E94))</f>
        <v>4000</v>
      </c>
      <c r="N94" s="72">
        <f t="shared" si="4"/>
        <v>0</v>
      </c>
      <c r="O94" s="74"/>
      <c r="P94" s="74" t="s">
        <v>80</v>
      </c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hidden="1" customHeight="1">
      <c r="A95" s="51" t="s">
        <v>186</v>
      </c>
      <c r="B95" s="53">
        <v>46056.0</v>
      </c>
      <c r="C95" s="57" t="str">
        <f t="shared" si="2"/>
        <v>02-03-TS21-2026/TS-AVP/ĐĐHHH-CT00028</v>
      </c>
      <c r="D95" s="51" t="s">
        <v>390</v>
      </c>
      <c r="E95" s="37" t="s">
        <v>391</v>
      </c>
      <c r="F95" s="74" t="s">
        <v>21</v>
      </c>
      <c r="G95" s="37" t="s">
        <v>19</v>
      </c>
      <c r="H95" s="63">
        <v>2000.0</v>
      </c>
      <c r="I95" s="63"/>
      <c r="J95" s="63">
        <f>SUMIFS('SỔ CHI TIẾT BÁN HÀNG'!$G$5:$G$2062,'SỔ CHI TIẾT BÁN HÀNG'!$C$5:$C$2062,'Đơn đặt'!F95,'SỔ CHI TIẾT BÁN HÀNG'!$L$5:$L$2062,'Đơn đặt'!C95)</f>
        <v>2000</v>
      </c>
      <c r="K95" s="63">
        <f t="shared" si="3"/>
        <v>0</v>
      </c>
      <c r="L95" s="63"/>
      <c r="M95" s="72">
        <f>IF(E95="Hàng SX",0,SUMIFS('SỔ CHI TIẾT BÁN HÀNG'!$Q$5:$Q$2863,'SỔ CHI TIẾT BÁN HÀNG'!$C$5:$C$2863,'Đơn đặt'!F95,'SỔ CHI TIẾT BÁN HÀNG'!$N$5:$N$2863,'Đơn đặt'!E95))</f>
        <v>2000</v>
      </c>
      <c r="N95" s="72">
        <f t="shared" si="4"/>
        <v>0</v>
      </c>
      <c r="O95" s="74"/>
      <c r="P95" s="74" t="s">
        <v>80</v>
      </c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hidden="1" customHeight="1">
      <c r="A96" s="51" t="s">
        <v>186</v>
      </c>
      <c r="B96" s="53">
        <v>46056.0</v>
      </c>
      <c r="C96" s="57" t="str">
        <f t="shared" si="2"/>
        <v>02-03-TS21-2026/TS-AVP/ĐĐHHH-CT00038</v>
      </c>
      <c r="D96" s="51" t="s">
        <v>390</v>
      </c>
      <c r="E96" s="37" t="s">
        <v>391</v>
      </c>
      <c r="F96" s="74" t="s">
        <v>26</v>
      </c>
      <c r="G96" s="37" t="s">
        <v>25</v>
      </c>
      <c r="H96" s="63">
        <v>500.0</v>
      </c>
      <c r="I96" s="63"/>
      <c r="J96" s="63">
        <f>SUMIFS('SỔ CHI TIẾT BÁN HÀNG'!$G$5:$G$2062,'SỔ CHI TIẾT BÁN HÀNG'!$C$5:$C$2062,'Đơn đặt'!F96,'SỔ CHI TIẾT BÁN HÀNG'!$L$5:$L$2062,'Đơn đặt'!C96)</f>
        <v>500</v>
      </c>
      <c r="K96" s="63">
        <f t="shared" si="3"/>
        <v>0</v>
      </c>
      <c r="L96" s="63"/>
      <c r="M96" s="72">
        <f>IF(E96="Hàng SX",0,SUMIFS('SỔ CHI TIẾT BÁN HÀNG'!$Q$5:$Q$2863,'SỔ CHI TIẾT BÁN HÀNG'!$C$5:$C$2863,'Đơn đặt'!F96,'SỔ CHI TIẾT BÁN HÀNG'!$N$5:$N$2863,'Đơn đặt'!E96))</f>
        <v>500</v>
      </c>
      <c r="N96" s="72">
        <f t="shared" si="4"/>
        <v>0</v>
      </c>
      <c r="O96" s="74"/>
      <c r="P96" s="74" t="s">
        <v>80</v>
      </c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hidden="1" customHeight="1">
      <c r="A97" s="51" t="s">
        <v>186</v>
      </c>
      <c r="B97" s="53">
        <v>46056.0</v>
      </c>
      <c r="C97" s="57" t="str">
        <f t="shared" si="2"/>
        <v>02-03-TS21-2026/TS-AVP/ĐĐHHH-CT00131</v>
      </c>
      <c r="D97" s="51" t="s">
        <v>390</v>
      </c>
      <c r="E97" s="37" t="s">
        <v>391</v>
      </c>
      <c r="F97" s="74" t="s">
        <v>59</v>
      </c>
      <c r="G97" s="37" t="s">
        <v>58</v>
      </c>
      <c r="H97" s="63">
        <v>50000.0</v>
      </c>
      <c r="I97" s="63"/>
      <c r="J97" s="63">
        <f>SUMIFS('SỔ CHI TIẾT BÁN HÀNG'!$G$5:$G$2062,'SỔ CHI TIẾT BÁN HÀNG'!$C$5:$C$2062,'Đơn đặt'!F97,'SỔ CHI TIẾT BÁN HÀNG'!$L$5:$L$2062,'Đơn đặt'!C97)</f>
        <v>50000</v>
      </c>
      <c r="K97" s="63">
        <f t="shared" si="3"/>
        <v>0</v>
      </c>
      <c r="L97" s="63"/>
      <c r="M97" s="72">
        <f>IF(E97="Hàng SX",0,SUMIFS('SỔ CHI TIẾT BÁN HÀNG'!$Q$5:$Q$2863,'SỔ CHI TIẾT BÁN HÀNG'!$C$5:$C$2863,'Đơn đặt'!F97,'SỔ CHI TIẾT BÁN HÀNG'!$N$5:$N$2863,'Đơn đặt'!E97))</f>
        <v>50000</v>
      </c>
      <c r="N97" s="72">
        <f t="shared" si="4"/>
        <v>0</v>
      </c>
      <c r="O97" s="74"/>
      <c r="P97" s="74" t="s">
        <v>80</v>
      </c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hidden="1" customHeight="1">
      <c r="A98" s="51" t="s">
        <v>186</v>
      </c>
      <c r="B98" s="53">
        <v>46056.0</v>
      </c>
      <c r="C98" s="57" t="str">
        <f t="shared" si="2"/>
        <v>02-03-TS21-2026/TS-AVP/ĐĐHHH-CT00036</v>
      </c>
      <c r="D98" s="51" t="s">
        <v>390</v>
      </c>
      <c r="E98" s="37" t="s">
        <v>391</v>
      </c>
      <c r="F98" s="74" t="s">
        <v>14</v>
      </c>
      <c r="G98" s="37" t="s">
        <v>13</v>
      </c>
      <c r="H98" s="63">
        <v>22000.0</v>
      </c>
      <c r="I98" s="63"/>
      <c r="J98" s="63">
        <f>SUMIFS('SỔ CHI TIẾT BÁN HÀNG'!$G$5:$G$2062,'SỔ CHI TIẾT BÁN HÀNG'!$C$5:$C$2062,'Đơn đặt'!F98,'SỔ CHI TIẾT BÁN HÀNG'!$L$5:$L$2062,'Đơn đặt'!C98)</f>
        <v>22000</v>
      </c>
      <c r="K98" s="63">
        <f t="shared" si="3"/>
        <v>0</v>
      </c>
      <c r="L98" s="63"/>
      <c r="M98" s="72">
        <f>IF(E98="Hàng SX",0,SUMIFS('SỔ CHI TIẾT BÁN HÀNG'!$Q$5:$Q$2863,'SỔ CHI TIẾT BÁN HÀNG'!$C$5:$C$2863,'Đơn đặt'!F98,'SỔ CHI TIẾT BÁN HÀNG'!$N$5:$N$2863,'Đơn đặt'!E98))</f>
        <v>22000</v>
      </c>
      <c r="N98" s="72">
        <f t="shared" si="4"/>
        <v>0</v>
      </c>
      <c r="O98" s="74"/>
      <c r="P98" s="74" t="s">
        <v>80</v>
      </c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hidden="1" customHeight="1">
      <c r="A99" s="51" t="s">
        <v>186</v>
      </c>
      <c r="B99" s="53">
        <v>46056.0</v>
      </c>
      <c r="C99" s="57" t="str">
        <f t="shared" si="2"/>
        <v>02-03-TS21-2026/TS-AVP/ĐĐHHH-CT00005</v>
      </c>
      <c r="D99" s="51" t="s">
        <v>390</v>
      </c>
      <c r="E99" s="37" t="s">
        <v>391</v>
      </c>
      <c r="F99" s="74" t="s">
        <v>38</v>
      </c>
      <c r="G99" s="37" t="s">
        <v>36</v>
      </c>
      <c r="H99" s="63">
        <v>6000.0</v>
      </c>
      <c r="I99" s="63"/>
      <c r="J99" s="63">
        <f>SUMIFS('SỔ CHI TIẾT BÁN HÀNG'!$G$5:$G$2062,'SỔ CHI TIẾT BÁN HÀNG'!$C$5:$C$2062,'Đơn đặt'!F99,'SỔ CHI TIẾT BÁN HÀNG'!$L$5:$L$2062,'Đơn đặt'!C99)</f>
        <v>6000</v>
      </c>
      <c r="K99" s="63">
        <f t="shared" si="3"/>
        <v>0</v>
      </c>
      <c r="L99" s="63"/>
      <c r="M99" s="72">
        <f>IF(E99="Hàng SX",0,SUMIFS('SỔ CHI TIẾT BÁN HÀNG'!$Q$5:$Q$2863,'SỔ CHI TIẾT BÁN HÀNG'!$C$5:$C$2863,'Đơn đặt'!F99,'SỔ CHI TIẾT BÁN HÀNG'!$N$5:$N$2863,'Đơn đặt'!E99))</f>
        <v>6000</v>
      </c>
      <c r="N99" s="72">
        <f t="shared" si="4"/>
        <v>0</v>
      </c>
      <c r="O99" s="74"/>
      <c r="P99" s="74" t="s">
        <v>80</v>
      </c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hidden="1" customHeight="1">
      <c r="A100" s="51" t="s">
        <v>186</v>
      </c>
      <c r="B100" s="53">
        <v>46056.0</v>
      </c>
      <c r="C100" s="57" t="str">
        <f t="shared" si="2"/>
        <v>02-03-TS21-2026/TS-AVP/ĐĐHHH-CT00078</v>
      </c>
      <c r="D100" s="51" t="s">
        <v>390</v>
      </c>
      <c r="E100" s="37" t="s">
        <v>391</v>
      </c>
      <c r="F100" s="74" t="s">
        <v>41</v>
      </c>
      <c r="G100" s="37" t="s">
        <v>40</v>
      </c>
      <c r="H100" s="63">
        <v>4000.0</v>
      </c>
      <c r="I100" s="63"/>
      <c r="J100" s="63">
        <f>SUMIFS('SỔ CHI TIẾT BÁN HÀNG'!$G$5:$G$2062,'SỔ CHI TIẾT BÁN HÀNG'!$C$5:$C$2062,'Đơn đặt'!F100,'SỔ CHI TIẾT BÁN HÀNG'!$L$5:$L$2062,'Đơn đặt'!C100)</f>
        <v>4000</v>
      </c>
      <c r="K100" s="63">
        <f t="shared" si="3"/>
        <v>0</v>
      </c>
      <c r="L100" s="63"/>
      <c r="M100" s="72">
        <f>IF(E100="Hàng SX",0,SUMIFS('SỔ CHI TIẾT BÁN HÀNG'!$Q$5:$Q$2863,'SỔ CHI TIẾT BÁN HÀNG'!$C$5:$C$2863,'Đơn đặt'!F100,'SỔ CHI TIẾT BÁN HÀNG'!$N$5:$N$2863,'Đơn đặt'!E100))</f>
        <v>4000</v>
      </c>
      <c r="N100" s="72">
        <f t="shared" si="4"/>
        <v>0</v>
      </c>
      <c r="O100" s="74"/>
      <c r="P100" s="74" t="s">
        <v>80</v>
      </c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hidden="1" customHeight="1">
      <c r="A101" s="51" t="s">
        <v>186</v>
      </c>
      <c r="B101" s="53">
        <v>46056.0</v>
      </c>
      <c r="C101" s="57" t="str">
        <f t="shared" si="2"/>
        <v>02-03-TS21-2026/TS-AVP/ĐĐHHH-CT00075</v>
      </c>
      <c r="D101" s="51" t="s">
        <v>390</v>
      </c>
      <c r="E101" s="37" t="s">
        <v>391</v>
      </c>
      <c r="F101" s="74" t="s">
        <v>244</v>
      </c>
      <c r="G101" s="37" t="s">
        <v>245</v>
      </c>
      <c r="H101" s="63">
        <v>4000.0</v>
      </c>
      <c r="I101" s="63"/>
      <c r="J101" s="63">
        <f>SUMIFS('SỔ CHI TIẾT BÁN HÀNG'!$G$5:$G$2062,'SỔ CHI TIẾT BÁN HÀNG'!$C$5:$C$2062,'Đơn đặt'!F101,'SỔ CHI TIẾT BÁN HÀNG'!$L$5:$L$2062,'Đơn đặt'!C101)</f>
        <v>4000</v>
      </c>
      <c r="K101" s="63">
        <f t="shared" si="3"/>
        <v>0</v>
      </c>
      <c r="L101" s="63"/>
      <c r="M101" s="72">
        <f>IF(E101="Hàng SX",0,SUMIFS('SỔ CHI TIẾT BÁN HÀNG'!$Q$5:$Q$2863,'SỔ CHI TIẾT BÁN HÀNG'!$C$5:$C$2863,'Đơn đặt'!F101,'SỔ CHI TIẾT BÁN HÀNG'!$N$5:$N$2863,'Đơn đặt'!E101))</f>
        <v>4000</v>
      </c>
      <c r="N101" s="72">
        <f t="shared" si="4"/>
        <v>0</v>
      </c>
      <c r="O101" s="74"/>
      <c r="P101" s="74" t="s">
        <v>80</v>
      </c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hidden="1" customHeight="1">
      <c r="A102" s="51" t="s">
        <v>186</v>
      </c>
      <c r="B102" s="53">
        <v>46056.0</v>
      </c>
      <c r="C102" s="57" t="str">
        <f t="shared" si="2"/>
        <v>02-03-TS21-2026/TS-AVP/ĐĐHHH-CT00083</v>
      </c>
      <c r="D102" s="51" t="s">
        <v>390</v>
      </c>
      <c r="E102" s="37" t="s">
        <v>391</v>
      </c>
      <c r="F102" s="74" t="s">
        <v>247</v>
      </c>
      <c r="G102" s="37" t="s">
        <v>249</v>
      </c>
      <c r="H102" s="63">
        <v>3000.0</v>
      </c>
      <c r="I102" s="63"/>
      <c r="J102" s="63">
        <f>SUMIFS('SỔ CHI TIẾT BÁN HÀNG'!$G$5:$G$2062,'SỔ CHI TIẾT BÁN HÀNG'!$C$5:$C$2062,'Đơn đặt'!F102,'SỔ CHI TIẾT BÁN HÀNG'!$L$5:$L$2062,'Đơn đặt'!C102)</f>
        <v>3000</v>
      </c>
      <c r="K102" s="63">
        <f t="shared" si="3"/>
        <v>0</v>
      </c>
      <c r="L102" s="63"/>
      <c r="M102" s="72">
        <f>IF(E102="Hàng SX",0,SUMIFS('SỔ CHI TIẾT BÁN HÀNG'!$Q$5:$Q$2863,'SỔ CHI TIẾT BÁN HÀNG'!$C$5:$C$2863,'Đơn đặt'!F102,'SỔ CHI TIẾT BÁN HÀNG'!$N$5:$N$2863,'Đơn đặt'!E102))</f>
        <v>3000</v>
      </c>
      <c r="N102" s="72">
        <f t="shared" si="4"/>
        <v>0</v>
      </c>
      <c r="O102" s="74"/>
      <c r="P102" s="74" t="s">
        <v>80</v>
      </c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hidden="1" customHeight="1">
      <c r="A103" s="51" t="s">
        <v>186</v>
      </c>
      <c r="B103" s="53">
        <v>46056.0</v>
      </c>
      <c r="C103" s="57" t="str">
        <f t="shared" si="2"/>
        <v>02-03-TS21-2026/TS-AVP/ĐĐHHH-CT00073</v>
      </c>
      <c r="D103" s="51" t="s">
        <v>390</v>
      </c>
      <c r="E103" s="37" t="s">
        <v>391</v>
      </c>
      <c r="F103" s="74" t="s">
        <v>402</v>
      </c>
      <c r="G103" s="37" t="s">
        <v>403</v>
      </c>
      <c r="H103" s="63">
        <v>2000.0</v>
      </c>
      <c r="I103" s="63"/>
      <c r="J103" s="63">
        <f>SUMIFS('SỔ CHI TIẾT BÁN HÀNG'!$G$5:$G$2062,'SỔ CHI TIẾT BÁN HÀNG'!$C$5:$C$2062,'Đơn đặt'!F103,'SỔ CHI TIẾT BÁN HÀNG'!$L$5:$L$2062,'Đơn đặt'!C103)</f>
        <v>2000</v>
      </c>
      <c r="K103" s="63">
        <f t="shared" si="3"/>
        <v>0</v>
      </c>
      <c r="L103" s="63"/>
      <c r="M103" s="72">
        <f>IF(E103="Hàng SX",0,SUMIFS('SỔ CHI TIẾT BÁN HÀNG'!$Q$5:$Q$2863,'SỔ CHI TIẾT BÁN HÀNG'!$C$5:$C$2863,'Đơn đặt'!F103,'SỔ CHI TIẾT BÁN HÀNG'!$N$5:$N$2863,'Đơn đặt'!E103))</f>
        <v>2000</v>
      </c>
      <c r="N103" s="72">
        <f t="shared" si="4"/>
        <v>0</v>
      </c>
      <c r="O103" s="74"/>
      <c r="P103" s="74" t="s">
        <v>80</v>
      </c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hidden="1" customHeight="1">
      <c r="A104" s="51" t="s">
        <v>186</v>
      </c>
      <c r="B104" s="53">
        <v>46056.0</v>
      </c>
      <c r="C104" s="57" t="str">
        <f t="shared" si="2"/>
        <v>02-03-TS21-2026/TS-AVP/ĐĐHHH-CT00077</v>
      </c>
      <c r="D104" s="51" t="s">
        <v>390</v>
      </c>
      <c r="E104" s="37" t="s">
        <v>391</v>
      </c>
      <c r="F104" s="59" t="s">
        <v>329</v>
      </c>
      <c r="G104" s="37" t="s">
        <v>330</v>
      </c>
      <c r="H104" s="63">
        <v>1800.0</v>
      </c>
      <c r="I104" s="63"/>
      <c r="J104" s="63">
        <f>SUMIFS('SỔ CHI TIẾT BÁN HÀNG'!$G$5:$G$2062,'SỔ CHI TIẾT BÁN HÀNG'!$C$5:$C$2062,'Đơn đặt'!F104,'SỔ CHI TIẾT BÁN HÀNG'!$L$5:$L$2062,'Đơn đặt'!C104)</f>
        <v>1800</v>
      </c>
      <c r="K104" s="63">
        <f t="shared" si="3"/>
        <v>0</v>
      </c>
      <c r="L104" s="63"/>
      <c r="M104" s="72">
        <f>IF(E104="Hàng SX",0,SUMIFS('SỔ CHI TIẾT BÁN HÀNG'!$Q$5:$Q$2863,'SỔ CHI TIẾT BÁN HÀNG'!$C$5:$C$2863,'Đơn đặt'!F104,'SỔ CHI TIẾT BÁN HÀNG'!$N$5:$N$2863,'Đơn đặt'!E104))</f>
        <v>1800</v>
      </c>
      <c r="N104" s="72">
        <f t="shared" si="4"/>
        <v>0</v>
      </c>
      <c r="O104" s="74"/>
      <c r="P104" s="74" t="s">
        <v>80</v>
      </c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hidden="1" customHeight="1">
      <c r="A105" s="51" t="s">
        <v>186</v>
      </c>
      <c r="B105" s="53">
        <v>46056.0</v>
      </c>
      <c r="C105" s="57" t="str">
        <f t="shared" si="2"/>
        <v>02-03-TS21-2026/TS-AVP/ĐĐHHH-CT00009</v>
      </c>
      <c r="D105" s="51" t="s">
        <v>390</v>
      </c>
      <c r="E105" s="37" t="s">
        <v>391</v>
      </c>
      <c r="F105" s="74" t="s">
        <v>409</v>
      </c>
      <c r="G105" s="37" t="s">
        <v>410</v>
      </c>
      <c r="H105" s="63">
        <v>1600.0</v>
      </c>
      <c r="I105" s="63"/>
      <c r="J105" s="63">
        <f>SUMIFS('SỔ CHI TIẾT BÁN HÀNG'!$G$5:$G$2062,'SỔ CHI TIẾT BÁN HÀNG'!$C$5:$C$2062,'Đơn đặt'!F105,'SỔ CHI TIẾT BÁN HÀNG'!$L$5:$L$2062,'Đơn đặt'!C105)</f>
        <v>1600</v>
      </c>
      <c r="K105" s="63">
        <f t="shared" si="3"/>
        <v>0</v>
      </c>
      <c r="L105" s="63"/>
      <c r="M105" s="72">
        <f>IF(E105="Hàng SX",0,SUMIFS('SỔ CHI TIẾT BÁN HÀNG'!$Q$5:$Q$2863,'SỔ CHI TIẾT BÁN HÀNG'!$C$5:$C$2863,'Đơn đặt'!F105,'SỔ CHI TIẾT BÁN HÀNG'!$N$5:$N$2863,'Đơn đặt'!E105))</f>
        <v>1600</v>
      </c>
      <c r="N105" s="72">
        <f t="shared" si="4"/>
        <v>0</v>
      </c>
      <c r="O105" s="74"/>
      <c r="P105" s="74" t="s">
        <v>80</v>
      </c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hidden="1" customHeight="1">
      <c r="A106" s="51" t="s">
        <v>186</v>
      </c>
      <c r="B106" s="53">
        <v>46056.0</v>
      </c>
      <c r="C106" s="57" t="str">
        <f t="shared" si="2"/>
        <v>02-03-TS21-2026/TS-AVP/ĐĐHHH-CT00081</v>
      </c>
      <c r="D106" s="51" t="s">
        <v>390</v>
      </c>
      <c r="E106" s="37" t="s">
        <v>391</v>
      </c>
      <c r="F106" s="74" t="s">
        <v>17</v>
      </c>
      <c r="G106" s="37" t="s">
        <v>16</v>
      </c>
      <c r="H106" s="63">
        <v>1200.0</v>
      </c>
      <c r="I106" s="63"/>
      <c r="J106" s="63">
        <f>SUMIFS('SỔ CHI TIẾT BÁN HÀNG'!$G$5:$G$2062,'SỔ CHI TIẾT BÁN HÀNG'!$C$5:$C$2062,'Đơn đặt'!F106,'SỔ CHI TIẾT BÁN HÀNG'!$L$5:$L$2062,'Đơn đặt'!C106)</f>
        <v>1230</v>
      </c>
      <c r="K106" s="63">
        <f t="shared" si="3"/>
        <v>-30</v>
      </c>
      <c r="L106" s="63"/>
      <c r="M106" s="72">
        <f>IF(E106="Hàng SX",0,SUMIFS('SỔ CHI TIẾT BÁN HÀNG'!$Q$5:$Q$2863,'SỔ CHI TIẾT BÁN HÀNG'!$C$5:$C$2863,'Đơn đặt'!F106,'SỔ CHI TIẾT BÁN HÀNG'!$N$5:$N$2863,'Đơn đặt'!E106))</f>
        <v>1230</v>
      </c>
      <c r="N106" s="72">
        <f t="shared" si="4"/>
        <v>-30</v>
      </c>
      <c r="O106" s="74"/>
      <c r="P106" s="74" t="s">
        <v>80</v>
      </c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hidden="1" customHeight="1">
      <c r="A107" s="51" t="s">
        <v>186</v>
      </c>
      <c r="B107" s="53">
        <v>46056.0</v>
      </c>
      <c r="C107" s="57" t="str">
        <f t="shared" si="2"/>
        <v>02-03-TS21-2026/TS-AVP/ĐĐHHH-CT00089</v>
      </c>
      <c r="D107" s="51" t="s">
        <v>390</v>
      </c>
      <c r="E107" s="37" t="s">
        <v>391</v>
      </c>
      <c r="F107" s="74" t="s">
        <v>29</v>
      </c>
      <c r="G107" s="37" t="s">
        <v>28</v>
      </c>
      <c r="H107" s="63">
        <v>1000.0</v>
      </c>
      <c r="I107" s="63"/>
      <c r="J107" s="63">
        <f>SUMIFS('SỔ CHI TIẾT BÁN HÀNG'!$G$5:$G$2062,'SỔ CHI TIẾT BÁN HÀNG'!$C$5:$C$2062,'Đơn đặt'!F107,'SỔ CHI TIẾT BÁN HÀNG'!$L$5:$L$2062,'Đơn đặt'!C107)</f>
        <v>1000</v>
      </c>
      <c r="K107" s="63">
        <f t="shared" si="3"/>
        <v>0</v>
      </c>
      <c r="L107" s="63"/>
      <c r="M107" s="72">
        <f>IF(E107="Hàng SX",0,SUMIFS('SỔ CHI TIẾT BÁN HÀNG'!$Q$5:$Q$2863,'SỔ CHI TIẾT BÁN HÀNG'!$C$5:$C$2863,'Đơn đặt'!F107,'SỔ CHI TIẾT BÁN HÀNG'!$N$5:$N$2863,'Đơn đặt'!E107))</f>
        <v>1000</v>
      </c>
      <c r="N107" s="72">
        <f t="shared" si="4"/>
        <v>0</v>
      </c>
      <c r="O107" s="74"/>
      <c r="P107" s="74" t="s">
        <v>80</v>
      </c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hidden="1" customHeight="1">
      <c r="A108" s="51" t="s">
        <v>186</v>
      </c>
      <c r="B108" s="53">
        <v>46056.0</v>
      </c>
      <c r="C108" s="57" t="str">
        <f t="shared" si="2"/>
        <v>02-03-TS21-2026/TS-AVP/ĐĐHHH-CT00091</v>
      </c>
      <c r="D108" s="51" t="s">
        <v>390</v>
      </c>
      <c r="E108" s="37" t="s">
        <v>391</v>
      </c>
      <c r="F108" s="74" t="s">
        <v>414</v>
      </c>
      <c r="G108" s="37" t="s">
        <v>415</v>
      </c>
      <c r="H108" s="63">
        <v>500.0</v>
      </c>
      <c r="I108" s="63"/>
      <c r="J108" s="63">
        <f>SUMIFS('SỔ CHI TIẾT BÁN HÀNG'!$G$5:$G$2062,'SỔ CHI TIẾT BÁN HÀNG'!$C$5:$C$2062,'Đơn đặt'!F108,'SỔ CHI TIẾT BÁN HÀNG'!$L$5:$L$2062,'Đơn đặt'!C108)</f>
        <v>570</v>
      </c>
      <c r="K108" s="63">
        <f t="shared" si="3"/>
        <v>-70</v>
      </c>
      <c r="L108" s="63"/>
      <c r="M108" s="72">
        <f>IF(E108="Hàng SX",0,SUMIFS('SỔ CHI TIẾT BÁN HÀNG'!$Q$5:$Q$2863,'SỔ CHI TIẾT BÁN HÀNG'!$C$5:$C$2863,'Đơn đặt'!F108,'SỔ CHI TIẾT BÁN HÀNG'!$N$5:$N$2863,'Đơn đặt'!E108))</f>
        <v>570</v>
      </c>
      <c r="N108" s="72">
        <f t="shared" si="4"/>
        <v>-70</v>
      </c>
      <c r="O108" s="74"/>
      <c r="P108" s="74" t="s">
        <v>80</v>
      </c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hidden="1" customHeight="1">
      <c r="A109" s="51" t="s">
        <v>186</v>
      </c>
      <c r="B109" s="53">
        <v>46056.0</v>
      </c>
      <c r="C109" s="57" t="str">
        <f t="shared" si="2"/>
        <v>02-03-TS21-2026/TS-AVP/ĐĐHHH-CT00090</v>
      </c>
      <c r="D109" s="51" t="s">
        <v>390</v>
      </c>
      <c r="E109" s="37" t="s">
        <v>391</v>
      </c>
      <c r="F109" s="74" t="s">
        <v>419</v>
      </c>
      <c r="G109" s="37" t="s">
        <v>420</v>
      </c>
      <c r="H109" s="63">
        <v>400.0</v>
      </c>
      <c r="I109" s="63"/>
      <c r="J109" s="63">
        <f>SUMIFS('SỔ CHI TIẾT BÁN HÀNG'!$G$5:$G$2062,'SỔ CHI TIẾT BÁN HÀNG'!$C$5:$C$2062,'Đơn đặt'!F109,'SỔ CHI TIẾT BÁN HÀNG'!$L$5:$L$2062,'Đơn đặt'!C109)</f>
        <v>430</v>
      </c>
      <c r="K109" s="63">
        <f t="shared" si="3"/>
        <v>-30</v>
      </c>
      <c r="L109" s="63"/>
      <c r="M109" s="72">
        <f>IF(E109="Hàng SX",0,SUMIFS('SỔ CHI TIẾT BÁN HÀNG'!$Q$5:$Q$2863,'SỔ CHI TIẾT BÁN HÀNG'!$C$5:$C$2863,'Đơn đặt'!F109,'SỔ CHI TIẾT BÁN HÀNG'!$N$5:$N$2863,'Đơn đặt'!E109))</f>
        <v>430</v>
      </c>
      <c r="N109" s="72">
        <f t="shared" si="4"/>
        <v>-30</v>
      </c>
      <c r="O109" s="74"/>
      <c r="P109" s="74" t="s">
        <v>80</v>
      </c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hidden="1" customHeight="1">
      <c r="A110" s="51" t="s">
        <v>186</v>
      </c>
      <c r="B110" s="53">
        <v>46056.0</v>
      </c>
      <c r="C110" s="57" t="str">
        <f t="shared" si="2"/>
        <v>02-03-TS21-2026/TS-AVP/ĐĐHHH-CT00002</v>
      </c>
      <c r="D110" s="51" t="s">
        <v>390</v>
      </c>
      <c r="E110" s="37" t="s">
        <v>391</v>
      </c>
      <c r="F110" s="74" t="s">
        <v>423</v>
      </c>
      <c r="G110" s="37" t="s">
        <v>424</v>
      </c>
      <c r="H110" s="63">
        <v>300.0</v>
      </c>
      <c r="I110" s="63"/>
      <c r="J110" s="63">
        <f>SUMIFS('SỔ CHI TIẾT BÁN HÀNG'!$G$5:$G$2062,'SỔ CHI TIẾT BÁN HÀNG'!$C$5:$C$2062,'Đơn đặt'!F110,'SỔ CHI TIẾT BÁN HÀNG'!$L$5:$L$2062,'Đơn đặt'!C110)</f>
        <v>350</v>
      </c>
      <c r="K110" s="63">
        <f t="shared" si="3"/>
        <v>-50</v>
      </c>
      <c r="L110" s="63"/>
      <c r="M110" s="72">
        <f>IF(E110="Hàng SX",0,SUMIFS('SỔ CHI TIẾT BÁN HÀNG'!$Q$5:$Q$2863,'SỔ CHI TIẾT BÁN HÀNG'!$C$5:$C$2863,'Đơn đặt'!F110,'SỔ CHI TIẾT BÁN HÀNG'!$N$5:$N$2863,'Đơn đặt'!E110))</f>
        <v>350</v>
      </c>
      <c r="N110" s="72">
        <f t="shared" si="4"/>
        <v>-50</v>
      </c>
      <c r="O110" s="74"/>
      <c r="P110" s="74" t="s">
        <v>80</v>
      </c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hidden="1" customHeight="1">
      <c r="A111" s="51" t="s">
        <v>186</v>
      </c>
      <c r="B111" s="53">
        <v>46056.0</v>
      </c>
      <c r="C111" s="57" t="str">
        <f t="shared" si="2"/>
        <v>02-03-TS21-2026/TS-AVP/ĐĐHHH-CT00013</v>
      </c>
      <c r="D111" s="51" t="s">
        <v>390</v>
      </c>
      <c r="E111" s="37" t="s">
        <v>391</v>
      </c>
      <c r="F111" s="74" t="s">
        <v>425</v>
      </c>
      <c r="G111" s="37" t="s">
        <v>427</v>
      </c>
      <c r="H111" s="63">
        <v>100.0</v>
      </c>
      <c r="I111" s="63"/>
      <c r="J111" s="63">
        <f>SUMIFS('SỔ CHI TIẾT BÁN HÀNG'!$G$5:$G$2062,'SỔ CHI TIẾT BÁN HÀNG'!$C$5:$C$2062,'Đơn đặt'!F111,'SỔ CHI TIẾT BÁN HÀNG'!$L$5:$L$2062,'Đơn đặt'!C111)</f>
        <v>150</v>
      </c>
      <c r="K111" s="63">
        <f t="shared" si="3"/>
        <v>-50</v>
      </c>
      <c r="L111" s="63"/>
      <c r="M111" s="72">
        <f>IF(E111="Hàng SX",0,SUMIFS('SỔ CHI TIẾT BÁN HÀNG'!$Q$5:$Q$2863,'SỔ CHI TIẾT BÁN HÀNG'!$C$5:$C$2863,'Đơn đặt'!F111,'SỔ CHI TIẾT BÁN HÀNG'!$N$5:$N$2863,'Đơn đặt'!E111))</f>
        <v>150</v>
      </c>
      <c r="N111" s="72">
        <f t="shared" si="4"/>
        <v>-50</v>
      </c>
      <c r="O111" s="74"/>
      <c r="P111" s="74" t="s">
        <v>80</v>
      </c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hidden="1" customHeight="1">
      <c r="A112" s="51" t="s">
        <v>186</v>
      </c>
      <c r="B112" s="53">
        <v>46056.0</v>
      </c>
      <c r="C112" s="57" t="str">
        <f t="shared" si="2"/>
        <v>02-03-TS21-2026/TS-AVP/ĐĐHHH-CT00003</v>
      </c>
      <c r="D112" s="51" t="s">
        <v>390</v>
      </c>
      <c r="E112" s="37" t="s">
        <v>391</v>
      </c>
      <c r="F112" s="74" t="s">
        <v>428</v>
      </c>
      <c r="G112" s="37" t="s">
        <v>429</v>
      </c>
      <c r="H112" s="63">
        <v>100.0</v>
      </c>
      <c r="I112" s="63"/>
      <c r="J112" s="63">
        <f>SUMIFS('SỔ CHI TIẾT BÁN HÀNG'!$G$5:$G$2062,'SỔ CHI TIẾT BÁN HÀNG'!$C$5:$C$2062,'Đơn đặt'!F112,'SỔ CHI TIẾT BÁN HÀNG'!$L$5:$L$2062,'Đơn đặt'!C112)</f>
        <v>100</v>
      </c>
      <c r="K112" s="63">
        <f t="shared" si="3"/>
        <v>0</v>
      </c>
      <c r="L112" s="63"/>
      <c r="M112" s="72">
        <f>IF(E112="Hàng SX",0,SUMIFS('SỔ CHI TIẾT BÁN HÀNG'!$Q$5:$Q$2863,'SỔ CHI TIẾT BÁN HÀNG'!$C$5:$C$2863,'Đơn đặt'!F112,'SỔ CHI TIẾT BÁN HÀNG'!$N$5:$N$2863,'Đơn đặt'!E112))</f>
        <v>100</v>
      </c>
      <c r="N112" s="72">
        <f t="shared" si="4"/>
        <v>0</v>
      </c>
      <c r="O112" s="74"/>
      <c r="P112" s="74" t="s">
        <v>80</v>
      </c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hidden="1" customHeight="1">
      <c r="A113" s="51" t="s">
        <v>186</v>
      </c>
      <c r="B113" s="53">
        <v>46056.0</v>
      </c>
      <c r="C113" s="57" t="str">
        <f t="shared" si="2"/>
        <v>02-03-TS22-2026/TS-AVP/ĐĐHHH-CT00007</v>
      </c>
      <c r="D113" s="51" t="s">
        <v>390</v>
      </c>
      <c r="E113" s="37" t="s">
        <v>431</v>
      </c>
      <c r="F113" s="74" t="s">
        <v>48</v>
      </c>
      <c r="G113" s="37" t="s">
        <v>47</v>
      </c>
      <c r="H113" s="63">
        <v>82000.0</v>
      </c>
      <c r="I113" s="63"/>
      <c r="J113" s="63">
        <f>SUMIFS('SỔ CHI TIẾT BÁN HÀNG'!$G$5:$G$2062,'SỔ CHI TIẾT BÁN HÀNG'!$C$5:$C$2062,'Đơn đặt'!F113,'SỔ CHI TIẾT BÁN HÀNG'!$L$5:$L$2062,'Đơn đặt'!C113)</f>
        <v>82000</v>
      </c>
      <c r="K113" s="63">
        <f t="shared" si="3"/>
        <v>0</v>
      </c>
      <c r="L113" s="63"/>
      <c r="M113" s="72">
        <f>IF(E113="Hàng SX",0,SUMIFS('SỔ CHI TIẾT BÁN HÀNG'!$Q$5:$Q$2863,'SỔ CHI TIẾT BÁN HÀNG'!$C$5:$C$2863,'Đơn đặt'!F113,'SỔ CHI TIẾT BÁN HÀNG'!$N$5:$N$2863,'Đơn đặt'!E113))</f>
        <v>82000</v>
      </c>
      <c r="N113" s="72">
        <f t="shared" si="4"/>
        <v>0</v>
      </c>
      <c r="O113" s="74"/>
      <c r="P113" s="74" t="s">
        <v>80</v>
      </c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hidden="1" customHeight="1">
      <c r="A114" s="51" t="s">
        <v>186</v>
      </c>
      <c r="B114" s="53">
        <v>46056.0</v>
      </c>
      <c r="C114" s="57" t="str">
        <f t="shared" si="2"/>
        <v>02-03-TS22-2026/TS-AVP/ĐĐHHH-CT00008</v>
      </c>
      <c r="D114" s="51" t="s">
        <v>390</v>
      </c>
      <c r="E114" s="37" t="s">
        <v>431</v>
      </c>
      <c r="F114" s="74" t="s">
        <v>50</v>
      </c>
      <c r="G114" s="37" t="s">
        <v>49</v>
      </c>
      <c r="H114" s="63">
        <v>28000.0</v>
      </c>
      <c r="I114" s="63"/>
      <c r="J114" s="63">
        <f>SUMIFS('SỔ CHI TIẾT BÁN HÀNG'!$G$5:$G$2062,'SỔ CHI TIẾT BÁN HÀNG'!$C$5:$C$2062,'Đơn đặt'!F114,'SỔ CHI TIẾT BÁN HÀNG'!$L$5:$L$2062,'Đơn đặt'!C114)</f>
        <v>28000</v>
      </c>
      <c r="K114" s="63">
        <f t="shared" si="3"/>
        <v>0</v>
      </c>
      <c r="L114" s="63"/>
      <c r="M114" s="72">
        <f>IF(E114="Hàng SX",0,SUMIFS('SỔ CHI TIẾT BÁN HÀNG'!$Q$5:$Q$2863,'SỔ CHI TIẾT BÁN HÀNG'!$C$5:$C$2863,'Đơn đặt'!F114,'SỔ CHI TIẾT BÁN HÀNG'!$N$5:$N$2863,'Đơn đặt'!E114))</f>
        <v>28000</v>
      </c>
      <c r="N114" s="72">
        <f t="shared" si="4"/>
        <v>0</v>
      </c>
      <c r="O114" s="74"/>
      <c r="P114" s="74" t="s">
        <v>80</v>
      </c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hidden="1" customHeight="1">
      <c r="A115" s="51" t="s">
        <v>186</v>
      </c>
      <c r="B115" s="53">
        <v>46056.0</v>
      </c>
      <c r="C115" s="57" t="str">
        <f t="shared" si="2"/>
        <v>02-03-TS22-2026/TS-AVP/ĐĐHHH-CT00052</v>
      </c>
      <c r="D115" s="51" t="s">
        <v>390</v>
      </c>
      <c r="E115" s="37" t="s">
        <v>431</v>
      </c>
      <c r="F115" s="74" t="s">
        <v>436</v>
      </c>
      <c r="G115" s="37" t="s">
        <v>437</v>
      </c>
      <c r="H115" s="63">
        <v>200.0</v>
      </c>
      <c r="I115" s="63"/>
      <c r="J115" s="63">
        <f>SUMIFS('SỔ CHI TIẾT BÁN HÀNG'!$G$5:$G$2062,'SỔ CHI TIẾT BÁN HÀNG'!$C$5:$C$2062,'Đơn đặt'!F115,'SỔ CHI TIẾT BÁN HÀNG'!$L$5:$L$2062,'Đơn đặt'!C115)</f>
        <v>200</v>
      </c>
      <c r="K115" s="63">
        <f t="shared" si="3"/>
        <v>0</v>
      </c>
      <c r="L115" s="63"/>
      <c r="M115" s="72">
        <f>IF(E115="Hàng SX",0,SUMIFS('SỔ CHI TIẾT BÁN HÀNG'!$Q$5:$Q$2863,'SỔ CHI TIẾT BÁN HÀNG'!$C$5:$C$2863,'Đơn đặt'!F115,'SỔ CHI TIẾT BÁN HÀNG'!$N$5:$N$2863,'Đơn đặt'!E115))</f>
        <v>200</v>
      </c>
      <c r="N115" s="72">
        <f t="shared" si="4"/>
        <v>0</v>
      </c>
      <c r="O115" s="74"/>
      <c r="P115" s="74" t="s">
        <v>80</v>
      </c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hidden="1" customHeight="1">
      <c r="A116" s="51" t="s">
        <v>186</v>
      </c>
      <c r="B116" s="53">
        <v>46056.0</v>
      </c>
      <c r="C116" s="57" t="str">
        <f t="shared" si="2"/>
        <v>02-03-TS23-2026/TS-AVP/ĐĐHHH-CT00072</v>
      </c>
      <c r="D116" s="51" t="s">
        <v>390</v>
      </c>
      <c r="E116" s="37" t="s">
        <v>440</v>
      </c>
      <c r="F116" s="74" t="s">
        <v>55</v>
      </c>
      <c r="G116" s="37" t="s">
        <v>53</v>
      </c>
      <c r="H116" s="63">
        <v>15000.0</v>
      </c>
      <c r="I116" s="63"/>
      <c r="J116" s="63">
        <f>SUMIFS('SỔ CHI TIẾT BÁN HÀNG'!$G$5:$G$2062,'SỔ CHI TIẾT BÁN HÀNG'!$C$5:$C$2062,'Đơn đặt'!F116,'SỔ CHI TIẾT BÁN HÀNG'!$L$5:$L$2062,'Đơn đặt'!C116)</f>
        <v>15000</v>
      </c>
      <c r="K116" s="63">
        <f t="shared" si="3"/>
        <v>0</v>
      </c>
      <c r="L116" s="63"/>
      <c r="M116" s="72">
        <f>IF(E116="Hàng SX",0,SUMIFS('SỔ CHI TIẾT BÁN HÀNG'!$Q$5:$Q$2863,'SỔ CHI TIẾT BÁN HÀNG'!$C$5:$C$2863,'Đơn đặt'!F116,'SỔ CHI TIẾT BÁN HÀNG'!$N$5:$N$2863,'Đơn đặt'!E116))</f>
        <v>15000</v>
      </c>
      <c r="N116" s="72">
        <f t="shared" si="4"/>
        <v>0</v>
      </c>
      <c r="O116" s="74"/>
      <c r="P116" s="74" t="s">
        <v>80</v>
      </c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hidden="1" customHeight="1">
      <c r="A117" s="51" t="s">
        <v>186</v>
      </c>
      <c r="B117" s="53">
        <v>46056.0</v>
      </c>
      <c r="C117" s="57" t="str">
        <f t="shared" si="2"/>
        <v>02-32/TS-LP24-2026/TS-AVP/ĐĐHHH-NT00013</v>
      </c>
      <c r="D117" s="51" t="s">
        <v>442</v>
      </c>
      <c r="E117" s="37" t="s">
        <v>443</v>
      </c>
      <c r="F117" s="74" t="s">
        <v>6</v>
      </c>
      <c r="G117" s="37" t="s">
        <v>358</v>
      </c>
      <c r="H117" s="63">
        <v>1000000.0</v>
      </c>
      <c r="I117" s="63"/>
      <c r="J117" s="63">
        <f>SUMIFS('SỔ CHI TIẾT BÁN HÀNG'!$G$5:$G$2062,'SỔ CHI TIẾT BÁN HÀNG'!$C$5:$C$2062,'Đơn đặt'!F117,'SỔ CHI TIẾT BÁN HÀNG'!$L$5:$L$2062,'Đơn đặt'!C117)</f>
        <v>1000000</v>
      </c>
      <c r="K117" s="63">
        <f t="shared" si="3"/>
        <v>0</v>
      </c>
      <c r="L117" s="63"/>
      <c r="M117" s="72">
        <f>IF(E117="Hàng SX",0,SUMIFS('SỔ CHI TIẾT BÁN HÀNG'!$Q$5:$Q$2863,'SỔ CHI TIẾT BÁN HÀNG'!$C$5:$C$2863,'Đơn đặt'!F117,'SỔ CHI TIẾT BÁN HÀNG'!$N$5:$N$2863,'Đơn đặt'!E117))</f>
        <v>1000000</v>
      </c>
      <c r="N117" s="72">
        <f t="shared" si="4"/>
        <v>0</v>
      </c>
      <c r="O117" s="74"/>
      <c r="P117" s="74" t="s">
        <v>80</v>
      </c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hidden="1" customHeight="1">
      <c r="A118" s="51" t="s">
        <v>186</v>
      </c>
      <c r="B118" s="53">
        <v>46056.0</v>
      </c>
      <c r="C118" s="57" t="str">
        <f t="shared" si="2"/>
        <v>02-32/TS-LP24-2026/TS-AVP/ĐĐHHH-NT00012</v>
      </c>
      <c r="D118" s="51" t="s">
        <v>442</v>
      </c>
      <c r="E118" s="37" t="s">
        <v>443</v>
      </c>
      <c r="F118" s="74" t="s">
        <v>446</v>
      </c>
      <c r="G118" s="37" t="s">
        <v>448</v>
      </c>
      <c r="H118" s="63">
        <v>200000.0</v>
      </c>
      <c r="I118" s="63"/>
      <c r="J118" s="63">
        <f>SUMIFS('SỔ CHI TIẾT BÁN HÀNG'!$G$5:$G$2062,'SỔ CHI TIẾT BÁN HÀNG'!$C$5:$C$2062,'Đơn đặt'!F118,'SỔ CHI TIẾT BÁN HÀNG'!$L$5:$L$2062,'Đơn đặt'!C118)</f>
        <v>200000</v>
      </c>
      <c r="K118" s="63">
        <f t="shared" si="3"/>
        <v>0</v>
      </c>
      <c r="L118" s="63"/>
      <c r="M118" s="72">
        <f>IF(E118="Hàng SX",0,SUMIFS('SỔ CHI TIẾT BÁN HÀNG'!$Q$5:$Q$2863,'SỔ CHI TIẾT BÁN HÀNG'!$C$5:$C$2863,'Đơn đặt'!F118,'SỔ CHI TIẾT BÁN HÀNG'!$N$5:$N$2863,'Đơn đặt'!E118))</f>
        <v>200000</v>
      </c>
      <c r="N118" s="72">
        <f t="shared" si="4"/>
        <v>0</v>
      </c>
      <c r="O118" s="74"/>
      <c r="P118" s="74" t="s">
        <v>80</v>
      </c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hidden="1" customHeight="1">
      <c r="A119" s="51" t="s">
        <v>186</v>
      </c>
      <c r="B119" s="53">
        <v>46056.0</v>
      </c>
      <c r="C119" s="57" t="str">
        <f t="shared" si="2"/>
        <v>02-32/TS-LP24-2026/TS-AVP/ĐĐHHH-NT00011</v>
      </c>
      <c r="D119" s="51" t="s">
        <v>442</v>
      </c>
      <c r="E119" s="37" t="s">
        <v>443</v>
      </c>
      <c r="F119" s="74" t="s">
        <v>9</v>
      </c>
      <c r="G119" s="37" t="s">
        <v>361</v>
      </c>
      <c r="H119" s="63">
        <v>2000000.0</v>
      </c>
      <c r="I119" s="63"/>
      <c r="J119" s="63">
        <f>SUMIFS('SỔ CHI TIẾT BÁN HÀNG'!$G$5:$G$2062,'SỔ CHI TIẾT BÁN HÀNG'!$C$5:$C$2062,'Đơn đặt'!F119,'SỔ CHI TIẾT BÁN HÀNG'!$L$5:$L$2062,'Đơn đặt'!C119)</f>
        <v>2000000</v>
      </c>
      <c r="K119" s="63">
        <f t="shared" si="3"/>
        <v>0</v>
      </c>
      <c r="L119" s="63"/>
      <c r="M119" s="72">
        <f>IF(E119="Hàng SX",0,SUMIFS('SỔ CHI TIẾT BÁN HÀNG'!$Q$5:$Q$2863,'SỔ CHI TIẾT BÁN HÀNG'!$C$5:$C$2863,'Đơn đặt'!F119,'SỔ CHI TIẾT BÁN HÀNG'!$N$5:$N$2863,'Đơn đặt'!E119))</f>
        <v>2000000</v>
      </c>
      <c r="N119" s="72">
        <f t="shared" si="4"/>
        <v>0</v>
      </c>
      <c r="O119" s="74"/>
      <c r="P119" s="74" t="s">
        <v>80</v>
      </c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hidden="1" customHeight="1">
      <c r="A120" s="51" t="s">
        <v>186</v>
      </c>
      <c r="B120" s="53">
        <v>46057.0</v>
      </c>
      <c r="C120" s="57" t="str">
        <f t="shared" si="2"/>
        <v>02-38/TS-LP25-2026/TS-AVP/ĐĐHTP-PE00005</v>
      </c>
      <c r="D120" s="51" t="s">
        <v>453</v>
      </c>
      <c r="E120" s="37" t="s">
        <v>454</v>
      </c>
      <c r="F120" s="59" t="s">
        <v>455</v>
      </c>
      <c r="G120" s="37" t="s">
        <v>456</v>
      </c>
      <c r="H120" s="63">
        <v>1000.0</v>
      </c>
      <c r="I120" s="63"/>
      <c r="J120" s="63">
        <f>SUMIFS('SỔ CHI TIẾT BÁN HÀNG'!$G$5:$G$2062,'SỔ CHI TIẾT BÁN HÀNG'!$C$5:$C$2062,'Đơn đặt'!F120,'SỔ CHI TIẾT BÁN HÀNG'!$L$5:$L$2062,'Đơn đặt'!C120)</f>
        <v>1000</v>
      </c>
      <c r="K120" s="63">
        <f t="shared" si="3"/>
        <v>0</v>
      </c>
      <c r="L120" s="63"/>
      <c r="M120" s="72">
        <f>IF(E120="Hàng SX",0,SUMIFS('SỔ CHI TIẾT BÁN HÀNG'!$Q$5:$Q$2863,'SỔ CHI TIẾT BÁN HÀNG'!$C$5:$C$2863,'Đơn đặt'!F120,'SỔ CHI TIẾT BÁN HÀNG'!$N$5:$N$2863,'Đơn đặt'!E120))</f>
        <v>1000</v>
      </c>
      <c r="N120" s="72">
        <f t="shared" si="4"/>
        <v>0</v>
      </c>
      <c r="O120" s="74"/>
      <c r="P120" s="74" t="s">
        <v>80</v>
      </c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hidden="1" customHeight="1">
      <c r="A121" s="51" t="s">
        <v>186</v>
      </c>
      <c r="B121" s="53">
        <v>46063.0</v>
      </c>
      <c r="C121" s="57" t="str">
        <f t="shared" si="2"/>
        <v>02-10-TS26-2026/TS-AVP/ĐĐHHH-CT00095</v>
      </c>
      <c r="D121" s="51" t="s">
        <v>459</v>
      </c>
      <c r="E121" s="37" t="s">
        <v>460</v>
      </c>
      <c r="F121" s="59" t="s">
        <v>196</v>
      </c>
      <c r="G121" s="37" t="s">
        <v>260</v>
      </c>
      <c r="H121" s="63">
        <v>3240.0</v>
      </c>
      <c r="I121" s="63"/>
      <c r="J121" s="63">
        <f>SUMIFS('SỔ CHI TIẾT BÁN HÀNG'!$G$5:$G$2062,'SỔ CHI TIẾT BÁN HÀNG'!$C$5:$C$2062,'Đơn đặt'!F121,'SỔ CHI TIẾT BÁN HÀNG'!$L$5:$L$2062,'Đơn đặt'!C121)</f>
        <v>3240</v>
      </c>
      <c r="K121" s="63">
        <f t="shared" si="3"/>
        <v>0</v>
      </c>
      <c r="L121" s="63"/>
      <c r="M121" s="72">
        <f>IF(E121="Hàng SX",0,SUMIFS('SỔ CHI TIẾT BÁN HÀNG'!$Q$5:$Q$2863,'SỔ CHI TIẾT BÁN HÀNG'!$C$5:$C$2863,'Đơn đặt'!F121,'SỔ CHI TIẾT BÁN HÀNG'!$N$5:$N$2863,'Đơn đặt'!E121))</f>
        <v>3240</v>
      </c>
      <c r="N121" s="72">
        <f t="shared" si="4"/>
        <v>0</v>
      </c>
      <c r="O121" s="74"/>
      <c r="P121" s="74" t="s">
        <v>80</v>
      </c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hidden="1" customHeight="1">
      <c r="A122" s="51" t="s">
        <v>186</v>
      </c>
      <c r="B122" s="53">
        <v>46065.0</v>
      </c>
      <c r="C122" s="57" t="str">
        <f t="shared" si="2"/>
        <v>02-45/TS-LP27-2026/TS-AVP/ĐĐHTP-PE00009</v>
      </c>
      <c r="D122" s="51" t="s">
        <v>463</v>
      </c>
      <c r="E122" s="37" t="s">
        <v>464</v>
      </c>
      <c r="F122" s="59" t="s">
        <v>295</v>
      </c>
      <c r="G122" s="37" t="s">
        <v>296</v>
      </c>
      <c r="H122" s="63">
        <v>1500.0</v>
      </c>
      <c r="I122" s="63"/>
      <c r="J122" s="63">
        <f>SUMIFS('SỔ CHI TIẾT BÁN HÀNG'!$G$5:$G$2062,'SỔ CHI TIẾT BÁN HÀNG'!$C$5:$C$2062,'Đơn đặt'!F122,'SỔ CHI TIẾT BÁN HÀNG'!$L$5:$L$2062,'Đơn đặt'!C122)</f>
        <v>1500</v>
      </c>
      <c r="K122" s="63">
        <f t="shared" si="3"/>
        <v>0</v>
      </c>
      <c r="L122" s="63"/>
      <c r="M122" s="72">
        <f>IF(E122="Hàng SX",0,SUMIFS('SỔ CHI TIẾT BÁN HÀNG'!$Q$5:$Q$2863,'SỔ CHI TIẾT BÁN HÀNG'!$C$5:$C$2863,'Đơn đặt'!F122,'SỔ CHI TIẾT BÁN HÀNG'!$N$5:$N$2863,'Đơn đặt'!E122))</f>
        <v>1500</v>
      </c>
      <c r="N122" s="72">
        <f t="shared" si="4"/>
        <v>0</v>
      </c>
      <c r="O122" s="74"/>
      <c r="P122" s="74" t="s">
        <v>80</v>
      </c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hidden="1" customHeight="1">
      <c r="A123" s="51" t="s">
        <v>186</v>
      </c>
      <c r="B123" s="53">
        <v>46065.0</v>
      </c>
      <c r="C123" s="57" t="str">
        <f t="shared" si="2"/>
        <v>02-45/TS-LP27-2026/TS-AVP/ĐĐHTP-PE00002</v>
      </c>
      <c r="D123" s="51" t="s">
        <v>463</v>
      </c>
      <c r="E123" s="37" t="s">
        <v>464</v>
      </c>
      <c r="F123" s="59" t="s">
        <v>299</v>
      </c>
      <c r="G123" s="37" t="s">
        <v>300</v>
      </c>
      <c r="H123" s="63">
        <v>1000.0</v>
      </c>
      <c r="I123" s="63"/>
      <c r="J123" s="63">
        <f>SUMIFS('SỔ CHI TIẾT BÁN HÀNG'!$G$5:$G$2062,'SỔ CHI TIẾT BÁN HÀNG'!$C$5:$C$2062,'Đơn đặt'!F123,'SỔ CHI TIẾT BÁN HÀNG'!$L$5:$L$2062,'Đơn đặt'!C123)</f>
        <v>1000</v>
      </c>
      <c r="K123" s="63">
        <f t="shared" si="3"/>
        <v>0</v>
      </c>
      <c r="L123" s="63"/>
      <c r="M123" s="72">
        <f>IF(E123="Hàng SX",0,SUMIFS('SỔ CHI TIẾT BÁN HÀNG'!$Q$5:$Q$2863,'SỔ CHI TIẾT BÁN HÀNG'!$C$5:$C$2863,'Đơn đặt'!F123,'SỔ CHI TIẾT BÁN HÀNG'!$N$5:$N$2863,'Đơn đặt'!E123))</f>
        <v>1000</v>
      </c>
      <c r="N123" s="72">
        <f t="shared" si="4"/>
        <v>0</v>
      </c>
      <c r="O123" s="74"/>
      <c r="P123" s="74" t="s">
        <v>80</v>
      </c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hidden="1" customHeight="1">
      <c r="A124" s="51" t="s">
        <v>186</v>
      </c>
      <c r="B124" s="53">
        <v>46065.0</v>
      </c>
      <c r="C124" s="57" t="str">
        <f t="shared" si="2"/>
        <v>02-11-TS28-2026/TS-AVP/ĐĐHHH-CT00054</v>
      </c>
      <c r="D124" s="51" t="s">
        <v>469</v>
      </c>
      <c r="E124" s="37" t="s">
        <v>470</v>
      </c>
      <c r="F124" s="74" t="s">
        <v>222</v>
      </c>
      <c r="G124" s="37" t="s">
        <v>223</v>
      </c>
      <c r="H124" s="63">
        <v>1205.0</v>
      </c>
      <c r="I124" s="63"/>
      <c r="J124" s="63">
        <f>SUMIFS('SỔ CHI TIẾT BÁN HÀNG'!$G$5:$G$2062,'SỔ CHI TIẾT BÁN HÀNG'!$C$5:$C$2062,'Đơn đặt'!F124,'SỔ CHI TIẾT BÁN HÀNG'!$L$5:$L$2062,'Đơn đặt'!C124)</f>
        <v>1205</v>
      </c>
      <c r="K124" s="63">
        <f t="shared" si="3"/>
        <v>0</v>
      </c>
      <c r="L124" s="63"/>
      <c r="M124" s="72">
        <f>IF(E124="Hàng SX",0,SUMIFS('SỔ CHI TIẾT BÁN HÀNG'!$Q$5:$Q$2863,'SỔ CHI TIẾT BÁN HÀNG'!$C$5:$C$2863,'Đơn đặt'!F124,'SỔ CHI TIẾT BÁN HÀNG'!$N$5:$N$2863,'Đơn đặt'!E124))</f>
        <v>1205</v>
      </c>
      <c r="N124" s="72">
        <f t="shared" si="4"/>
        <v>0</v>
      </c>
      <c r="O124" s="74"/>
      <c r="P124" s="74" t="s">
        <v>80</v>
      </c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hidden="1" customHeight="1">
      <c r="A125" s="51" t="s">
        <v>186</v>
      </c>
      <c r="B125" s="53">
        <v>46065.0</v>
      </c>
      <c r="C125" s="57" t="str">
        <f t="shared" si="2"/>
        <v>02-11-TS28-2026/TS-AVP/ĐĐHHH-CT00025</v>
      </c>
      <c r="D125" s="51" t="s">
        <v>469</v>
      </c>
      <c r="E125" s="37" t="s">
        <v>470</v>
      </c>
      <c r="F125" s="74" t="s">
        <v>119</v>
      </c>
      <c r="G125" s="37" t="s">
        <v>120</v>
      </c>
      <c r="H125" s="63">
        <v>2500.0</v>
      </c>
      <c r="I125" s="63"/>
      <c r="J125" s="63">
        <f>SUMIFS('SỔ CHI TIẾT BÁN HÀNG'!$G$5:$G$2062,'SỔ CHI TIẾT BÁN HÀNG'!$C$5:$C$2062,'Đơn đặt'!F125,'SỔ CHI TIẾT BÁN HÀNG'!$L$5:$L$2062,'Đơn đặt'!C125)</f>
        <v>2500</v>
      </c>
      <c r="K125" s="63">
        <f t="shared" si="3"/>
        <v>0</v>
      </c>
      <c r="L125" s="63"/>
      <c r="M125" s="72">
        <f>IF(E125="Hàng SX",0,SUMIFS('SỔ CHI TIẾT BÁN HÀNG'!$Q$5:$Q$2863,'SỔ CHI TIẾT BÁN HÀNG'!$C$5:$C$2863,'Đơn đặt'!F125,'SỔ CHI TIẾT BÁN HÀNG'!$N$5:$N$2863,'Đơn đặt'!E125))</f>
        <v>2500</v>
      </c>
      <c r="N125" s="72">
        <f t="shared" si="4"/>
        <v>0</v>
      </c>
      <c r="O125" s="74"/>
      <c r="P125" s="74" t="s">
        <v>80</v>
      </c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hidden="1" customHeight="1">
      <c r="A126" s="51" t="s">
        <v>186</v>
      </c>
      <c r="B126" s="53">
        <v>46065.0</v>
      </c>
      <c r="C126" s="57" t="str">
        <f t="shared" si="2"/>
        <v>02-11-TS28-2026/TS-AVP/ĐĐHHH-CT00031</v>
      </c>
      <c r="D126" s="51" t="s">
        <v>469</v>
      </c>
      <c r="E126" s="37" t="s">
        <v>470</v>
      </c>
      <c r="F126" s="74" t="s">
        <v>206</v>
      </c>
      <c r="G126" s="37" t="s">
        <v>207</v>
      </c>
      <c r="H126" s="63">
        <v>6000.0</v>
      </c>
      <c r="I126" s="63"/>
      <c r="J126" s="63">
        <f>SUMIFS('SỔ CHI TIẾT BÁN HÀNG'!$G$5:$G$2062,'SỔ CHI TIẾT BÁN HÀNG'!$C$5:$C$2062,'Đơn đặt'!F126,'SỔ CHI TIẾT BÁN HÀNG'!$L$5:$L$2062,'Đơn đặt'!C126)</f>
        <v>6000</v>
      </c>
      <c r="K126" s="63">
        <f t="shared" si="3"/>
        <v>0</v>
      </c>
      <c r="L126" s="63"/>
      <c r="M126" s="72">
        <f>IF(E126="Hàng SX",0,SUMIFS('SỔ CHI TIẾT BÁN HÀNG'!$Q$5:$Q$2863,'SỔ CHI TIẾT BÁN HÀNG'!$C$5:$C$2863,'Đơn đặt'!F126,'SỔ CHI TIẾT BÁN HÀNG'!$N$5:$N$2863,'Đơn đặt'!E126))</f>
        <v>6000</v>
      </c>
      <c r="N126" s="72">
        <f t="shared" si="4"/>
        <v>0</v>
      </c>
      <c r="O126" s="74"/>
      <c r="P126" s="74" t="s">
        <v>80</v>
      </c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hidden="1" customHeight="1">
      <c r="A127" s="51" t="s">
        <v>186</v>
      </c>
      <c r="B127" s="53">
        <v>46065.0</v>
      </c>
      <c r="C127" s="57" t="str">
        <f t="shared" si="2"/>
        <v>02-11-TS28-2026/TS-AVP/ĐĐHHH-CT00061</v>
      </c>
      <c r="D127" s="51" t="s">
        <v>469</v>
      </c>
      <c r="E127" s="37" t="s">
        <v>470</v>
      </c>
      <c r="F127" s="74" t="s">
        <v>272</v>
      </c>
      <c r="G127" s="37" t="s">
        <v>273</v>
      </c>
      <c r="H127" s="63">
        <v>1605.0</v>
      </c>
      <c r="I127" s="63"/>
      <c r="J127" s="63">
        <f>SUMIFS('SỔ CHI TIẾT BÁN HÀNG'!$G$5:$G$2062,'SỔ CHI TIẾT BÁN HÀNG'!$C$5:$C$2062,'Đơn đặt'!F127,'SỔ CHI TIẾT BÁN HÀNG'!$L$5:$L$2062,'Đơn đặt'!C127)</f>
        <v>1605</v>
      </c>
      <c r="K127" s="63">
        <f t="shared" si="3"/>
        <v>0</v>
      </c>
      <c r="L127" s="63"/>
      <c r="M127" s="72">
        <f>IF(E127="Hàng SX",0,SUMIFS('SỔ CHI TIẾT BÁN HÀNG'!$Q$5:$Q$2863,'SỔ CHI TIẾT BÁN HÀNG'!$C$5:$C$2863,'Đơn đặt'!F127,'SỔ CHI TIẾT BÁN HÀNG'!$N$5:$N$2863,'Đơn đặt'!E127))</f>
        <v>1605</v>
      </c>
      <c r="N127" s="72">
        <f t="shared" si="4"/>
        <v>0</v>
      </c>
      <c r="O127" s="74"/>
      <c r="P127" s="74" t="s">
        <v>80</v>
      </c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hidden="1" customHeight="1">
      <c r="A128" s="51" t="s">
        <v>186</v>
      </c>
      <c r="B128" s="53">
        <v>46065.0</v>
      </c>
      <c r="C128" s="57" t="str">
        <f t="shared" si="2"/>
        <v>02-11-TS28-2026/TS-AVP/ĐĐHHH-CT00103</v>
      </c>
      <c r="D128" s="51" t="s">
        <v>469</v>
      </c>
      <c r="E128" s="37" t="s">
        <v>470</v>
      </c>
      <c r="F128" s="74" t="s">
        <v>275</v>
      </c>
      <c r="G128" s="37" t="s">
        <v>276</v>
      </c>
      <c r="H128" s="63">
        <v>1382.0</v>
      </c>
      <c r="I128" s="63"/>
      <c r="J128" s="63">
        <f>SUMIFS('SỔ CHI TIẾT BÁN HÀNG'!$G$5:$G$2062,'SỔ CHI TIẾT BÁN HÀNG'!$C$5:$C$2062,'Đơn đặt'!F128,'SỔ CHI TIẾT BÁN HÀNG'!$L$5:$L$2062,'Đơn đặt'!C128)</f>
        <v>1382</v>
      </c>
      <c r="K128" s="63">
        <f t="shared" si="3"/>
        <v>0</v>
      </c>
      <c r="L128" s="63"/>
      <c r="M128" s="72">
        <f>IF(E128="Hàng SX",0,SUMIFS('SỔ CHI TIẾT BÁN HÀNG'!$Q$5:$Q$2863,'SỔ CHI TIẾT BÁN HÀNG'!$C$5:$C$2863,'Đơn đặt'!F128,'SỔ CHI TIẾT BÁN HÀNG'!$N$5:$N$2863,'Đơn đặt'!E128))</f>
        <v>1382</v>
      </c>
      <c r="N128" s="72">
        <f t="shared" si="4"/>
        <v>0</v>
      </c>
      <c r="O128" s="74"/>
      <c r="P128" s="74" t="s">
        <v>80</v>
      </c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hidden="1" customHeight="1">
      <c r="A129" s="51" t="s">
        <v>186</v>
      </c>
      <c r="B129" s="53">
        <v>46065.0</v>
      </c>
      <c r="C129" s="57" t="str">
        <f t="shared" si="2"/>
        <v>02-12-TS29-2026/TS-AVP/ĐĐHHH-CT00064</v>
      </c>
      <c r="D129" s="51" t="s">
        <v>478</v>
      </c>
      <c r="E129" s="37" t="s">
        <v>479</v>
      </c>
      <c r="F129" s="59" t="s">
        <v>77</v>
      </c>
      <c r="G129" s="37" t="s">
        <v>364</v>
      </c>
      <c r="H129" s="63">
        <v>12325.0</v>
      </c>
      <c r="I129" s="63"/>
      <c r="J129" s="63">
        <f>SUMIFS('SỔ CHI TIẾT BÁN HÀNG'!$G$5:$G$2062,'SỔ CHI TIẾT BÁN HÀNG'!$C$5:$C$2062,'Đơn đặt'!F129,'SỔ CHI TIẾT BÁN HÀNG'!$L$5:$L$2062,'Đơn đặt'!C129)</f>
        <v>12325</v>
      </c>
      <c r="K129" s="63">
        <f t="shared" si="3"/>
        <v>0</v>
      </c>
      <c r="L129" s="63"/>
      <c r="M129" s="72">
        <f>IF(E129="Hàng SX",0,SUMIFS('SỔ CHI TIẾT BÁN HÀNG'!$Q$5:$Q$2863,'SỔ CHI TIẾT BÁN HÀNG'!$C$5:$C$2863,'Đơn đặt'!F129,'SỔ CHI TIẾT BÁN HÀNG'!$N$5:$N$2863,'Đơn đặt'!E129))</f>
        <v>12325</v>
      </c>
      <c r="N129" s="72">
        <f t="shared" si="4"/>
        <v>0</v>
      </c>
      <c r="O129" s="74"/>
      <c r="P129" s="74" t="s">
        <v>80</v>
      </c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hidden="1" customHeight="1">
      <c r="A130" s="51" t="s">
        <v>186</v>
      </c>
      <c r="B130" s="53">
        <v>46066.0</v>
      </c>
      <c r="C130" s="57" t="str">
        <f t="shared" si="2"/>
        <v>2/10/TSC-LTHàng SXTP-LG00008-SG</v>
      </c>
      <c r="D130" s="51" t="s">
        <v>482</v>
      </c>
      <c r="E130" s="37" t="s">
        <v>98</v>
      </c>
      <c r="F130" s="61" t="s">
        <v>110</v>
      </c>
      <c r="G130" s="61" t="s">
        <v>188</v>
      </c>
      <c r="H130" s="63">
        <v>20592.0</v>
      </c>
      <c r="I130" s="63"/>
      <c r="J130" s="63">
        <f>SUMIFS('SỔ CHI TIẾT BÁN HÀNG'!$G$5:$G$2062,'SỔ CHI TIẾT BÁN HÀNG'!$C$5:$C$2062,'Đơn đặt'!F130,'SỔ CHI TIẾT BÁN HÀNG'!$L$5:$L$2062,'Đơn đặt'!C130)</f>
        <v>20592</v>
      </c>
      <c r="K130" s="63">
        <f t="shared" si="3"/>
        <v>0</v>
      </c>
      <c r="L130" s="63"/>
      <c r="M130" s="72">
        <f>IF(E130="Hàng SX",0,SUMIFS('SỔ CHI TIẾT BÁN HÀNG'!$Q$5:$Q$2863,'SỔ CHI TIẾT BÁN HÀNG'!$C$5:$C$2863,'Đơn đặt'!F130,'SỔ CHI TIẾT BÁN HÀNG'!$N$5:$N$2863,'Đơn đặt'!E130))</f>
        <v>0</v>
      </c>
      <c r="N130" s="72">
        <f t="shared" si="4"/>
        <v>0</v>
      </c>
      <c r="O130" s="74"/>
      <c r="P130" s="74" t="s">
        <v>80</v>
      </c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hidden="1" customHeight="1">
      <c r="A131" s="51" t="s">
        <v>186</v>
      </c>
      <c r="B131" s="53">
        <v>46079.0</v>
      </c>
      <c r="C131" s="57" t="str">
        <f t="shared" si="2"/>
        <v>02-49/TS-LP30-2026/TS-AVP/ĐĐHTP-PE00001</v>
      </c>
      <c r="D131" s="51" t="s">
        <v>483</v>
      </c>
      <c r="E131" s="37" t="s">
        <v>484</v>
      </c>
      <c r="F131" s="59" t="s">
        <v>3</v>
      </c>
      <c r="G131" s="37" t="s">
        <v>215</v>
      </c>
      <c r="H131" s="63">
        <v>14000.0</v>
      </c>
      <c r="I131" s="63"/>
      <c r="J131" s="63">
        <f>SUMIFS('SỔ CHI TIẾT BÁN HÀNG'!$G$5:$G$2062,'SỔ CHI TIẾT BÁN HÀNG'!$C$5:$C$2062,'Đơn đặt'!F131,'SỔ CHI TIẾT BÁN HÀNG'!$L$5:$L$2062,'Đơn đặt'!C131)</f>
        <v>14000</v>
      </c>
      <c r="K131" s="63">
        <f t="shared" si="3"/>
        <v>0</v>
      </c>
      <c r="L131" s="63"/>
      <c r="M131" s="72">
        <f>IF(E131="Hàng SX",0,SUMIFS('SỔ CHI TIẾT BÁN HÀNG'!$Q$5:$Q$2863,'SỔ CHI TIẾT BÁN HÀNG'!$C$5:$C$2863,'Đơn đặt'!F131,'SỔ CHI TIẾT BÁN HÀNG'!$N$5:$N$2863,'Đơn đặt'!E131))</f>
        <v>14000</v>
      </c>
      <c r="N131" s="72">
        <f t="shared" si="4"/>
        <v>0</v>
      </c>
      <c r="O131" s="74"/>
      <c r="P131" s="74" t="s">
        <v>80</v>
      </c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hidden="1" customHeight="1">
      <c r="A132" s="51" t="s">
        <v>186</v>
      </c>
      <c r="B132" s="53">
        <v>46091.0</v>
      </c>
      <c r="C132" s="57" t="str">
        <f t="shared" si="2"/>
        <v>03-03-TS33-2026/TS-AVP/ĐĐHHH-CT00132</v>
      </c>
      <c r="D132" s="51" t="s">
        <v>490</v>
      </c>
      <c r="E132" s="37" t="s">
        <v>491</v>
      </c>
      <c r="F132" s="74" t="s">
        <v>492</v>
      </c>
      <c r="G132" s="37" t="s">
        <v>493</v>
      </c>
      <c r="H132" s="63">
        <v>1811.0</v>
      </c>
      <c r="I132" s="63"/>
      <c r="J132" s="63">
        <f>SUMIFS('SỔ CHI TIẾT BÁN HÀNG'!$G$5:$G$2062,'SỔ CHI TIẾT BÁN HÀNG'!$C$5:$C$2062,'Đơn đặt'!F132,'SỔ CHI TIẾT BÁN HÀNG'!$L$5:$L$2062,'Đơn đặt'!C132)</f>
        <v>1811</v>
      </c>
      <c r="K132" s="63">
        <f t="shared" si="3"/>
        <v>0</v>
      </c>
      <c r="L132" s="63"/>
      <c r="M132" s="72">
        <f>IF(E132="Hàng SX",0,SUMIFS('SỔ CHI TIẾT BÁN HÀNG'!$Q$5:$Q$2863,'SỔ CHI TIẾT BÁN HÀNG'!$C$5:$C$2863,'Đơn đặt'!F132,'SỔ CHI TIẾT BÁN HÀNG'!$N$5:$N$2863,'Đơn đặt'!E132))</f>
        <v>1811</v>
      </c>
      <c r="N132" s="72">
        <f t="shared" si="4"/>
        <v>0</v>
      </c>
      <c r="O132" s="74"/>
      <c r="P132" s="74" t="s">
        <v>80</v>
      </c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hidden="1" customHeight="1">
      <c r="A133" s="51" t="s">
        <v>186</v>
      </c>
      <c r="B133" s="53">
        <v>46079.0</v>
      </c>
      <c r="C133" s="57" t="str">
        <f t="shared" si="2"/>
        <v>02-49/TS-LP31-2026/TS-AVP/ĐĐHTP-PE00004</v>
      </c>
      <c r="D133" s="51" t="s">
        <v>483</v>
      </c>
      <c r="E133" s="37" t="s">
        <v>496</v>
      </c>
      <c r="F133" s="59" t="s">
        <v>140</v>
      </c>
      <c r="G133" s="37" t="s">
        <v>211</v>
      </c>
      <c r="H133" s="63">
        <v>4000.0</v>
      </c>
      <c r="I133" s="63"/>
      <c r="J133" s="63">
        <f>SUMIFS('SỔ CHI TIẾT BÁN HÀNG'!$G$5:$G$2062,'SỔ CHI TIẾT BÁN HÀNG'!$C$5:$C$2062,'Đơn đặt'!F133,'SỔ CHI TIẾT BÁN HÀNG'!$L$5:$L$2062,'Đơn đặt'!C133)</f>
        <v>4000</v>
      </c>
      <c r="K133" s="63">
        <f t="shared" si="3"/>
        <v>0</v>
      </c>
      <c r="L133" s="63"/>
      <c r="M133" s="72">
        <f>IF(E133="Hàng SX",0,SUMIFS('SỔ CHI TIẾT BÁN HÀNG'!$Q$5:$Q$2863,'SỔ CHI TIẾT BÁN HÀNG'!$C$5:$C$2863,'Đơn đặt'!F133,'SỔ CHI TIẾT BÁN HÀNG'!$N$5:$N$2863,'Đơn đặt'!E133))</f>
        <v>4000</v>
      </c>
      <c r="N133" s="72">
        <f t="shared" si="4"/>
        <v>0</v>
      </c>
      <c r="O133" s="74"/>
      <c r="P133" s="74" t="s">
        <v>80</v>
      </c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hidden="1" customHeight="1">
      <c r="A134" s="51" t="s">
        <v>186</v>
      </c>
      <c r="B134" s="53">
        <v>46079.0</v>
      </c>
      <c r="C134" s="57" t="str">
        <f t="shared" si="2"/>
        <v>02-49/TS-LP31-2026/TS-AVP/ĐĐHTP-PE00009</v>
      </c>
      <c r="D134" s="51" t="s">
        <v>483</v>
      </c>
      <c r="E134" s="37" t="s">
        <v>496</v>
      </c>
      <c r="F134" s="59" t="s">
        <v>295</v>
      </c>
      <c r="G134" s="37" t="s">
        <v>296</v>
      </c>
      <c r="H134" s="63">
        <v>1000.0</v>
      </c>
      <c r="I134" s="63"/>
      <c r="J134" s="63">
        <f>SUMIFS('SỔ CHI TIẾT BÁN HÀNG'!$G$5:$G$2062,'SỔ CHI TIẾT BÁN HÀNG'!$C$5:$C$2062,'Đơn đặt'!F134,'SỔ CHI TIẾT BÁN HÀNG'!$L$5:$L$2062,'Đơn đặt'!C134)</f>
        <v>1000</v>
      </c>
      <c r="K134" s="63">
        <f t="shared" si="3"/>
        <v>0</v>
      </c>
      <c r="L134" s="63"/>
      <c r="M134" s="72">
        <f>IF(E134="Hàng SX",0,SUMIFS('SỔ CHI TIẾT BÁN HÀNG'!$Q$5:$Q$2863,'SỔ CHI TIẾT BÁN HÀNG'!$C$5:$C$2863,'Đơn đặt'!F134,'SỔ CHI TIẾT BÁN HÀNG'!$N$5:$N$2863,'Đơn đặt'!E134))</f>
        <v>1000</v>
      </c>
      <c r="N134" s="72">
        <f t="shared" si="4"/>
        <v>0</v>
      </c>
      <c r="O134" s="74"/>
      <c r="P134" s="74" t="s">
        <v>80</v>
      </c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hidden="1" customHeight="1">
      <c r="A135" s="51" t="s">
        <v>186</v>
      </c>
      <c r="B135" s="53">
        <v>46090.0</v>
      </c>
      <c r="C135" s="57" t="str">
        <f t="shared" si="2"/>
        <v>03-03/TS-LP32-2026/TS-AVP/ĐĐHTP-PE00004</v>
      </c>
      <c r="D135" s="51" t="s">
        <v>503</v>
      </c>
      <c r="E135" s="37" t="s">
        <v>504</v>
      </c>
      <c r="F135" s="59" t="s">
        <v>140</v>
      </c>
      <c r="G135" s="37" t="s">
        <v>211</v>
      </c>
      <c r="H135" s="63">
        <v>6000.0</v>
      </c>
      <c r="I135" s="63"/>
      <c r="J135" s="63">
        <f>SUMIFS('SỔ CHI TIẾT BÁN HÀNG'!$G$5:$G$2062,'SỔ CHI TIẾT BÁN HÀNG'!$C$5:$C$2062,'Đơn đặt'!F135,'SỔ CHI TIẾT BÁN HÀNG'!$L$5:$L$2062,'Đơn đặt'!C135)</f>
        <v>6000</v>
      </c>
      <c r="K135" s="63">
        <f t="shared" si="3"/>
        <v>0</v>
      </c>
      <c r="L135" s="63"/>
      <c r="M135" s="72">
        <f>IF(E135="Hàng SX",0,SUMIFS('SỔ CHI TIẾT BÁN HÀNG'!$Q$5:$Q$2863,'SỔ CHI TIẾT BÁN HÀNG'!$C$5:$C$2863,'Đơn đặt'!F135,'SỔ CHI TIẾT BÁN HÀNG'!$N$5:$N$2863,'Đơn đặt'!E135))</f>
        <v>6000</v>
      </c>
      <c r="N135" s="72">
        <f t="shared" si="4"/>
        <v>0</v>
      </c>
      <c r="O135" s="74"/>
      <c r="P135" s="74" t="s">
        <v>80</v>
      </c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hidden="1" customHeight="1">
      <c r="A136" s="51" t="s">
        <v>186</v>
      </c>
      <c r="B136" s="53">
        <v>46090.0</v>
      </c>
      <c r="C136" s="57" t="str">
        <f t="shared" si="2"/>
        <v>03-03/TS-LP32-2026/TS-AVP/ĐĐHTP-PE00001</v>
      </c>
      <c r="D136" s="51" t="s">
        <v>503</v>
      </c>
      <c r="E136" s="37" t="s">
        <v>504</v>
      </c>
      <c r="F136" s="59" t="s">
        <v>3</v>
      </c>
      <c r="G136" s="37" t="s">
        <v>215</v>
      </c>
      <c r="H136" s="63">
        <v>10000.0</v>
      </c>
      <c r="I136" s="63"/>
      <c r="J136" s="63">
        <f>SUMIFS('SỔ CHI TIẾT BÁN HÀNG'!$G$5:$G$2062,'SỔ CHI TIẾT BÁN HÀNG'!$C$5:$C$2062,'Đơn đặt'!F136,'SỔ CHI TIẾT BÁN HÀNG'!$L$5:$L$2062,'Đơn đặt'!C136)</f>
        <v>10000</v>
      </c>
      <c r="K136" s="63">
        <f t="shared" si="3"/>
        <v>0</v>
      </c>
      <c r="L136" s="63"/>
      <c r="M136" s="72">
        <f>IF(E136="Hàng SX",0,SUMIFS('SỔ CHI TIẾT BÁN HÀNG'!$Q$5:$Q$2863,'SỔ CHI TIẾT BÁN HÀNG'!$C$5:$C$2863,'Đơn đặt'!F136,'SỔ CHI TIẾT BÁN HÀNG'!$N$5:$N$2863,'Đơn đặt'!E136))</f>
        <v>10000</v>
      </c>
      <c r="N136" s="72">
        <f t="shared" si="4"/>
        <v>0</v>
      </c>
      <c r="O136" s="74"/>
      <c r="P136" s="74" t="s">
        <v>80</v>
      </c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hidden="1" customHeight="1">
      <c r="A137" s="94" t="s">
        <v>186</v>
      </c>
      <c r="B137" s="95">
        <v>46093.0</v>
      </c>
      <c r="C137" s="96" t="str">
        <f t="shared" si="2"/>
        <v>03-06-TS (Mã chưa chạy)34-2026/TS-AVP/ĐĐH</v>
      </c>
      <c r="D137" s="94" t="s">
        <v>511</v>
      </c>
      <c r="E137" s="97" t="s">
        <v>512</v>
      </c>
      <c r="F137" s="98"/>
      <c r="G137" s="97" t="s">
        <v>513</v>
      </c>
      <c r="H137" s="99">
        <v>903.0</v>
      </c>
      <c r="I137" s="63"/>
      <c r="J137" s="99">
        <f>SUMIFS('SỔ CHI TIẾT BÁN HÀNG'!$G$5:$G$2062,'SỔ CHI TIẾT BÁN HÀNG'!$C$5:$C$2062,'Đơn đặt'!F137,'SỔ CHI TIẾT BÁN HÀNG'!$L$5:$L$2062,'Đơn đặt'!C137)</f>
        <v>0</v>
      </c>
      <c r="K137" s="99">
        <f t="shared" si="3"/>
        <v>903</v>
      </c>
      <c r="L137" s="63"/>
      <c r="M137" s="72">
        <f>IF(E137="Hàng SX",0,SUMIFS('SỔ CHI TIẾT BÁN HÀNG'!$Q$5:$Q$2863,'SỔ CHI TIẾT BÁN HÀNG'!$C$5:$C$2863,'Đơn đặt'!F137,'SỔ CHI TIẾT BÁN HÀNG'!$N$5:$N$2863,'Đơn đặt'!E137))</f>
        <v>0</v>
      </c>
      <c r="N137" s="72">
        <f t="shared" si="4"/>
        <v>903</v>
      </c>
      <c r="O137" s="98"/>
      <c r="P137" s="74" t="s">
        <v>80</v>
      </c>
      <c r="Q137" s="69"/>
      <c r="R137" s="69"/>
      <c r="S137" s="69"/>
      <c r="T137" s="69"/>
      <c r="U137" s="69"/>
      <c r="V137" s="69"/>
      <c r="W137" s="69"/>
      <c r="X137" s="69"/>
      <c r="Y137" s="69"/>
      <c r="Z137" s="69"/>
    </row>
    <row r="138" ht="15.75" hidden="1" customHeight="1">
      <c r="A138" s="51" t="s">
        <v>186</v>
      </c>
      <c r="B138" s="53">
        <v>46098.0</v>
      </c>
      <c r="C138" s="57" t="str">
        <f t="shared" si="2"/>
        <v>03-09-TS35-2026/TS-AVP/ĐĐHHH-CT00005</v>
      </c>
      <c r="D138" s="51" t="s">
        <v>518</v>
      </c>
      <c r="E138" s="37" t="s">
        <v>519</v>
      </c>
      <c r="F138" s="74" t="s">
        <v>38</v>
      </c>
      <c r="G138" s="37" t="s">
        <v>36</v>
      </c>
      <c r="H138" s="63">
        <v>2000.0</v>
      </c>
      <c r="I138" s="63"/>
      <c r="J138" s="63">
        <f>SUMIFS('SỔ CHI TIẾT BÁN HÀNG'!$G$5:$G$2062,'SỔ CHI TIẾT BÁN HÀNG'!$C$5:$C$2062,'Đơn đặt'!F138,'SỔ CHI TIẾT BÁN HÀNG'!$L$5:$L$2062,'Đơn đặt'!C138)</f>
        <v>2000</v>
      </c>
      <c r="K138" s="63">
        <f t="shared" si="3"/>
        <v>0</v>
      </c>
      <c r="L138" s="63"/>
      <c r="M138" s="72">
        <f>IF(E138="Hàng SX",0,SUMIFS('SỔ CHI TIẾT BÁN HÀNG'!$Q$5:$Q$2863,'SỔ CHI TIẾT BÁN HÀNG'!$C$5:$C$2863,'Đơn đặt'!F138,'SỔ CHI TIẾT BÁN HÀNG'!$N$5:$N$2863,'Đơn đặt'!E138))</f>
        <v>2000</v>
      </c>
      <c r="N138" s="72">
        <f t="shared" si="4"/>
        <v>0</v>
      </c>
      <c r="O138" s="74"/>
      <c r="P138" s="74" t="s">
        <v>80</v>
      </c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hidden="1" customHeight="1">
      <c r="A139" s="51" t="s">
        <v>186</v>
      </c>
      <c r="B139" s="53">
        <v>46100.0</v>
      </c>
      <c r="C139" s="57" t="str">
        <f t="shared" si="2"/>
        <v>03-12-TS36-2026/TS-AVP/ĐĐHHH-CT00072</v>
      </c>
      <c r="D139" s="51" t="s">
        <v>520</v>
      </c>
      <c r="E139" s="37" t="s">
        <v>521</v>
      </c>
      <c r="F139" s="74" t="s">
        <v>55</v>
      </c>
      <c r="G139" s="37" t="s">
        <v>53</v>
      </c>
      <c r="H139" s="63">
        <v>26700.0</v>
      </c>
      <c r="I139" s="63"/>
      <c r="J139" s="63">
        <f>SUMIFS('SỔ CHI TIẾT BÁN HÀNG'!$G$5:$G$2062,'SỔ CHI TIẾT BÁN HÀNG'!$C$5:$C$2062,'Đơn đặt'!F139,'SỔ CHI TIẾT BÁN HÀNG'!$L$5:$L$2062,'Đơn đặt'!C139)</f>
        <v>26700</v>
      </c>
      <c r="K139" s="63">
        <f t="shared" si="3"/>
        <v>0</v>
      </c>
      <c r="L139" s="63"/>
      <c r="M139" s="72">
        <f>IF(E139="Hàng SX",0,SUMIFS('SỔ CHI TIẾT BÁN HÀNG'!$Q$5:$Q$2863,'SỔ CHI TIẾT BÁN HÀNG'!$C$5:$C$2863,'Đơn đặt'!F139,'SỔ CHI TIẾT BÁN HÀNG'!$N$5:$N$2863,'Đơn đặt'!E139))</f>
        <v>26700</v>
      </c>
      <c r="N139" s="72">
        <f t="shared" si="4"/>
        <v>0</v>
      </c>
      <c r="O139" s="74"/>
      <c r="P139" s="74" t="s">
        <v>80</v>
      </c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hidden="1" customHeight="1">
      <c r="A140" s="51" t="s">
        <v>186</v>
      </c>
      <c r="B140" s="53">
        <v>46100.0</v>
      </c>
      <c r="C140" s="57" t="str">
        <f t="shared" si="2"/>
        <v>03-12-TS37-2026/TS-AVP/ĐĐHHH-CT00007</v>
      </c>
      <c r="D140" s="51" t="s">
        <v>520</v>
      </c>
      <c r="E140" s="37" t="s">
        <v>523</v>
      </c>
      <c r="F140" s="74" t="s">
        <v>48</v>
      </c>
      <c r="G140" s="37" t="s">
        <v>47</v>
      </c>
      <c r="H140" s="63">
        <v>44000.0</v>
      </c>
      <c r="I140" s="63"/>
      <c r="J140" s="63">
        <f>SUMIFS('SỔ CHI TIẾT BÁN HÀNG'!$G$5:$G$2062,'SỔ CHI TIẾT BÁN HÀNG'!$C$5:$C$2062,'Đơn đặt'!F140,'SỔ CHI TIẾT BÁN HÀNG'!$L$5:$L$2062,'Đơn đặt'!C140)</f>
        <v>44000</v>
      </c>
      <c r="K140" s="63">
        <f t="shared" si="3"/>
        <v>0</v>
      </c>
      <c r="L140" s="63"/>
      <c r="M140" s="72">
        <f>IF(E140="Hàng SX",0,SUMIFS('SỔ CHI TIẾT BÁN HÀNG'!$Q$5:$Q$2863,'SỔ CHI TIẾT BÁN HÀNG'!$C$5:$C$2863,'Đơn đặt'!F140,'SỔ CHI TIẾT BÁN HÀNG'!$N$5:$N$2863,'Đơn đặt'!E140))</f>
        <v>46000</v>
      </c>
      <c r="N140" s="72">
        <f t="shared" si="4"/>
        <v>-2000</v>
      </c>
      <c r="O140" s="74"/>
      <c r="P140" s="74" t="s">
        <v>80</v>
      </c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hidden="1" customHeight="1">
      <c r="A141" s="51" t="s">
        <v>186</v>
      </c>
      <c r="B141" s="53">
        <v>46100.0</v>
      </c>
      <c r="C141" s="57" t="str">
        <f t="shared" si="2"/>
        <v>03-12-TS37-2026/TS-AVP/ĐĐHHH-CT00008</v>
      </c>
      <c r="D141" s="51" t="s">
        <v>520</v>
      </c>
      <c r="E141" s="37" t="s">
        <v>523</v>
      </c>
      <c r="F141" s="74" t="s">
        <v>50</v>
      </c>
      <c r="G141" s="37" t="s">
        <v>49</v>
      </c>
      <c r="H141" s="63">
        <v>4000.0</v>
      </c>
      <c r="I141" s="63"/>
      <c r="J141" s="63">
        <f>SUMIFS('SỔ CHI TIẾT BÁN HÀNG'!$G$5:$G$2062,'SỔ CHI TIẾT BÁN HÀNG'!$C$5:$C$2062,'Đơn đặt'!F141,'SỔ CHI TIẾT BÁN HÀNG'!$L$5:$L$2062,'Đơn đặt'!C141)</f>
        <v>9000</v>
      </c>
      <c r="K141" s="63">
        <f t="shared" si="3"/>
        <v>-5000</v>
      </c>
      <c r="L141" s="63"/>
      <c r="M141" s="72">
        <f>IF(E141="Hàng SX",0,SUMIFS('SỔ CHI TIẾT BÁN HÀNG'!$Q$5:$Q$2863,'SỔ CHI TIẾT BÁN HÀNG'!$C$5:$C$2863,'Đơn đặt'!F141,'SỔ CHI TIẾT BÁN HÀNG'!$N$5:$N$2863,'Đơn đặt'!E141))</f>
        <v>9000</v>
      </c>
      <c r="N141" s="72">
        <f t="shared" si="4"/>
        <v>-5000</v>
      </c>
      <c r="O141" s="74"/>
      <c r="P141" s="74" t="s">
        <v>80</v>
      </c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hidden="1" customHeight="1">
      <c r="A142" s="51" t="s">
        <v>186</v>
      </c>
      <c r="B142" s="53">
        <v>46100.0</v>
      </c>
      <c r="C142" s="57" t="str">
        <f t="shared" si="2"/>
        <v>03-12-TS38-2026/TS-AVP/ĐĐHHH-CT00006</v>
      </c>
      <c r="D142" s="51" t="s">
        <v>520</v>
      </c>
      <c r="E142" s="37" t="s">
        <v>527</v>
      </c>
      <c r="F142" s="74" t="s">
        <v>35</v>
      </c>
      <c r="G142" s="37" t="s">
        <v>34</v>
      </c>
      <c r="H142" s="63">
        <v>4000.0</v>
      </c>
      <c r="I142" s="63"/>
      <c r="J142" s="63">
        <f>SUMIFS('SỔ CHI TIẾT BÁN HÀNG'!$G$5:$G$2062,'SỔ CHI TIẾT BÁN HÀNG'!$C$5:$C$2062,'Đơn đặt'!F142,'SỔ CHI TIẾT BÁN HÀNG'!$L$5:$L$2062,'Đơn đặt'!C142)</f>
        <v>4000</v>
      </c>
      <c r="K142" s="63">
        <f t="shared" si="3"/>
        <v>0</v>
      </c>
      <c r="L142" s="63"/>
      <c r="M142" s="72">
        <f>IF(E142="Hàng SX",0,SUMIFS('SỔ CHI TIẾT BÁN HÀNG'!$Q$5:$Q$2863,'SỔ CHI TIẾT BÁN HÀNG'!$C$5:$C$2863,'Đơn đặt'!F142,'SỔ CHI TIẾT BÁN HÀNG'!$N$5:$N$2863,'Đơn đặt'!E142))</f>
        <v>4000</v>
      </c>
      <c r="N142" s="72">
        <f t="shared" si="4"/>
        <v>0</v>
      </c>
      <c r="O142" s="74"/>
      <c r="P142" s="74" t="s">
        <v>80</v>
      </c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hidden="1" customHeight="1">
      <c r="A143" s="51" t="s">
        <v>186</v>
      </c>
      <c r="B143" s="53">
        <v>46100.0</v>
      </c>
      <c r="C143" s="57" t="str">
        <f t="shared" si="2"/>
        <v>03-12-TS38-2026/TS-AVP/ĐĐHHH-CT00028</v>
      </c>
      <c r="D143" s="51" t="s">
        <v>520</v>
      </c>
      <c r="E143" s="37" t="s">
        <v>527</v>
      </c>
      <c r="F143" s="74" t="s">
        <v>21</v>
      </c>
      <c r="G143" s="37" t="s">
        <v>19</v>
      </c>
      <c r="H143" s="63">
        <v>1500.0</v>
      </c>
      <c r="I143" s="63"/>
      <c r="J143" s="63">
        <f>SUMIFS('SỔ CHI TIẾT BÁN HÀNG'!$G$5:$G$2062,'SỔ CHI TIẾT BÁN HÀNG'!$C$5:$C$2062,'Đơn đặt'!F143,'SỔ CHI TIẾT BÁN HÀNG'!$L$5:$L$2062,'Đơn đặt'!C143)</f>
        <v>1500</v>
      </c>
      <c r="K143" s="63">
        <f t="shared" si="3"/>
        <v>0</v>
      </c>
      <c r="L143" s="63"/>
      <c r="M143" s="72">
        <f>IF(E143="Hàng SX",0,SUMIFS('SỔ CHI TIẾT BÁN HÀNG'!$Q$5:$Q$2863,'SỔ CHI TIẾT BÁN HÀNG'!$C$5:$C$2863,'Đơn đặt'!F143,'SỔ CHI TIẾT BÁN HÀNG'!$N$5:$N$2863,'Đơn đặt'!E143))</f>
        <v>1500</v>
      </c>
      <c r="N143" s="72">
        <f t="shared" si="4"/>
        <v>0</v>
      </c>
      <c r="O143" s="74"/>
      <c r="P143" s="74" t="s">
        <v>80</v>
      </c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hidden="1" customHeight="1">
      <c r="A144" s="51" t="s">
        <v>186</v>
      </c>
      <c r="B144" s="53">
        <v>46100.0</v>
      </c>
      <c r="C144" s="57" t="str">
        <f t="shared" si="2"/>
        <v>03-12-TS38-2026/TS-AVP/ĐĐHHH-CT00038</v>
      </c>
      <c r="D144" s="51" t="s">
        <v>520</v>
      </c>
      <c r="E144" s="37" t="s">
        <v>527</v>
      </c>
      <c r="F144" s="74" t="s">
        <v>26</v>
      </c>
      <c r="G144" s="37" t="s">
        <v>25</v>
      </c>
      <c r="H144" s="63">
        <v>600.0</v>
      </c>
      <c r="I144" s="63"/>
      <c r="J144" s="63">
        <f>SUMIFS('SỔ CHI TIẾT BÁN HÀNG'!$G$5:$G$2062,'SỔ CHI TIẾT BÁN HÀNG'!$C$5:$C$2062,'Đơn đặt'!F144,'SỔ CHI TIẾT BÁN HÀNG'!$L$5:$L$2062,'Đơn đặt'!C144)</f>
        <v>600</v>
      </c>
      <c r="K144" s="63">
        <f t="shared" si="3"/>
        <v>0</v>
      </c>
      <c r="L144" s="63"/>
      <c r="M144" s="72">
        <f>IF(E144="Hàng SX",0,SUMIFS('SỔ CHI TIẾT BÁN HÀNG'!$Q$5:$Q$2863,'SỔ CHI TIẾT BÁN HÀNG'!$C$5:$C$2863,'Đơn đặt'!F144,'SỔ CHI TIẾT BÁN HÀNG'!$N$5:$N$2863,'Đơn đặt'!E144))</f>
        <v>600</v>
      </c>
      <c r="N144" s="72">
        <f t="shared" si="4"/>
        <v>0</v>
      </c>
      <c r="O144" s="74"/>
      <c r="P144" s="74" t="s">
        <v>80</v>
      </c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hidden="1" customHeight="1">
      <c r="A145" s="51" t="s">
        <v>186</v>
      </c>
      <c r="B145" s="53">
        <v>46100.0</v>
      </c>
      <c r="C145" s="57" t="str">
        <f t="shared" si="2"/>
        <v>03-12-TS38-2026/TS-AVP/ĐĐHHH-CT00027</v>
      </c>
      <c r="D145" s="51" t="s">
        <v>520</v>
      </c>
      <c r="E145" s="37" t="s">
        <v>527</v>
      </c>
      <c r="F145" s="74" t="s">
        <v>316</v>
      </c>
      <c r="G145" s="37" t="s">
        <v>317</v>
      </c>
      <c r="H145" s="63">
        <v>200.0</v>
      </c>
      <c r="I145" s="63"/>
      <c r="J145" s="63">
        <f>SUMIFS('SỔ CHI TIẾT BÁN HÀNG'!$G$5:$G$2062,'SỔ CHI TIẾT BÁN HÀNG'!$C$5:$C$2062,'Đơn đặt'!F145,'SỔ CHI TIẾT BÁN HÀNG'!$L$5:$L$2062,'Đơn đặt'!C145)</f>
        <v>200</v>
      </c>
      <c r="K145" s="63">
        <f t="shared" si="3"/>
        <v>0</v>
      </c>
      <c r="L145" s="63"/>
      <c r="M145" s="72">
        <f>IF(E145="Hàng SX",0,SUMIFS('SỔ CHI TIẾT BÁN HÀNG'!$Q$5:$Q$2863,'SỔ CHI TIẾT BÁN HÀNG'!$C$5:$C$2863,'Đơn đặt'!F145,'SỔ CHI TIẾT BÁN HÀNG'!$N$5:$N$2863,'Đơn đặt'!E145))</f>
        <v>200</v>
      </c>
      <c r="N145" s="72">
        <f t="shared" si="4"/>
        <v>0</v>
      </c>
      <c r="O145" s="74"/>
      <c r="P145" s="74" t="s">
        <v>80</v>
      </c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hidden="1" customHeight="1">
      <c r="A146" s="51" t="s">
        <v>186</v>
      </c>
      <c r="B146" s="53">
        <v>46100.0</v>
      </c>
      <c r="C146" s="57" t="str">
        <f t="shared" si="2"/>
        <v>03-12-TS38-2026/TS-AVP/ĐĐHHH-CT00131</v>
      </c>
      <c r="D146" s="51" t="s">
        <v>520</v>
      </c>
      <c r="E146" s="37" t="s">
        <v>527</v>
      </c>
      <c r="F146" s="74" t="s">
        <v>59</v>
      </c>
      <c r="G146" s="37" t="s">
        <v>58</v>
      </c>
      <c r="H146" s="63">
        <v>21500.0</v>
      </c>
      <c r="I146" s="63"/>
      <c r="J146" s="63">
        <f>SUMIFS('SỔ CHI TIẾT BÁN HÀNG'!$G$5:$G$2062,'SỔ CHI TIẾT BÁN HÀNG'!$C$5:$C$2062,'Đơn đặt'!F146,'SỔ CHI TIẾT BÁN HÀNG'!$L$5:$L$2062,'Đơn đặt'!C146)</f>
        <v>21500</v>
      </c>
      <c r="K146" s="63">
        <f t="shared" si="3"/>
        <v>0</v>
      </c>
      <c r="L146" s="63"/>
      <c r="M146" s="72">
        <f>IF(E146="Hàng SX",0,SUMIFS('SỔ CHI TIẾT BÁN HÀNG'!$Q$5:$Q$2863,'SỔ CHI TIẾT BÁN HÀNG'!$C$5:$C$2863,'Đơn đặt'!F146,'SỔ CHI TIẾT BÁN HÀNG'!$N$5:$N$2863,'Đơn đặt'!E146))</f>
        <v>21500</v>
      </c>
      <c r="N146" s="72">
        <f t="shared" si="4"/>
        <v>0</v>
      </c>
      <c r="O146" s="74"/>
      <c r="P146" s="74" t="s">
        <v>80</v>
      </c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hidden="1" customHeight="1">
      <c r="A147" s="51" t="s">
        <v>186</v>
      </c>
      <c r="B147" s="53">
        <v>46100.0</v>
      </c>
      <c r="C147" s="57" t="str">
        <f t="shared" si="2"/>
        <v>03-12-TS38-2026/TS-AVP/ĐĐHHH-CT00036</v>
      </c>
      <c r="D147" s="51" t="s">
        <v>520</v>
      </c>
      <c r="E147" s="37" t="s">
        <v>527</v>
      </c>
      <c r="F147" s="74" t="s">
        <v>14</v>
      </c>
      <c r="G147" s="37" t="s">
        <v>13</v>
      </c>
      <c r="H147" s="63">
        <v>10000.0</v>
      </c>
      <c r="I147" s="63"/>
      <c r="J147" s="63">
        <f>SUMIFS('SỔ CHI TIẾT BÁN HÀNG'!$G$5:$G$2062,'SỔ CHI TIẾT BÁN HÀNG'!$C$5:$C$2062,'Đơn đặt'!F147,'SỔ CHI TIẾT BÁN HÀNG'!$L$5:$L$2062,'Đơn đặt'!C147)</f>
        <v>10000</v>
      </c>
      <c r="K147" s="63">
        <f t="shared" si="3"/>
        <v>0</v>
      </c>
      <c r="L147" s="63"/>
      <c r="M147" s="72">
        <f>IF(E147="Hàng SX",0,SUMIFS('SỔ CHI TIẾT BÁN HÀNG'!$Q$5:$Q$2863,'SỔ CHI TIẾT BÁN HÀNG'!$C$5:$C$2863,'Đơn đặt'!F147,'SỔ CHI TIẾT BÁN HÀNG'!$N$5:$N$2863,'Đơn đặt'!E147))</f>
        <v>10440</v>
      </c>
      <c r="N147" s="72">
        <f t="shared" si="4"/>
        <v>-440</v>
      </c>
      <c r="O147" s="74"/>
      <c r="P147" s="74" t="s">
        <v>80</v>
      </c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hidden="1" customHeight="1">
      <c r="A148" s="51" t="s">
        <v>186</v>
      </c>
      <c r="B148" s="53">
        <v>46100.0</v>
      </c>
      <c r="C148" s="57" t="str">
        <f t="shared" si="2"/>
        <v>03-12-TS38-2026/TS-AVP/ĐĐHHH-CT00005</v>
      </c>
      <c r="D148" s="51" t="s">
        <v>520</v>
      </c>
      <c r="E148" s="37" t="s">
        <v>527</v>
      </c>
      <c r="F148" s="74" t="s">
        <v>38</v>
      </c>
      <c r="G148" s="37" t="s">
        <v>36</v>
      </c>
      <c r="H148" s="63">
        <v>10000.0</v>
      </c>
      <c r="I148" s="63"/>
      <c r="J148" s="63">
        <f>SUMIFS('SỔ CHI TIẾT BÁN HÀNG'!$G$5:$G$2062,'SỔ CHI TIẾT BÁN HÀNG'!$C$5:$C$2062,'Đơn đặt'!F148,'SỔ CHI TIẾT BÁN HÀNG'!$L$5:$L$2062,'Đơn đặt'!C148)</f>
        <v>10000</v>
      </c>
      <c r="K148" s="63">
        <f t="shared" si="3"/>
        <v>0</v>
      </c>
      <c r="L148" s="63"/>
      <c r="M148" s="72">
        <f>IF(E148="Hàng SX",0,SUMIFS('SỔ CHI TIẾT BÁN HÀNG'!$Q$5:$Q$2863,'SỔ CHI TIẾT BÁN HÀNG'!$C$5:$C$2863,'Đơn đặt'!F148,'SỔ CHI TIẾT BÁN HÀNG'!$N$5:$N$2863,'Đơn đặt'!E148))</f>
        <v>10000</v>
      </c>
      <c r="N148" s="72">
        <f t="shared" si="4"/>
        <v>0</v>
      </c>
      <c r="O148" s="74"/>
      <c r="P148" s="74" t="s">
        <v>80</v>
      </c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hidden="1" customHeight="1">
      <c r="A149" s="51" t="s">
        <v>186</v>
      </c>
      <c r="B149" s="53">
        <v>46100.0</v>
      </c>
      <c r="C149" s="57" t="str">
        <f t="shared" si="2"/>
        <v>03-12-TS38-2026/TS-AVP/ĐĐHHH-CT00075</v>
      </c>
      <c r="D149" s="51" t="s">
        <v>520</v>
      </c>
      <c r="E149" s="37" t="s">
        <v>527</v>
      </c>
      <c r="F149" s="74" t="s">
        <v>244</v>
      </c>
      <c r="G149" s="37" t="s">
        <v>245</v>
      </c>
      <c r="H149" s="63">
        <v>4640.0</v>
      </c>
      <c r="I149" s="63"/>
      <c r="J149" s="63">
        <f>SUMIFS('SỔ CHI TIẾT BÁN HÀNG'!$G$5:$G$2062,'SỔ CHI TIẾT BÁN HÀNG'!$C$5:$C$2062,'Đơn đặt'!F149,'SỔ CHI TIẾT BÁN HÀNG'!$L$5:$L$2062,'Đơn đặt'!C149)</f>
        <v>4640</v>
      </c>
      <c r="K149" s="63">
        <f t="shared" si="3"/>
        <v>0</v>
      </c>
      <c r="L149" s="63"/>
      <c r="M149" s="72">
        <f>IF(E149="Hàng SX",0,SUMIFS('SỔ CHI TIẾT BÁN HÀNG'!$Q$5:$Q$2863,'SỔ CHI TIẾT BÁN HÀNG'!$C$5:$C$2863,'Đơn đặt'!F149,'SỔ CHI TIẾT BÁN HÀNG'!$N$5:$N$2863,'Đơn đặt'!E149))</f>
        <v>4640</v>
      </c>
      <c r="N149" s="72">
        <f t="shared" si="4"/>
        <v>0</v>
      </c>
      <c r="O149" s="74"/>
      <c r="P149" s="74" t="s">
        <v>80</v>
      </c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hidden="1" customHeight="1">
      <c r="A150" s="51" t="s">
        <v>186</v>
      </c>
      <c r="B150" s="53">
        <v>46100.0</v>
      </c>
      <c r="C150" s="57" t="str">
        <f t="shared" si="2"/>
        <v>03-12-TS38-2026/TS-AVP/ĐĐHHH-CT00078</v>
      </c>
      <c r="D150" s="51" t="s">
        <v>520</v>
      </c>
      <c r="E150" s="37" t="s">
        <v>527</v>
      </c>
      <c r="F150" s="74" t="s">
        <v>41</v>
      </c>
      <c r="G150" s="37" t="s">
        <v>40</v>
      </c>
      <c r="H150" s="63">
        <v>5700.0</v>
      </c>
      <c r="I150" s="63"/>
      <c r="J150" s="63">
        <f>SUMIFS('SỔ CHI TIẾT BÁN HÀNG'!$G$5:$G$2062,'SỔ CHI TIẾT BÁN HÀNG'!$C$5:$C$2062,'Đơn đặt'!F150,'SỔ CHI TIẾT BÁN HÀNG'!$L$5:$L$2062,'Đơn đặt'!C150)</f>
        <v>5700</v>
      </c>
      <c r="K150" s="63">
        <f t="shared" si="3"/>
        <v>0</v>
      </c>
      <c r="L150" s="63"/>
      <c r="M150" s="72">
        <f>IF(E150="Hàng SX",0,SUMIFS('SỔ CHI TIẾT BÁN HÀNG'!$Q$5:$Q$2863,'SỔ CHI TIẾT BÁN HÀNG'!$C$5:$C$2863,'Đơn đặt'!F150,'SỔ CHI TIẾT BÁN HÀNG'!$N$5:$N$2863,'Đơn đặt'!E150))</f>
        <v>5700</v>
      </c>
      <c r="N150" s="72">
        <f t="shared" si="4"/>
        <v>0</v>
      </c>
      <c r="O150" s="74"/>
      <c r="P150" s="74" t="s">
        <v>80</v>
      </c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hidden="1" customHeight="1">
      <c r="A151" s="51" t="s">
        <v>186</v>
      </c>
      <c r="B151" s="53">
        <v>46100.0</v>
      </c>
      <c r="C151" s="57" t="str">
        <f t="shared" si="2"/>
        <v>03-12-TS38-2026/TS-AVP/ĐĐHHH-CT00083</v>
      </c>
      <c r="D151" s="51" t="s">
        <v>520</v>
      </c>
      <c r="E151" s="37" t="s">
        <v>527</v>
      </c>
      <c r="F151" s="74" t="s">
        <v>247</v>
      </c>
      <c r="G151" s="37" t="s">
        <v>249</v>
      </c>
      <c r="H151" s="63">
        <v>3000.0</v>
      </c>
      <c r="I151" s="63"/>
      <c r="J151" s="63">
        <f>SUMIFS('SỔ CHI TIẾT BÁN HÀNG'!$G$5:$G$2062,'SỔ CHI TIẾT BÁN HÀNG'!$C$5:$C$2062,'Đơn đặt'!F151,'SỔ CHI TIẾT BÁN HÀNG'!$L$5:$L$2062,'Đơn đặt'!C151)</f>
        <v>3000</v>
      </c>
      <c r="K151" s="63">
        <f t="shared" si="3"/>
        <v>0</v>
      </c>
      <c r="L151" s="63"/>
      <c r="M151" s="72">
        <f>IF(E151="Hàng SX",0,SUMIFS('SỔ CHI TIẾT BÁN HÀNG'!$Q$5:$Q$2863,'SỔ CHI TIẾT BÁN HÀNG'!$C$5:$C$2863,'Đơn đặt'!F151,'SỔ CHI TIẾT BÁN HÀNG'!$N$5:$N$2863,'Đơn đặt'!E151))</f>
        <v>3000</v>
      </c>
      <c r="N151" s="72">
        <f t="shared" si="4"/>
        <v>0</v>
      </c>
      <c r="O151" s="74"/>
      <c r="P151" s="74" t="s">
        <v>80</v>
      </c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hidden="1" customHeight="1">
      <c r="A152" s="51" t="s">
        <v>186</v>
      </c>
      <c r="B152" s="53">
        <v>46100.0</v>
      </c>
      <c r="C152" s="57" t="str">
        <f t="shared" si="2"/>
        <v>03-12-TS38-2026/TS-AVP/ĐĐHHH-CT00073</v>
      </c>
      <c r="D152" s="51" t="s">
        <v>520</v>
      </c>
      <c r="E152" s="37" t="s">
        <v>527</v>
      </c>
      <c r="F152" s="74" t="s">
        <v>402</v>
      </c>
      <c r="G152" s="37" t="s">
        <v>403</v>
      </c>
      <c r="H152" s="63">
        <v>5520.0</v>
      </c>
      <c r="I152" s="63"/>
      <c r="J152" s="63">
        <f>SUMIFS('SỔ CHI TIẾT BÁN HÀNG'!$G$5:$G$2062,'SỔ CHI TIẾT BÁN HÀNG'!$C$5:$C$2062,'Đơn đặt'!F152,'SỔ CHI TIẾT BÁN HÀNG'!$L$5:$L$2062,'Đơn đặt'!C152)</f>
        <v>5390</v>
      </c>
      <c r="K152" s="63">
        <f t="shared" si="3"/>
        <v>130</v>
      </c>
      <c r="L152" s="63"/>
      <c r="M152" s="72">
        <f>IF(E152="Hàng SX",0,SUMIFS('SỔ CHI TIẾT BÁN HÀNG'!$Q$5:$Q$2863,'SỔ CHI TIẾT BÁN HÀNG'!$C$5:$C$2863,'Đơn đặt'!F152,'SỔ CHI TIẾT BÁN HÀNG'!$N$5:$N$2863,'Đơn đặt'!E152))</f>
        <v>5390</v>
      </c>
      <c r="N152" s="72">
        <f t="shared" si="4"/>
        <v>130</v>
      </c>
      <c r="O152" s="74"/>
      <c r="P152" s="74" t="s">
        <v>80</v>
      </c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hidden="1" customHeight="1">
      <c r="A153" s="51" t="s">
        <v>186</v>
      </c>
      <c r="B153" s="53">
        <v>46100.0</v>
      </c>
      <c r="C153" s="57" t="str">
        <f t="shared" si="2"/>
        <v>03-12-TS38-2026/TS-AVP/ĐĐHHH-CT00077</v>
      </c>
      <c r="D153" s="51" t="s">
        <v>520</v>
      </c>
      <c r="E153" s="37" t="s">
        <v>527</v>
      </c>
      <c r="F153" s="59" t="s">
        <v>329</v>
      </c>
      <c r="G153" s="37" t="s">
        <v>330</v>
      </c>
      <c r="H153" s="63">
        <v>1600.0</v>
      </c>
      <c r="I153" s="63"/>
      <c r="J153" s="63">
        <f>SUMIFS('SỔ CHI TIẾT BÁN HÀNG'!$G$5:$G$2062,'SỔ CHI TIẾT BÁN HÀNG'!$C$5:$C$2062,'Đơn đặt'!F153,'SỔ CHI TIẾT BÁN HÀNG'!$L$5:$L$2062,'Đơn đặt'!C153)</f>
        <v>1600</v>
      </c>
      <c r="K153" s="63">
        <f t="shared" si="3"/>
        <v>0</v>
      </c>
      <c r="L153" s="63"/>
      <c r="M153" s="72">
        <f>IF(E153="Hàng SX",0,SUMIFS('SỔ CHI TIẾT BÁN HÀNG'!$Q$5:$Q$2863,'SỔ CHI TIẾT BÁN HÀNG'!$C$5:$C$2863,'Đơn đặt'!F153,'SỔ CHI TIẾT BÁN HÀNG'!$N$5:$N$2863,'Đơn đặt'!E153))</f>
        <v>1600</v>
      </c>
      <c r="N153" s="72">
        <f t="shared" si="4"/>
        <v>0</v>
      </c>
      <c r="O153" s="74"/>
      <c r="P153" s="74" t="s">
        <v>80</v>
      </c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hidden="1" customHeight="1">
      <c r="A154" s="51" t="s">
        <v>186</v>
      </c>
      <c r="B154" s="53">
        <v>46100.0</v>
      </c>
      <c r="C154" s="57" t="str">
        <f t="shared" si="2"/>
        <v>03-12-TS38-2026/TS-AVP/ĐĐHHH-CT00081</v>
      </c>
      <c r="D154" s="51" t="s">
        <v>520</v>
      </c>
      <c r="E154" s="37" t="s">
        <v>527</v>
      </c>
      <c r="F154" s="74" t="s">
        <v>17</v>
      </c>
      <c r="G154" s="37" t="s">
        <v>16</v>
      </c>
      <c r="H154" s="63">
        <v>1500.0</v>
      </c>
      <c r="I154" s="63"/>
      <c r="J154" s="63">
        <f>SUMIFS('SỔ CHI TIẾT BÁN HÀNG'!$G$5:$G$2062,'SỔ CHI TIẾT BÁN HÀNG'!$C$5:$C$2062,'Đơn đặt'!F154,'SỔ CHI TIẾT BÁN HÀNG'!$L$5:$L$2062,'Đơn đặt'!C154)</f>
        <v>1500</v>
      </c>
      <c r="K154" s="63">
        <f t="shared" si="3"/>
        <v>0</v>
      </c>
      <c r="L154" s="63"/>
      <c r="M154" s="72">
        <f>IF(E154="Hàng SX",0,SUMIFS('SỔ CHI TIẾT BÁN HÀNG'!$Q$5:$Q$2863,'SỔ CHI TIẾT BÁN HÀNG'!$C$5:$C$2863,'Đơn đặt'!F154,'SỔ CHI TIẾT BÁN HÀNG'!$N$5:$N$2863,'Đơn đặt'!E154))</f>
        <v>1500</v>
      </c>
      <c r="N154" s="72">
        <f t="shared" si="4"/>
        <v>0</v>
      </c>
      <c r="O154" s="74"/>
      <c r="P154" s="74" t="s">
        <v>80</v>
      </c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hidden="1" customHeight="1">
      <c r="A155" s="51" t="s">
        <v>186</v>
      </c>
      <c r="B155" s="53">
        <v>46100.0</v>
      </c>
      <c r="C155" s="57" t="str">
        <f t="shared" si="2"/>
        <v>03-12-TS38-2026/TS-AVP/ĐĐHHH-CT00089</v>
      </c>
      <c r="D155" s="51" t="s">
        <v>520</v>
      </c>
      <c r="E155" s="37" t="s">
        <v>527</v>
      </c>
      <c r="F155" s="74" t="s">
        <v>29</v>
      </c>
      <c r="G155" s="37" t="s">
        <v>28</v>
      </c>
      <c r="H155" s="63">
        <v>900.0</v>
      </c>
      <c r="I155" s="63"/>
      <c r="J155" s="63">
        <f>SUMIFS('SỔ CHI TIẾT BÁN HÀNG'!$G$5:$G$2062,'SỔ CHI TIẾT BÁN HÀNG'!$C$5:$C$2062,'Đơn đặt'!F155,'SỔ CHI TIẾT BÁN HÀNG'!$L$5:$L$2062,'Đơn đặt'!C155)</f>
        <v>900</v>
      </c>
      <c r="K155" s="63">
        <f t="shared" si="3"/>
        <v>0</v>
      </c>
      <c r="L155" s="63"/>
      <c r="M155" s="72">
        <f>IF(E155="Hàng SX",0,SUMIFS('SỔ CHI TIẾT BÁN HÀNG'!$Q$5:$Q$2863,'SỔ CHI TIẾT BÁN HÀNG'!$C$5:$C$2863,'Đơn đặt'!F155,'SỔ CHI TIẾT BÁN HÀNG'!$N$5:$N$2863,'Đơn đặt'!E155))</f>
        <v>900</v>
      </c>
      <c r="N155" s="72">
        <f t="shared" si="4"/>
        <v>0</v>
      </c>
      <c r="O155" s="74"/>
      <c r="P155" s="74" t="s">
        <v>80</v>
      </c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hidden="1" customHeight="1">
      <c r="A156" s="51" t="s">
        <v>186</v>
      </c>
      <c r="B156" s="53">
        <v>46100.0</v>
      </c>
      <c r="C156" s="57" t="str">
        <f t="shared" si="2"/>
        <v>03-12-TS38-2026/TS-AVP/ĐĐHHH-CT00090</v>
      </c>
      <c r="D156" s="51" t="s">
        <v>520</v>
      </c>
      <c r="E156" s="37" t="s">
        <v>527</v>
      </c>
      <c r="F156" s="74" t="s">
        <v>419</v>
      </c>
      <c r="G156" s="37" t="s">
        <v>420</v>
      </c>
      <c r="H156" s="63">
        <v>730.0</v>
      </c>
      <c r="I156" s="63"/>
      <c r="J156" s="63">
        <f>SUMIFS('SỔ CHI TIẾT BÁN HÀNG'!$G$5:$G$2062,'SỔ CHI TIẾT BÁN HÀNG'!$C$5:$C$2062,'Đơn đặt'!F156,'SỔ CHI TIẾT BÁN HÀNG'!$L$5:$L$2062,'Đơn đặt'!C156)</f>
        <v>730</v>
      </c>
      <c r="K156" s="63">
        <f t="shared" si="3"/>
        <v>0</v>
      </c>
      <c r="L156" s="63"/>
      <c r="M156" s="72">
        <f>IF(E156="Hàng SX",0,SUMIFS('SỔ CHI TIẾT BÁN HÀNG'!$Q$5:$Q$2863,'SỔ CHI TIẾT BÁN HÀNG'!$C$5:$C$2863,'Đơn đặt'!F156,'SỔ CHI TIẾT BÁN HÀNG'!$N$5:$N$2863,'Đơn đặt'!E156))</f>
        <v>730</v>
      </c>
      <c r="N156" s="72">
        <f t="shared" si="4"/>
        <v>0</v>
      </c>
      <c r="O156" s="74"/>
      <c r="P156" s="74" t="s">
        <v>80</v>
      </c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hidden="1" customHeight="1">
      <c r="A157" s="51" t="s">
        <v>186</v>
      </c>
      <c r="B157" s="53">
        <v>46100.0</v>
      </c>
      <c r="C157" s="57" t="str">
        <f t="shared" si="2"/>
        <v>03-12-TS38-2026/TS-AVP/ĐĐHHH-CT00002</v>
      </c>
      <c r="D157" s="51" t="s">
        <v>520</v>
      </c>
      <c r="E157" s="37" t="s">
        <v>527</v>
      </c>
      <c r="F157" s="74" t="s">
        <v>423</v>
      </c>
      <c r="G157" s="61" t="s">
        <v>424</v>
      </c>
      <c r="H157" s="63">
        <v>500.0</v>
      </c>
      <c r="I157" s="63"/>
      <c r="J157" s="63">
        <f>SUMIFS('SỔ CHI TIẾT BÁN HÀNG'!$G$5:$G$2062,'SỔ CHI TIẾT BÁN HÀNG'!$C$5:$C$2062,'Đơn đặt'!F157,'SỔ CHI TIẾT BÁN HÀNG'!$L$5:$L$2062,'Đơn đặt'!C157)</f>
        <v>500</v>
      </c>
      <c r="K157" s="63">
        <f t="shared" si="3"/>
        <v>0</v>
      </c>
      <c r="L157" s="63"/>
      <c r="M157" s="72">
        <f>IF(E157="Hàng SX",0,SUMIFS('SỔ CHI TIẾT BÁN HÀNG'!$Q$5:$Q$2863,'SỔ CHI TIẾT BÁN HÀNG'!$C$5:$C$2863,'Đơn đặt'!F157,'SỔ CHI TIẾT BÁN HÀNG'!$N$5:$N$2863,'Đơn đặt'!E157))</f>
        <v>500</v>
      </c>
      <c r="N157" s="72">
        <f t="shared" si="4"/>
        <v>0</v>
      </c>
      <c r="O157" s="74"/>
      <c r="P157" s="74" t="s">
        <v>80</v>
      </c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hidden="1" customHeight="1">
      <c r="A158" s="51" t="s">
        <v>186</v>
      </c>
      <c r="B158" s="53">
        <v>46100.0</v>
      </c>
      <c r="C158" s="57" t="str">
        <f t="shared" si="2"/>
        <v>03-12-TS38-2026/TS-AVP/ĐĐHHH-CT00055</v>
      </c>
      <c r="D158" s="51" t="s">
        <v>520</v>
      </c>
      <c r="E158" s="37" t="s">
        <v>527</v>
      </c>
      <c r="F158" s="74" t="s">
        <v>561</v>
      </c>
      <c r="G158" s="37" t="s">
        <v>562</v>
      </c>
      <c r="H158" s="63">
        <v>140.0</v>
      </c>
      <c r="I158" s="63"/>
      <c r="J158" s="63">
        <f>SUMIFS('SỔ CHI TIẾT BÁN HÀNG'!$G$5:$G$2062,'SỔ CHI TIẾT BÁN HÀNG'!$C$5:$C$2062,'Đơn đặt'!F158,'SỔ CHI TIẾT BÁN HÀNG'!$L$5:$L$2062,'Đơn đặt'!C158)</f>
        <v>140</v>
      </c>
      <c r="K158" s="63">
        <f t="shared" si="3"/>
        <v>0</v>
      </c>
      <c r="L158" s="63"/>
      <c r="M158" s="72">
        <f>IF(E158="Hàng SX",0,SUMIFS('SỔ CHI TIẾT BÁN HÀNG'!$Q$5:$Q$2863,'SỔ CHI TIẾT BÁN HÀNG'!$C$5:$C$2863,'Đơn đặt'!F158,'SỔ CHI TIẾT BÁN HÀNG'!$N$5:$N$2863,'Đơn đặt'!E158))</f>
        <v>140</v>
      </c>
      <c r="N158" s="72">
        <f t="shared" si="4"/>
        <v>0</v>
      </c>
      <c r="O158" s="74"/>
      <c r="P158" s="74" t="s">
        <v>80</v>
      </c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hidden="1" customHeight="1">
      <c r="A159" s="51" t="s">
        <v>186</v>
      </c>
      <c r="B159" s="53">
        <v>46100.0</v>
      </c>
      <c r="C159" s="57" t="str">
        <f t="shared" si="2"/>
        <v>04-07/TS-LP39-2026/TS-AVP/ĐĐHHH-NT00013</v>
      </c>
      <c r="D159" s="51" t="s">
        <v>565</v>
      </c>
      <c r="E159" s="37" t="s">
        <v>566</v>
      </c>
      <c r="F159" s="74" t="s">
        <v>6</v>
      </c>
      <c r="G159" s="37" t="s">
        <v>358</v>
      </c>
      <c r="H159" s="63">
        <v>1200000.0</v>
      </c>
      <c r="I159" s="63"/>
      <c r="J159" s="63">
        <f>SUMIFS('SỔ CHI TIẾT BÁN HÀNG'!$G$5:$G$2062,'SỔ CHI TIẾT BÁN HÀNG'!$C$5:$C$2062,'Đơn đặt'!F159,'SỔ CHI TIẾT BÁN HÀNG'!$L$5:$L$2062,'Đơn đặt'!C159)</f>
        <v>1200000</v>
      </c>
      <c r="K159" s="63">
        <f t="shared" si="3"/>
        <v>0</v>
      </c>
      <c r="L159" s="63"/>
      <c r="M159" s="72">
        <f>IF(E159="Hàng SX",0,SUMIFS('SỔ CHI TIẾT BÁN HÀNG'!$Q$5:$Q$2863,'SỔ CHI TIẾT BÁN HÀNG'!$C$5:$C$2863,'Đơn đặt'!F159,'SỔ CHI TIẾT BÁN HÀNG'!$N$5:$N$2863,'Đơn đặt'!E159))</f>
        <v>1200000</v>
      </c>
      <c r="N159" s="72">
        <f t="shared" si="4"/>
        <v>0</v>
      </c>
      <c r="O159" s="74"/>
      <c r="P159" s="74" t="s">
        <v>80</v>
      </c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hidden="1" customHeight="1">
      <c r="A160" s="51" t="s">
        <v>186</v>
      </c>
      <c r="B160" s="53">
        <v>46100.0</v>
      </c>
      <c r="C160" s="57" t="str">
        <f t="shared" si="2"/>
        <v>04-07/TS-LP39-2026/TS-AVP/ĐĐHHH-NT00012</v>
      </c>
      <c r="D160" s="51" t="s">
        <v>565</v>
      </c>
      <c r="E160" s="37" t="s">
        <v>566</v>
      </c>
      <c r="F160" s="74" t="s">
        <v>446</v>
      </c>
      <c r="G160" s="37" t="s">
        <v>448</v>
      </c>
      <c r="H160" s="63">
        <v>400000.0</v>
      </c>
      <c r="I160" s="63"/>
      <c r="J160" s="63">
        <f>SUMIFS('SỔ CHI TIẾT BÁN HÀNG'!$G$5:$G$2062,'SỔ CHI TIẾT BÁN HÀNG'!$C$5:$C$2062,'Đơn đặt'!F160,'SỔ CHI TIẾT BÁN HÀNG'!$L$5:$L$2062,'Đơn đặt'!C160)</f>
        <v>400000</v>
      </c>
      <c r="K160" s="63">
        <f t="shared" si="3"/>
        <v>0</v>
      </c>
      <c r="L160" s="63"/>
      <c r="M160" s="72">
        <f>IF(E160="Hàng SX",0,SUMIFS('SỔ CHI TIẾT BÁN HÀNG'!$Q$5:$Q$2863,'SỔ CHI TIẾT BÁN HÀNG'!$C$5:$C$2863,'Đơn đặt'!F160,'SỔ CHI TIẾT BÁN HÀNG'!$N$5:$N$2863,'Đơn đặt'!E160))</f>
        <v>400000</v>
      </c>
      <c r="N160" s="72">
        <f t="shared" si="4"/>
        <v>0</v>
      </c>
      <c r="O160" s="74"/>
      <c r="P160" s="74" t="s">
        <v>80</v>
      </c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hidden="1" customHeight="1">
      <c r="A161" s="51" t="s">
        <v>186</v>
      </c>
      <c r="B161" s="53">
        <v>46100.0</v>
      </c>
      <c r="C161" s="57" t="str">
        <f t="shared" si="2"/>
        <v>04-07/TS-LP39-2026/TS-AVP/ĐĐHHH-NT00011</v>
      </c>
      <c r="D161" s="51" t="s">
        <v>565</v>
      </c>
      <c r="E161" s="37" t="s">
        <v>566</v>
      </c>
      <c r="F161" s="74" t="s">
        <v>9</v>
      </c>
      <c r="G161" s="37" t="s">
        <v>361</v>
      </c>
      <c r="H161" s="63">
        <v>2000000.0</v>
      </c>
      <c r="I161" s="63"/>
      <c r="J161" s="63">
        <f>SUMIFS('SỔ CHI TIẾT BÁN HÀNG'!$G$5:$G$2062,'SỔ CHI TIẾT BÁN HÀNG'!$C$5:$C$2062,'Đơn đặt'!F161,'SỔ CHI TIẾT BÁN HÀNG'!$L$5:$L$2062,'Đơn đặt'!C161)</f>
        <v>2000000</v>
      </c>
      <c r="K161" s="63">
        <f t="shared" si="3"/>
        <v>0</v>
      </c>
      <c r="L161" s="63"/>
      <c r="M161" s="72">
        <f>IF(E161="Hàng SX",0,SUMIFS('SỔ CHI TIẾT BÁN HÀNG'!$Q$5:$Q$2863,'SỔ CHI TIẾT BÁN HÀNG'!$C$5:$C$2863,'Đơn đặt'!F161,'SỔ CHI TIẾT BÁN HÀNG'!$N$5:$N$2863,'Đơn đặt'!E161))</f>
        <v>2000000</v>
      </c>
      <c r="N161" s="72">
        <f t="shared" si="4"/>
        <v>0</v>
      </c>
      <c r="O161" s="74"/>
      <c r="P161" s="74" t="s">
        <v>80</v>
      </c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hidden="1" customHeight="1">
      <c r="A162" s="51" t="s">
        <v>186</v>
      </c>
      <c r="B162" s="53">
        <v>46100.0</v>
      </c>
      <c r="C162" s="57" t="str">
        <f t="shared" si="2"/>
        <v>03-12-TS40-2026/TS-AVP/ĐĐHHH-CT00131</v>
      </c>
      <c r="D162" s="51" t="s">
        <v>520</v>
      </c>
      <c r="E162" s="37" t="s">
        <v>571</v>
      </c>
      <c r="F162" s="74" t="s">
        <v>59</v>
      </c>
      <c r="G162" s="37" t="s">
        <v>58</v>
      </c>
      <c r="H162" s="63">
        <v>500.0</v>
      </c>
      <c r="I162" s="63"/>
      <c r="J162" s="63">
        <f>SUMIFS('SỔ CHI TIẾT BÁN HÀNG'!$G$5:$G$2062,'SỔ CHI TIẾT BÁN HÀNG'!$C$5:$C$2062,'Đơn đặt'!F162,'SỔ CHI TIẾT BÁN HÀNG'!$L$5:$L$2062,'Đơn đặt'!C162)</f>
        <v>410</v>
      </c>
      <c r="K162" s="63">
        <f t="shared" si="3"/>
        <v>90</v>
      </c>
      <c r="L162" s="63"/>
      <c r="M162" s="72">
        <f>IF(E162="Hàng SX",0,SUMIFS('SỔ CHI TIẾT BÁN HÀNG'!$Q$5:$Q$2863,'SỔ CHI TIẾT BÁN HÀNG'!$C$5:$C$2863,'Đơn đặt'!F162,'SỔ CHI TIẾT BÁN HÀNG'!$N$5:$N$2863,'Đơn đặt'!E162))</f>
        <v>410</v>
      </c>
      <c r="N162" s="72">
        <f t="shared" si="4"/>
        <v>90</v>
      </c>
      <c r="O162" s="74"/>
      <c r="P162" s="74" t="s">
        <v>80</v>
      </c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hidden="1" customHeight="1">
      <c r="A163" s="51" t="s">
        <v>186</v>
      </c>
      <c r="B163" s="53">
        <v>46100.0</v>
      </c>
      <c r="C163" s="57" t="str">
        <f t="shared" si="2"/>
        <v>03-12-TS40-2026/TS-AVP/ĐĐHHH-CT00036</v>
      </c>
      <c r="D163" s="51" t="s">
        <v>520</v>
      </c>
      <c r="E163" s="37" t="s">
        <v>571</v>
      </c>
      <c r="F163" s="74" t="s">
        <v>14</v>
      </c>
      <c r="G163" s="37" t="s">
        <v>13</v>
      </c>
      <c r="H163" s="63">
        <v>500.0</v>
      </c>
      <c r="I163" s="63"/>
      <c r="J163" s="63">
        <f>SUMIFS('SỔ CHI TIẾT BÁN HÀNG'!$G$5:$G$2062,'SỔ CHI TIẾT BÁN HÀNG'!$C$5:$C$2062,'Đơn đặt'!F163,'SỔ CHI TIẾT BÁN HÀNG'!$L$5:$L$2062,'Đơn đặt'!C163)</f>
        <v>500</v>
      </c>
      <c r="K163" s="63">
        <f t="shared" si="3"/>
        <v>0</v>
      </c>
      <c r="L163" s="63"/>
      <c r="M163" s="72">
        <f>IF(E163="Hàng SX",0,SUMIFS('SỔ CHI TIẾT BÁN HÀNG'!$Q$5:$Q$2863,'SỔ CHI TIẾT BÁN HÀNG'!$C$5:$C$2863,'Đơn đặt'!F163,'SỔ CHI TIẾT BÁN HÀNG'!$N$5:$N$2863,'Đơn đặt'!E163))</f>
        <v>500</v>
      </c>
      <c r="N163" s="72">
        <f t="shared" si="4"/>
        <v>0</v>
      </c>
      <c r="O163" s="74"/>
      <c r="P163" s="74" t="s">
        <v>80</v>
      </c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hidden="1" customHeight="1">
      <c r="A164" s="51" t="s">
        <v>186</v>
      </c>
      <c r="B164" s="53">
        <v>46112.0</v>
      </c>
      <c r="C164" s="57" t="str">
        <f t="shared" si="2"/>
        <v>03-17-TS41-2026/TS-AVP/ĐĐHHH-CT00034-SG</v>
      </c>
      <c r="D164" s="51" t="s">
        <v>573</v>
      </c>
      <c r="E164" s="37" t="s">
        <v>574</v>
      </c>
      <c r="F164" s="59" t="s">
        <v>575</v>
      </c>
      <c r="G164" s="37" t="s">
        <v>576</v>
      </c>
      <c r="H164" s="63">
        <v>300.0</v>
      </c>
      <c r="I164" s="63"/>
      <c r="J164" s="63">
        <f>SUMIFS('SỔ CHI TIẾT BÁN HÀNG'!$G$5:$G$2062,'SỔ CHI TIẾT BÁN HÀNG'!$C$5:$C$2062,'Đơn đặt'!F164,'SỔ CHI TIẾT BÁN HÀNG'!$L$5:$L$2062,'Đơn đặt'!C164)</f>
        <v>300</v>
      </c>
      <c r="K164" s="63">
        <f t="shared" si="3"/>
        <v>0</v>
      </c>
      <c r="L164" s="63"/>
      <c r="M164" s="72">
        <f>IF(E164="Hàng SX",0,SUMIFS('SỔ CHI TIẾT BÁN HÀNG'!$Q$5:$Q$2863,'SỔ CHI TIẾT BÁN HÀNG'!$C$5:$C$2863,'Đơn đặt'!F164,'SỔ CHI TIẾT BÁN HÀNG'!$N$5:$N$2863,'Đơn đặt'!E164))</f>
        <v>300</v>
      </c>
      <c r="N164" s="72">
        <f t="shared" si="4"/>
        <v>0</v>
      </c>
      <c r="O164" s="74"/>
      <c r="P164" s="74" t="s">
        <v>80</v>
      </c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hidden="1" customHeight="1">
      <c r="A165" s="51" t="s">
        <v>186</v>
      </c>
      <c r="B165" s="53">
        <v>46112.0</v>
      </c>
      <c r="C165" s="57" t="str">
        <f t="shared" si="2"/>
        <v>03-18-TS42-2026/TS-AVP/ĐĐHHH-CT00103</v>
      </c>
      <c r="D165" s="51" t="s">
        <v>580</v>
      </c>
      <c r="E165" s="37" t="s">
        <v>581</v>
      </c>
      <c r="F165" s="74" t="s">
        <v>275</v>
      </c>
      <c r="G165" s="37" t="s">
        <v>276</v>
      </c>
      <c r="H165" s="63">
        <v>1080.0</v>
      </c>
      <c r="I165" s="63"/>
      <c r="J165" s="63">
        <f>SUMIFS('SỔ CHI TIẾT BÁN HÀNG'!$G$5:$G$2062,'SỔ CHI TIẾT BÁN HÀNG'!$C$5:$C$2062,'Đơn đặt'!F165,'SỔ CHI TIẾT BÁN HÀNG'!$L$5:$L$2062,'Đơn đặt'!C165)</f>
        <v>1080</v>
      </c>
      <c r="K165" s="63">
        <f t="shared" si="3"/>
        <v>0</v>
      </c>
      <c r="L165" s="63"/>
      <c r="M165" s="72">
        <f>IF(E165="Hàng SX",0,SUMIFS('SỔ CHI TIẾT BÁN HÀNG'!$Q$5:$Q$2863,'SỔ CHI TIẾT BÁN HÀNG'!$C$5:$C$2863,'Đơn đặt'!F165,'SỔ CHI TIẾT BÁN HÀNG'!$N$5:$N$2863,'Đơn đặt'!E165))</f>
        <v>1080</v>
      </c>
      <c r="N165" s="72">
        <f t="shared" si="4"/>
        <v>0</v>
      </c>
      <c r="O165" s="74"/>
      <c r="P165" s="74" t="s">
        <v>80</v>
      </c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hidden="1" customHeight="1">
      <c r="A166" s="51" t="s">
        <v>186</v>
      </c>
      <c r="B166" s="53">
        <v>46112.0</v>
      </c>
      <c r="C166" s="57" t="str">
        <f t="shared" si="2"/>
        <v>03-18-TS42-2026/TS-AVP/ĐĐHHH-CT00104</v>
      </c>
      <c r="D166" s="51" t="s">
        <v>580</v>
      </c>
      <c r="E166" s="37" t="s">
        <v>581</v>
      </c>
      <c r="F166" s="74" t="s">
        <v>279</v>
      </c>
      <c r="G166" s="37" t="s">
        <v>280</v>
      </c>
      <c r="H166" s="63">
        <v>300.0</v>
      </c>
      <c r="I166" s="63"/>
      <c r="J166" s="63">
        <f>SUMIFS('SỔ CHI TIẾT BÁN HÀNG'!$G$5:$G$2062,'SỔ CHI TIẾT BÁN HÀNG'!$C$5:$C$2062,'Đơn đặt'!F166,'SỔ CHI TIẾT BÁN HÀNG'!$L$5:$L$2062,'Đơn đặt'!C166)</f>
        <v>300</v>
      </c>
      <c r="K166" s="63">
        <f t="shared" si="3"/>
        <v>0</v>
      </c>
      <c r="L166" s="63"/>
      <c r="M166" s="72">
        <f>IF(E166="Hàng SX",0,SUMIFS('SỔ CHI TIẾT BÁN HÀNG'!$Q$5:$Q$2863,'SỔ CHI TIẾT BÁN HÀNG'!$C$5:$C$2863,'Đơn đặt'!F166,'SỔ CHI TIẾT BÁN HÀNG'!$N$5:$N$2863,'Đơn đặt'!E166))</f>
        <v>300</v>
      </c>
      <c r="N166" s="72">
        <f t="shared" si="4"/>
        <v>0</v>
      </c>
      <c r="O166" s="74"/>
      <c r="P166" s="74" t="s">
        <v>80</v>
      </c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hidden="1" customHeight="1">
      <c r="A167" s="51" t="s">
        <v>186</v>
      </c>
      <c r="B167" s="53">
        <v>46113.0</v>
      </c>
      <c r="C167" s="57" t="str">
        <f t="shared" si="2"/>
        <v>04-02-TS43-2026/TS-AVP/ĐĐHHH-CT00009</v>
      </c>
      <c r="D167" s="51" t="s">
        <v>586</v>
      </c>
      <c r="E167" s="37" t="s">
        <v>587</v>
      </c>
      <c r="F167" s="74" t="s">
        <v>409</v>
      </c>
      <c r="G167" s="37" t="s">
        <v>410</v>
      </c>
      <c r="H167" s="63">
        <v>380.0</v>
      </c>
      <c r="I167" s="63"/>
      <c r="J167" s="63">
        <f>SUMIFS('SỔ CHI TIẾT BÁN HÀNG'!$G$5:$G$2062,'SỔ CHI TIẾT BÁN HÀNG'!$C$5:$C$2062,'Đơn đặt'!F167,'SỔ CHI TIẾT BÁN HÀNG'!$L$5:$L$2062,'Đơn đặt'!C167)</f>
        <v>380</v>
      </c>
      <c r="K167" s="63">
        <f t="shared" si="3"/>
        <v>0</v>
      </c>
      <c r="L167" s="63"/>
      <c r="M167" s="72">
        <f>IF(E167="Hàng SX",0,SUMIFS('SỔ CHI TIẾT BÁN HÀNG'!$Q$5:$Q$2863,'SỔ CHI TIẾT BÁN HÀNG'!$C$5:$C$2863,'Đơn đặt'!F167,'SỔ CHI TIẾT BÁN HÀNG'!$N$5:$N$2863,'Đơn đặt'!E167))</f>
        <v>380</v>
      </c>
      <c r="N167" s="72">
        <f t="shared" si="4"/>
        <v>0</v>
      </c>
      <c r="O167" s="74"/>
      <c r="P167" s="74" t="s">
        <v>80</v>
      </c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hidden="1" customHeight="1">
      <c r="A168" s="51" t="s">
        <v>186</v>
      </c>
      <c r="B168" s="53">
        <v>46113.0</v>
      </c>
      <c r="C168" s="57" t="str">
        <f t="shared" si="2"/>
        <v>04-23/TS-LP44-2026/TS-AVP/ĐĐHHH-NT00011</v>
      </c>
      <c r="D168" s="51" t="s">
        <v>591</v>
      </c>
      <c r="E168" s="37" t="s">
        <v>592</v>
      </c>
      <c r="F168" s="74" t="s">
        <v>9</v>
      </c>
      <c r="G168" s="37" t="s">
        <v>361</v>
      </c>
      <c r="H168" s="63">
        <v>1000000.0</v>
      </c>
      <c r="I168" s="63"/>
      <c r="J168" s="63">
        <f>SUMIFS('SỔ CHI TIẾT BÁN HÀNG'!$G$5:$G$2062,'SỔ CHI TIẾT BÁN HÀNG'!$C$5:$C$2062,'Đơn đặt'!F168,'SỔ CHI TIẾT BÁN HÀNG'!$L$5:$L$2062,'Đơn đặt'!C168)</f>
        <v>1000000</v>
      </c>
      <c r="K168" s="63">
        <f t="shared" si="3"/>
        <v>0</v>
      </c>
      <c r="L168" s="63"/>
      <c r="M168" s="72">
        <f>IF(E168="Hàng SX",0,SUMIFS('SỔ CHI TIẾT BÁN HÀNG'!$Q$5:$Q$2863,'SỔ CHI TIẾT BÁN HÀNG'!$C$5:$C$2863,'Đơn đặt'!F168,'SỔ CHI TIẾT BÁN HÀNG'!$N$5:$N$2863,'Đơn đặt'!E168))</f>
        <v>1000000</v>
      </c>
      <c r="N168" s="72">
        <f t="shared" si="4"/>
        <v>0</v>
      </c>
      <c r="O168" s="74"/>
      <c r="P168" s="74" t="s">
        <v>80</v>
      </c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hidden="1" customHeight="1">
      <c r="A169" s="51" t="s">
        <v>186</v>
      </c>
      <c r="B169" s="53">
        <v>46132.0</v>
      </c>
      <c r="C169" s="57" t="str">
        <f t="shared" si="2"/>
        <v>04-34/TS-LP45-2026/TS-AVP/ĐĐHTP-PE00006</v>
      </c>
      <c r="D169" s="51" t="s">
        <v>595</v>
      </c>
      <c r="E169" s="37" t="s">
        <v>596</v>
      </c>
      <c r="F169" s="59" t="s">
        <v>1</v>
      </c>
      <c r="G169" s="37" t="s">
        <v>214</v>
      </c>
      <c r="H169" s="63">
        <v>2000.0</v>
      </c>
      <c r="I169" s="63"/>
      <c r="J169" s="63">
        <f>SUMIFS('SỔ CHI TIẾT BÁN HÀNG'!$G$5:$G$2062,'SỔ CHI TIẾT BÁN HÀNG'!$C$5:$C$2062,'Đơn đặt'!F169,'SỔ CHI TIẾT BÁN HÀNG'!$L$5:$L$2062,'Đơn đặt'!C169)</f>
        <v>2000</v>
      </c>
      <c r="K169" s="63">
        <f t="shared" si="3"/>
        <v>0</v>
      </c>
      <c r="L169" s="63"/>
      <c r="M169" s="72">
        <f>IF(E169="Hàng SX",0,SUMIFS('SỔ CHI TIẾT BÁN HÀNG'!$Q$5:$Q$2863,'SỔ CHI TIẾT BÁN HÀNG'!$C$5:$C$2863,'Đơn đặt'!F169,'SỔ CHI TIẾT BÁN HÀNG'!$N$5:$N$2863,'Đơn đặt'!E169))</f>
        <v>2000</v>
      </c>
      <c r="N169" s="72">
        <f t="shared" si="4"/>
        <v>0</v>
      </c>
      <c r="O169" s="74"/>
      <c r="P169" s="74" t="s">
        <v>80</v>
      </c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hidden="1" customHeight="1">
      <c r="A170" s="51" t="s">
        <v>186</v>
      </c>
      <c r="B170" s="53">
        <v>46114.0</v>
      </c>
      <c r="C170" s="57" t="str">
        <f t="shared" si="2"/>
        <v>05-07/TS-LP46-2026/TS-AVP/ĐĐHHH-NT00013</v>
      </c>
      <c r="D170" s="51" t="s">
        <v>600</v>
      </c>
      <c r="E170" s="37" t="s">
        <v>601</v>
      </c>
      <c r="F170" s="74" t="s">
        <v>6</v>
      </c>
      <c r="G170" s="37" t="s">
        <v>358</v>
      </c>
      <c r="H170" s="63">
        <v>1600000.0</v>
      </c>
      <c r="I170" s="63"/>
      <c r="J170" s="63">
        <f>SUMIFS('SỔ CHI TIẾT BÁN HÀNG'!$G$5:$G$2062,'SỔ CHI TIẾT BÁN HÀNG'!$C$5:$C$2062,'Đơn đặt'!F170,'SỔ CHI TIẾT BÁN HÀNG'!$L$5:$L$2062,'Đơn đặt'!C170)</f>
        <v>1600000</v>
      </c>
      <c r="K170" s="63">
        <f t="shared" si="3"/>
        <v>0</v>
      </c>
      <c r="L170" s="63"/>
      <c r="M170" s="72">
        <f>IF(E170="Hàng SX",0,SUMIFS('SỔ CHI TIẾT BÁN HÀNG'!$Q$5:$Q$2863,'SỔ CHI TIẾT BÁN HÀNG'!$C$5:$C$2863,'Đơn đặt'!F170,'SỔ CHI TIẾT BÁN HÀNG'!$N$5:$N$2863,'Đơn đặt'!E170))</f>
        <v>1600000</v>
      </c>
      <c r="N170" s="72">
        <f t="shared" si="4"/>
        <v>0</v>
      </c>
      <c r="O170" s="74"/>
      <c r="P170" s="74" t="s">
        <v>80</v>
      </c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hidden="1" customHeight="1">
      <c r="A171" s="51" t="s">
        <v>186</v>
      </c>
      <c r="B171" s="53">
        <v>46132.0</v>
      </c>
      <c r="C171" s="57" t="str">
        <f t="shared" si="2"/>
        <v>05-07/TS-LP46-2026/TS-AVP/ĐĐHHH-NT00011</v>
      </c>
      <c r="D171" s="51" t="s">
        <v>600</v>
      </c>
      <c r="E171" s="37" t="s">
        <v>601</v>
      </c>
      <c r="F171" s="74" t="s">
        <v>9</v>
      </c>
      <c r="G171" s="37" t="s">
        <v>361</v>
      </c>
      <c r="H171" s="63">
        <v>3000000.0</v>
      </c>
      <c r="I171" s="63"/>
      <c r="J171" s="63">
        <f>SUMIFS('SỔ CHI TIẾT BÁN HÀNG'!$G$5:$G$2062,'SỔ CHI TIẾT BÁN HÀNG'!$C$5:$C$2062,'Đơn đặt'!F171,'SỔ CHI TIẾT BÁN HÀNG'!$L$5:$L$2062,'Đơn đặt'!C171)</f>
        <v>3000000</v>
      </c>
      <c r="K171" s="63">
        <f t="shared" si="3"/>
        <v>0</v>
      </c>
      <c r="L171" s="63"/>
      <c r="M171" s="72">
        <f>IF(E171="Hàng SX",0,SUMIFS('SỔ CHI TIẾT BÁN HÀNG'!$Q$5:$Q$2863,'SỔ CHI TIẾT BÁN HÀNG'!$C$5:$C$2863,'Đơn đặt'!F171,'SỔ CHI TIẾT BÁN HÀNG'!$N$5:$N$2863,'Đơn đặt'!E171))</f>
        <v>3000000</v>
      </c>
      <c r="N171" s="72">
        <f t="shared" si="4"/>
        <v>0</v>
      </c>
      <c r="O171" s="74"/>
      <c r="P171" s="74" t="s">
        <v>80</v>
      </c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hidden="1" customHeight="1">
      <c r="A172" s="51" t="s">
        <v>186</v>
      </c>
      <c r="B172" s="53">
        <v>46119.0</v>
      </c>
      <c r="C172" s="57" t="str">
        <f t="shared" si="2"/>
        <v>04/06/TSC-LTHàng SXTP-LG00008-SG</v>
      </c>
      <c r="D172" s="51" t="s">
        <v>604</v>
      </c>
      <c r="E172" s="37" t="s">
        <v>98</v>
      </c>
      <c r="F172" s="61" t="s">
        <v>110</v>
      </c>
      <c r="G172" s="61" t="s">
        <v>188</v>
      </c>
      <c r="H172" s="63">
        <v>18720.0</v>
      </c>
      <c r="I172" s="63"/>
      <c r="J172" s="63">
        <f>SUMIFS('SỔ CHI TIẾT BÁN HÀNG'!$G$5:$G$2062,'SỔ CHI TIẾT BÁN HÀNG'!$C$5:$C$2062,'Đơn đặt'!F172,'SỔ CHI TIẾT BÁN HÀNG'!$L$5:$L$2062,'Đơn đặt'!C172)</f>
        <v>16848</v>
      </c>
      <c r="K172" s="63">
        <f t="shared" si="3"/>
        <v>1872</v>
      </c>
      <c r="L172" s="63"/>
      <c r="M172" s="72">
        <f>IF(E172="Hàng SX",0,SUMIFS('SỔ CHI TIẾT BÁN HÀNG'!$Q$5:$Q$2863,'SỔ CHI TIẾT BÁN HÀNG'!$C$5:$C$2863,'Đơn đặt'!F172,'SỔ CHI TIẾT BÁN HÀNG'!$N$5:$N$2863,'Đơn đặt'!E172))</f>
        <v>0</v>
      </c>
      <c r="N172" s="72">
        <f t="shared" si="4"/>
        <v>0</v>
      </c>
      <c r="O172" s="74"/>
      <c r="P172" s="74" t="s">
        <v>80</v>
      </c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hidden="1" customHeight="1">
      <c r="A173" s="51" t="s">
        <v>186</v>
      </c>
      <c r="B173" s="53">
        <v>46133.0</v>
      </c>
      <c r="C173" s="57" t="str">
        <f t="shared" si="2"/>
        <v>04-08-TS47-2026/TS-AVP/ĐĐHHH-CT00005</v>
      </c>
      <c r="D173" s="51" t="s">
        <v>606</v>
      </c>
      <c r="E173" s="37" t="s">
        <v>607</v>
      </c>
      <c r="F173" s="74" t="s">
        <v>38</v>
      </c>
      <c r="G173" s="37" t="s">
        <v>36</v>
      </c>
      <c r="H173" s="63">
        <v>2770.0</v>
      </c>
      <c r="I173" s="63"/>
      <c r="J173" s="63">
        <f>SUMIFS('SỔ CHI TIẾT BÁN HÀNG'!$G$5:$G$2062,'SỔ CHI TIẾT BÁN HÀNG'!$C$5:$C$2062,'Đơn đặt'!F173,'SỔ CHI TIẾT BÁN HÀNG'!$L$5:$L$2062,'Đơn đặt'!C173)</f>
        <v>2770</v>
      </c>
      <c r="K173" s="63">
        <f t="shared" si="3"/>
        <v>0</v>
      </c>
      <c r="L173" s="63"/>
      <c r="M173" s="72">
        <f>IF(E173="Hàng SX",0,SUMIFS('SỔ CHI TIẾT BÁN HÀNG'!$Q$5:$Q$2863,'SỔ CHI TIẾT BÁN HÀNG'!$C$5:$C$2863,'Đơn đặt'!F173,'SỔ CHI TIẾT BÁN HÀNG'!$N$5:$N$2863,'Đơn đặt'!E173))</f>
        <v>3700</v>
      </c>
      <c r="N173" s="72">
        <f t="shared" si="4"/>
        <v>-930</v>
      </c>
      <c r="O173" s="74"/>
      <c r="P173" s="74" t="s">
        <v>80</v>
      </c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hidden="1" customHeight="1">
      <c r="A174" s="51" t="s">
        <v>186</v>
      </c>
      <c r="B174" s="53">
        <v>46133.0</v>
      </c>
      <c r="C174" s="57" t="str">
        <f t="shared" si="2"/>
        <v>04-08-TS47-2026/TS-AVP/ĐĐHHH-CT00078</v>
      </c>
      <c r="D174" s="51" t="s">
        <v>606</v>
      </c>
      <c r="E174" s="37" t="s">
        <v>607</v>
      </c>
      <c r="F174" s="74" t="s">
        <v>41</v>
      </c>
      <c r="G174" s="37" t="s">
        <v>40</v>
      </c>
      <c r="H174" s="63">
        <v>2700.0</v>
      </c>
      <c r="I174" s="63"/>
      <c r="J174" s="63">
        <f>SUMIFS('SỔ CHI TIẾT BÁN HÀNG'!$G$5:$G$2062,'SỔ CHI TIẾT BÁN HÀNG'!$C$5:$C$2062,'Đơn đặt'!F174,'SỔ CHI TIẾT BÁN HÀNG'!$L$5:$L$2062,'Đơn đặt'!C174)</f>
        <v>2700</v>
      </c>
      <c r="K174" s="63">
        <f t="shared" si="3"/>
        <v>0</v>
      </c>
      <c r="L174" s="63"/>
      <c r="M174" s="72">
        <f>IF(E174="Hàng SX",0,SUMIFS('SỔ CHI TIẾT BÁN HÀNG'!$Q$5:$Q$2863,'SỔ CHI TIẾT BÁN HÀNG'!$C$5:$C$2863,'Đơn đặt'!F174,'SỔ CHI TIẾT BÁN HÀNG'!$N$5:$N$2863,'Đơn đặt'!E174))</f>
        <v>7130</v>
      </c>
      <c r="N174" s="72">
        <f t="shared" si="4"/>
        <v>-4430</v>
      </c>
      <c r="O174" s="74"/>
      <c r="P174" s="74" t="s">
        <v>80</v>
      </c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hidden="1" customHeight="1">
      <c r="A175" s="51" t="s">
        <v>186</v>
      </c>
      <c r="B175" s="53">
        <v>46133.0</v>
      </c>
      <c r="C175" s="57" t="str">
        <f t="shared" si="2"/>
        <v>04-08-TS47-2026/TS-AVP/ĐĐHHH-CT00009</v>
      </c>
      <c r="D175" s="51" t="s">
        <v>606</v>
      </c>
      <c r="E175" s="37" t="s">
        <v>607</v>
      </c>
      <c r="F175" s="74" t="s">
        <v>409</v>
      </c>
      <c r="G175" s="37" t="s">
        <v>410</v>
      </c>
      <c r="H175" s="63">
        <v>2700.0</v>
      </c>
      <c r="I175" s="63"/>
      <c r="J175" s="63">
        <f>SUMIFS('SỔ CHI TIẾT BÁN HÀNG'!$G$5:$G$2062,'SỔ CHI TIẾT BÁN HÀNG'!$C$5:$C$2062,'Đơn đặt'!F175,'SỔ CHI TIẾT BÁN HÀNG'!$L$5:$L$2062,'Đơn đặt'!C175)</f>
        <v>2700</v>
      </c>
      <c r="K175" s="63">
        <f t="shared" si="3"/>
        <v>0</v>
      </c>
      <c r="L175" s="63"/>
      <c r="M175" s="72">
        <f>IF(E175="Hàng SX",0,SUMIFS('SỔ CHI TIẾT BÁN HÀNG'!$Q$5:$Q$2863,'SỔ CHI TIẾT BÁN HÀNG'!$C$5:$C$2863,'Đơn đặt'!F175,'SỔ CHI TIẾT BÁN HÀNG'!$N$5:$N$2863,'Đơn đặt'!E175))</f>
        <v>2700</v>
      </c>
      <c r="N175" s="72">
        <f t="shared" si="4"/>
        <v>0</v>
      </c>
      <c r="O175" s="74"/>
      <c r="P175" s="74" t="s">
        <v>80</v>
      </c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hidden="1" customHeight="1">
      <c r="A176" s="51" t="s">
        <v>186</v>
      </c>
      <c r="B176" s="53">
        <v>46133.0</v>
      </c>
      <c r="C176" s="57" t="str">
        <f t="shared" si="2"/>
        <v>04-08-TS47-2026/TS-AVP/ĐĐHHH-CT00089</v>
      </c>
      <c r="D176" s="51" t="s">
        <v>606</v>
      </c>
      <c r="E176" s="37" t="s">
        <v>607</v>
      </c>
      <c r="F176" s="74" t="s">
        <v>29</v>
      </c>
      <c r="G176" s="37" t="s">
        <v>28</v>
      </c>
      <c r="H176" s="63">
        <v>1250.0</v>
      </c>
      <c r="I176" s="63"/>
      <c r="J176" s="63">
        <f>SUMIFS('SỔ CHI TIẾT BÁN HÀNG'!$G$5:$G$2062,'SỔ CHI TIẾT BÁN HÀNG'!$C$5:$C$2062,'Đơn đặt'!F176,'SỔ CHI TIẾT BÁN HÀNG'!$L$5:$L$2062,'Đơn đặt'!C176)</f>
        <v>1250</v>
      </c>
      <c r="K176" s="63">
        <f t="shared" si="3"/>
        <v>0</v>
      </c>
      <c r="L176" s="63"/>
      <c r="M176" s="72">
        <f>IF(E176="Hàng SX",0,SUMIFS('SỔ CHI TIẾT BÁN HÀNG'!$Q$5:$Q$2863,'SỔ CHI TIẾT BÁN HÀNG'!$C$5:$C$2863,'Đơn đặt'!F176,'SỔ CHI TIẾT BÁN HÀNG'!$N$5:$N$2863,'Đơn đặt'!E176))</f>
        <v>1250</v>
      </c>
      <c r="N176" s="72">
        <f t="shared" si="4"/>
        <v>0</v>
      </c>
      <c r="O176" s="74"/>
      <c r="P176" s="74" t="s">
        <v>80</v>
      </c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hidden="1" customHeight="1">
      <c r="A177" s="51" t="s">
        <v>186</v>
      </c>
      <c r="B177" s="53">
        <v>46133.0</v>
      </c>
      <c r="C177" s="57" t="str">
        <f t="shared" si="2"/>
        <v>04-08-TS47-2026/TS-AVP/ĐĐHHH-CT00090</v>
      </c>
      <c r="D177" s="51" t="s">
        <v>606</v>
      </c>
      <c r="E177" s="37" t="s">
        <v>607</v>
      </c>
      <c r="F177" s="74" t="s">
        <v>419</v>
      </c>
      <c r="G177" s="37" t="s">
        <v>420</v>
      </c>
      <c r="H177" s="63">
        <v>750.0</v>
      </c>
      <c r="I177" s="63"/>
      <c r="J177" s="63">
        <f>SUMIFS('SỔ CHI TIẾT BÁN HÀNG'!$G$5:$G$2062,'SỔ CHI TIẾT BÁN HÀNG'!$C$5:$C$2062,'Đơn đặt'!F177,'SỔ CHI TIẾT BÁN HÀNG'!$L$5:$L$2062,'Đơn đặt'!C177)</f>
        <v>750</v>
      </c>
      <c r="K177" s="63">
        <f t="shared" si="3"/>
        <v>0</v>
      </c>
      <c r="L177" s="63"/>
      <c r="M177" s="72">
        <f>IF(E177="Hàng SX",0,SUMIFS('SỔ CHI TIẾT BÁN HÀNG'!$Q$5:$Q$2863,'SỔ CHI TIẾT BÁN HÀNG'!$C$5:$C$2863,'Đơn đặt'!F177,'SỔ CHI TIẾT BÁN HÀNG'!$N$5:$N$2863,'Đơn đặt'!E177))</f>
        <v>750</v>
      </c>
      <c r="N177" s="72">
        <f t="shared" si="4"/>
        <v>0</v>
      </c>
      <c r="O177" s="74"/>
      <c r="P177" s="74" t="s">
        <v>80</v>
      </c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hidden="1" customHeight="1">
      <c r="A178" s="51" t="s">
        <v>186</v>
      </c>
      <c r="B178" s="53">
        <v>46133.0</v>
      </c>
      <c r="C178" s="57" t="str">
        <f t="shared" si="2"/>
        <v>04-08-TS47-2026/TS-AVP/ĐĐHHH-CT00091</v>
      </c>
      <c r="D178" s="51" t="s">
        <v>606</v>
      </c>
      <c r="E178" s="37" t="s">
        <v>607</v>
      </c>
      <c r="F178" s="74" t="s">
        <v>414</v>
      </c>
      <c r="G178" s="37" t="s">
        <v>415</v>
      </c>
      <c r="H178" s="63">
        <v>600.0</v>
      </c>
      <c r="I178" s="63"/>
      <c r="J178" s="63">
        <f>SUMIFS('SỔ CHI TIẾT BÁN HÀNG'!$G$5:$G$2062,'SỔ CHI TIẾT BÁN HÀNG'!$C$5:$C$2062,'Đơn đặt'!F178,'SỔ CHI TIẾT BÁN HÀNG'!$L$5:$L$2062,'Đơn đặt'!C178)</f>
        <v>600</v>
      </c>
      <c r="K178" s="63">
        <f t="shared" si="3"/>
        <v>0</v>
      </c>
      <c r="L178" s="63"/>
      <c r="M178" s="72">
        <f>IF(E178="Hàng SX",0,SUMIFS('SỔ CHI TIẾT BÁN HÀNG'!$Q$5:$Q$2863,'SỔ CHI TIẾT BÁN HÀNG'!$C$5:$C$2863,'Đơn đặt'!F178,'SỔ CHI TIẾT BÁN HÀNG'!$N$5:$N$2863,'Đơn đặt'!E178))</f>
        <v>600</v>
      </c>
      <c r="N178" s="72">
        <f t="shared" si="4"/>
        <v>0</v>
      </c>
      <c r="O178" s="74"/>
      <c r="P178" s="74" t="s">
        <v>80</v>
      </c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hidden="1" customHeight="1">
      <c r="A179" s="51" t="s">
        <v>186</v>
      </c>
      <c r="B179" s="53">
        <v>46133.0</v>
      </c>
      <c r="C179" s="57" t="str">
        <f t="shared" si="2"/>
        <v>04-08-TS48-2026/TS-AVP/ĐĐHHH-CT00063</v>
      </c>
      <c r="D179" s="51" t="s">
        <v>606</v>
      </c>
      <c r="E179" s="37" t="s">
        <v>618</v>
      </c>
      <c r="F179" s="74" t="s">
        <v>309</v>
      </c>
      <c r="G179" s="37" t="s">
        <v>310</v>
      </c>
      <c r="H179" s="63">
        <v>430.0</v>
      </c>
      <c r="I179" s="63"/>
      <c r="J179" s="63">
        <f>SUMIFS('SỔ CHI TIẾT BÁN HÀNG'!$G$5:$G$2062,'SỔ CHI TIẾT BÁN HÀNG'!$C$5:$C$2062,'Đơn đặt'!F179,'SỔ CHI TIẾT BÁN HÀNG'!$L$5:$L$2062,'Đơn đặt'!C179)</f>
        <v>430</v>
      </c>
      <c r="K179" s="63">
        <f t="shared" si="3"/>
        <v>0</v>
      </c>
      <c r="L179" s="63"/>
      <c r="M179" s="72">
        <f>IF(E179="Hàng SX",0,SUMIFS('SỔ CHI TIẾT BÁN HÀNG'!$Q$5:$Q$2863,'SỔ CHI TIẾT BÁN HÀNG'!$C$5:$C$2863,'Đơn đặt'!F179,'SỔ CHI TIẾT BÁN HÀNG'!$N$5:$N$2863,'Đơn đặt'!E179))</f>
        <v>430</v>
      </c>
      <c r="N179" s="72">
        <f t="shared" si="4"/>
        <v>0</v>
      </c>
      <c r="O179" s="74"/>
      <c r="P179" s="74" t="s">
        <v>80</v>
      </c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hidden="1" customHeight="1">
      <c r="A180" s="51" t="s">
        <v>186</v>
      </c>
      <c r="B180" s="53">
        <v>46135.0</v>
      </c>
      <c r="C180" s="57" t="str">
        <f t="shared" si="2"/>
        <v>05-11/TS-LP49-2026/TS-AVP/ĐĐHTP-PE00009</v>
      </c>
      <c r="D180" s="51" t="s">
        <v>621</v>
      </c>
      <c r="E180" s="37" t="s">
        <v>622</v>
      </c>
      <c r="F180" s="59" t="s">
        <v>295</v>
      </c>
      <c r="G180" s="37" t="s">
        <v>296</v>
      </c>
      <c r="H180" s="63">
        <v>1000.0</v>
      </c>
      <c r="I180" s="63"/>
      <c r="J180" s="63">
        <f>SUMIFS('SỔ CHI TIẾT BÁN HÀNG'!$G$5:$G$2062,'SỔ CHI TIẾT BÁN HÀNG'!$C$5:$C$2062,'Đơn đặt'!F180,'SỔ CHI TIẾT BÁN HÀNG'!$L$5:$L$2062,'Đơn đặt'!C180)</f>
        <v>1000</v>
      </c>
      <c r="K180" s="63">
        <f t="shared" si="3"/>
        <v>0</v>
      </c>
      <c r="L180" s="63"/>
      <c r="M180" s="72">
        <f>IF(E180="Hàng SX",0,SUMIFS('SỔ CHI TIẾT BÁN HÀNG'!$Q$5:$Q$2863,'SỔ CHI TIẾT BÁN HÀNG'!$C$5:$C$2863,'Đơn đặt'!F180,'SỔ CHI TIẾT BÁN HÀNG'!$N$5:$N$2863,'Đơn đặt'!E180))</f>
        <v>1000</v>
      </c>
      <c r="N180" s="72">
        <f t="shared" si="4"/>
        <v>0</v>
      </c>
      <c r="O180" s="74"/>
      <c r="P180" s="74" t="s">
        <v>80</v>
      </c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hidden="1" customHeight="1">
      <c r="A181" s="51" t="s">
        <v>186</v>
      </c>
      <c r="B181" s="53">
        <v>46135.0</v>
      </c>
      <c r="C181" s="57" t="str">
        <f t="shared" si="2"/>
        <v>05-11/TS-LP49-2026/TS-AVP/ĐĐHTP-PE00002</v>
      </c>
      <c r="D181" s="51" t="s">
        <v>621</v>
      </c>
      <c r="E181" s="37" t="s">
        <v>622</v>
      </c>
      <c r="F181" s="59" t="s">
        <v>299</v>
      </c>
      <c r="G181" s="37" t="s">
        <v>300</v>
      </c>
      <c r="H181" s="63">
        <v>1000.0</v>
      </c>
      <c r="I181" s="63"/>
      <c r="J181" s="63">
        <f>SUMIFS('SỔ CHI TIẾT BÁN HÀNG'!$G$5:$G$2062,'SỔ CHI TIẾT BÁN HÀNG'!$C$5:$C$2062,'Đơn đặt'!F181,'SỔ CHI TIẾT BÁN HÀNG'!$L$5:$L$2062,'Đơn đặt'!C181)</f>
        <v>1000</v>
      </c>
      <c r="K181" s="63">
        <f t="shared" si="3"/>
        <v>0</v>
      </c>
      <c r="L181" s="63"/>
      <c r="M181" s="72">
        <f>IF(E181="Hàng SX",0,SUMIFS('SỔ CHI TIẾT BÁN HÀNG'!$Q$5:$Q$2863,'SỔ CHI TIẾT BÁN HÀNG'!$C$5:$C$2863,'Đơn đặt'!F181,'SỔ CHI TIẾT BÁN HÀNG'!$N$5:$N$2863,'Đơn đặt'!E181))</f>
        <v>1000</v>
      </c>
      <c r="N181" s="72">
        <f t="shared" si="4"/>
        <v>0</v>
      </c>
      <c r="O181" s="74"/>
      <c r="P181" s="74" t="s">
        <v>80</v>
      </c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hidden="1" customHeight="1">
      <c r="A182" s="51" t="s">
        <v>186</v>
      </c>
      <c r="B182" s="53">
        <v>46141.0</v>
      </c>
      <c r="C182" s="57" t="str">
        <f t="shared" si="2"/>
        <v>05-15/TS-LP50-2026/TS-AVP/ĐĐHTP-PE00004</v>
      </c>
      <c r="D182" s="51" t="s">
        <v>626</v>
      </c>
      <c r="E182" s="37" t="s">
        <v>627</v>
      </c>
      <c r="F182" s="59" t="s">
        <v>140</v>
      </c>
      <c r="G182" s="37" t="s">
        <v>211</v>
      </c>
      <c r="H182" s="63">
        <v>2000.0</v>
      </c>
      <c r="I182" s="63"/>
      <c r="J182" s="63">
        <f>SUMIFS('SỔ CHI TIẾT BÁN HÀNG'!$G$5:$G$2062,'SỔ CHI TIẾT BÁN HÀNG'!$C$5:$C$2062,'Đơn đặt'!F182,'SỔ CHI TIẾT BÁN HÀNG'!$L$5:$L$2062,'Đơn đặt'!C182)</f>
        <v>2000</v>
      </c>
      <c r="K182" s="63">
        <f t="shared" si="3"/>
        <v>0</v>
      </c>
      <c r="L182" s="63"/>
      <c r="M182" s="72">
        <f>IF(E182="Hàng SX",0,SUMIFS('SỔ CHI TIẾT BÁN HÀNG'!$Q$5:$Q$2863,'SỔ CHI TIẾT BÁN HÀNG'!$C$5:$C$2863,'Đơn đặt'!F182,'SỔ CHI TIẾT BÁN HÀNG'!$N$5:$N$2863,'Đơn đặt'!E182))</f>
        <v>2000</v>
      </c>
      <c r="N182" s="72">
        <f t="shared" si="4"/>
        <v>0</v>
      </c>
      <c r="O182" s="74"/>
      <c r="P182" s="74" t="s">
        <v>80</v>
      </c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hidden="1" customHeight="1">
      <c r="A183" s="51" t="s">
        <v>186</v>
      </c>
      <c r="B183" s="53">
        <v>46141.0</v>
      </c>
      <c r="C183" s="57" t="str">
        <f t="shared" si="2"/>
        <v>05-15/TS-LP50-2026/TS-AVP/ĐĐHTP-PE00006</v>
      </c>
      <c r="D183" s="51" t="s">
        <v>626</v>
      </c>
      <c r="E183" s="37" t="s">
        <v>627</v>
      </c>
      <c r="F183" s="59" t="s">
        <v>1</v>
      </c>
      <c r="G183" s="37" t="s">
        <v>214</v>
      </c>
      <c r="H183" s="63">
        <v>2000.0</v>
      </c>
      <c r="I183" s="63"/>
      <c r="J183" s="63">
        <f>SUMIFS('SỔ CHI TIẾT BÁN HÀNG'!$G$5:$G$2062,'SỔ CHI TIẾT BÁN HÀNG'!$C$5:$C$2062,'Đơn đặt'!F183,'SỔ CHI TIẾT BÁN HÀNG'!$L$5:$L$2062,'Đơn đặt'!C183)</f>
        <v>2000</v>
      </c>
      <c r="K183" s="63">
        <f t="shared" si="3"/>
        <v>0</v>
      </c>
      <c r="L183" s="63"/>
      <c r="M183" s="72">
        <f>IF(E183="Hàng SX",0,SUMIFS('SỔ CHI TIẾT BÁN HÀNG'!$Q$5:$Q$2863,'SỔ CHI TIẾT BÁN HÀNG'!$C$5:$C$2863,'Đơn đặt'!F183,'SỔ CHI TIẾT BÁN HÀNG'!$N$5:$N$2863,'Đơn đặt'!E183))</f>
        <v>2000</v>
      </c>
      <c r="N183" s="72">
        <f t="shared" si="4"/>
        <v>0</v>
      </c>
      <c r="O183" s="74"/>
      <c r="P183" s="74" t="s">
        <v>80</v>
      </c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hidden="1" customHeight="1">
      <c r="A184" s="51" t="s">
        <v>186</v>
      </c>
      <c r="B184" s="53">
        <v>46141.0</v>
      </c>
      <c r="C184" s="57" t="str">
        <f t="shared" si="2"/>
        <v>05-15/TS-LP50-2026/TS-AVP/ĐĐHTP-PE00001</v>
      </c>
      <c r="D184" s="51" t="s">
        <v>626</v>
      </c>
      <c r="E184" s="37" t="s">
        <v>627</v>
      </c>
      <c r="F184" s="59" t="s">
        <v>3</v>
      </c>
      <c r="G184" s="37" t="s">
        <v>215</v>
      </c>
      <c r="H184" s="63">
        <v>15000.0</v>
      </c>
      <c r="I184" s="63"/>
      <c r="J184" s="63">
        <f>SUMIFS('SỔ CHI TIẾT BÁN HÀNG'!$G$5:$G$2062,'SỔ CHI TIẾT BÁN HÀNG'!$C$5:$C$2062,'Đơn đặt'!F184,'SỔ CHI TIẾT BÁN HÀNG'!$L$5:$L$2062,'Đơn đặt'!C184)</f>
        <v>15000</v>
      </c>
      <c r="K184" s="63">
        <f t="shared" si="3"/>
        <v>0</v>
      </c>
      <c r="L184" s="63"/>
      <c r="M184" s="72">
        <f>IF(E184="Hàng SX",0,SUMIFS('SỔ CHI TIẾT BÁN HÀNG'!$Q$5:$Q$2863,'SỔ CHI TIẾT BÁN HÀNG'!$C$5:$C$2863,'Đơn đặt'!F184,'SỔ CHI TIẾT BÁN HÀNG'!$N$5:$N$2863,'Đơn đặt'!E184))</f>
        <v>15000</v>
      </c>
      <c r="N184" s="72">
        <f t="shared" si="4"/>
        <v>0</v>
      </c>
      <c r="O184" s="74"/>
      <c r="P184" s="74" t="s">
        <v>80</v>
      </c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hidden="1" customHeight="1">
      <c r="A185" s="51" t="s">
        <v>186</v>
      </c>
      <c r="B185" s="53">
        <v>46031.0</v>
      </c>
      <c r="C185" s="57" t="str">
        <f t="shared" si="2"/>
        <v>01-04-TS51-2026/TS-AVP/ĐĐHHH-CT00046</v>
      </c>
      <c r="D185" s="51" t="s">
        <v>262</v>
      </c>
      <c r="E185" s="37" t="s">
        <v>635</v>
      </c>
      <c r="F185" s="59" t="s">
        <v>266</v>
      </c>
      <c r="G185" s="37" t="s">
        <v>267</v>
      </c>
      <c r="H185" s="63">
        <v>1000.0</v>
      </c>
      <c r="I185" s="63"/>
      <c r="J185" s="63">
        <f>SUMIFS('SỔ CHI TIẾT BÁN HÀNG'!$G$5:$G$2062,'SỔ CHI TIẾT BÁN HÀNG'!$C$5:$C$2062,'Đơn đặt'!F185,'SỔ CHI TIẾT BÁN HÀNG'!$L$5:$L$2062,'Đơn đặt'!C185)</f>
        <v>1000</v>
      </c>
      <c r="K185" s="63">
        <f t="shared" si="3"/>
        <v>0</v>
      </c>
      <c r="L185" s="63"/>
      <c r="M185" s="72">
        <f>IF(E185="Hàng SX",0,SUMIFS('SỔ CHI TIẾT BÁN HÀNG'!$Q$5:$Q$2863,'SỔ CHI TIẾT BÁN HÀNG'!$C$5:$C$2863,'Đơn đặt'!F185,'SỔ CHI TIẾT BÁN HÀNG'!$N$5:$N$2863,'Đơn đặt'!E185))</f>
        <v>1000</v>
      </c>
      <c r="N185" s="72">
        <f t="shared" si="4"/>
        <v>0</v>
      </c>
      <c r="O185" s="74"/>
      <c r="P185" s="74" t="s">
        <v>80</v>
      </c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hidden="1" customHeight="1">
      <c r="A186" s="51" t="s">
        <v>186</v>
      </c>
      <c r="B186" s="53">
        <v>46065.0</v>
      </c>
      <c r="C186" s="57" t="str">
        <f t="shared" si="2"/>
        <v>02-11-TS52-2026/TS-AVP/ĐĐHHH-CT00046</v>
      </c>
      <c r="D186" s="51" t="s">
        <v>469</v>
      </c>
      <c r="E186" s="37" t="s">
        <v>638</v>
      </c>
      <c r="F186" s="59" t="s">
        <v>266</v>
      </c>
      <c r="G186" s="37" t="s">
        <v>267</v>
      </c>
      <c r="H186" s="63">
        <v>4605.0</v>
      </c>
      <c r="I186" s="63"/>
      <c r="J186" s="63">
        <f>SUMIFS('SỔ CHI TIẾT BÁN HÀNG'!$G$5:$G$2062,'SỔ CHI TIẾT BÁN HÀNG'!$C$5:$C$2062,'Đơn đặt'!F186,'SỔ CHI TIẾT BÁN HÀNG'!$L$5:$L$2062,'Đơn đặt'!C186)</f>
        <v>3000</v>
      </c>
      <c r="K186" s="63">
        <f t="shared" si="3"/>
        <v>1605</v>
      </c>
      <c r="L186" s="63"/>
      <c r="M186" s="72">
        <f>IF(E186="Hàng SX",0,SUMIFS('SỔ CHI TIẾT BÁN HÀNG'!$Q$5:$Q$2863,'SỔ CHI TIẾT BÁN HÀNG'!$C$5:$C$2863,'Đơn đặt'!F186,'SỔ CHI TIẾT BÁN HÀNG'!$N$5:$N$2863,'Đơn đặt'!E186))</f>
        <v>4605</v>
      </c>
      <c r="N186" s="72">
        <f t="shared" si="4"/>
        <v>0</v>
      </c>
      <c r="O186" s="74"/>
      <c r="P186" s="74" t="s">
        <v>80</v>
      </c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hidden="1" customHeight="1">
      <c r="A187" s="51" t="s">
        <v>186</v>
      </c>
      <c r="B187" s="53">
        <v>46065.0</v>
      </c>
      <c r="C187" s="57" t="str">
        <f t="shared" si="2"/>
        <v>02-11-TS52-2026/TS-AVP/ĐĐHHH-CT00054</v>
      </c>
      <c r="D187" s="51" t="s">
        <v>469</v>
      </c>
      <c r="E187" s="37" t="s">
        <v>638</v>
      </c>
      <c r="F187" s="74" t="s">
        <v>222</v>
      </c>
      <c r="G187" s="37" t="s">
        <v>223</v>
      </c>
      <c r="H187" s="63">
        <v>8000.0</v>
      </c>
      <c r="I187" s="63"/>
      <c r="J187" s="63">
        <f>SUMIFS('SỔ CHI TIẾT BÁN HÀNG'!$G$5:$G$2062,'SỔ CHI TIẾT BÁN HÀNG'!$C$5:$C$2062,'Đơn đặt'!F187,'SỔ CHI TIẾT BÁN HÀNG'!$L$5:$L$2062,'Đơn đặt'!C187)</f>
        <v>8000</v>
      </c>
      <c r="K187" s="63">
        <f t="shared" si="3"/>
        <v>0</v>
      </c>
      <c r="L187" s="63"/>
      <c r="M187" s="72">
        <f>IF(E187="Hàng SX",0,SUMIFS('SỔ CHI TIẾT BÁN HÀNG'!$Q$5:$Q$2863,'SỔ CHI TIẾT BÁN HÀNG'!$C$5:$C$2863,'Đơn đặt'!F187,'SỔ CHI TIẾT BÁN HÀNG'!$N$5:$N$2863,'Đơn đặt'!E187))</f>
        <v>8000</v>
      </c>
      <c r="N187" s="72">
        <f t="shared" si="4"/>
        <v>0</v>
      </c>
      <c r="O187" s="74"/>
      <c r="P187" s="74" t="s">
        <v>80</v>
      </c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hidden="1" customHeight="1">
      <c r="A188" s="51" t="s">
        <v>186</v>
      </c>
      <c r="B188" s="53">
        <v>46065.0</v>
      </c>
      <c r="C188" s="57" t="str">
        <f t="shared" si="2"/>
        <v>02-11-TS52-2026/TS-AVP/ĐĐHHH-CT00025</v>
      </c>
      <c r="D188" s="51" t="s">
        <v>469</v>
      </c>
      <c r="E188" s="37" t="s">
        <v>638</v>
      </c>
      <c r="F188" s="74" t="s">
        <v>119</v>
      </c>
      <c r="G188" s="37" t="s">
        <v>120</v>
      </c>
      <c r="H188" s="63">
        <v>25105.0</v>
      </c>
      <c r="I188" s="63"/>
      <c r="J188" s="63">
        <f>SUMIFS('SỔ CHI TIẾT BÁN HÀNG'!$G$5:$G$2062,'SỔ CHI TIẾT BÁN HÀNG'!$C$5:$C$2062,'Đơn đặt'!F188,'SỔ CHI TIẾT BÁN HÀNG'!$L$5:$L$2062,'Đơn đặt'!C188)</f>
        <v>14500</v>
      </c>
      <c r="K188" s="63">
        <f t="shared" si="3"/>
        <v>10605</v>
      </c>
      <c r="L188" s="63"/>
      <c r="M188" s="72">
        <f>IF(E188="Hàng SX",0,SUMIFS('SỔ CHI TIẾT BÁN HÀNG'!$Q$5:$Q$2863,'SỔ CHI TIẾT BÁN HÀNG'!$C$5:$C$2863,'Đơn đặt'!F188,'SỔ CHI TIẾT BÁN HÀNG'!$N$5:$N$2863,'Đơn đặt'!E188))</f>
        <v>25105</v>
      </c>
      <c r="N188" s="72">
        <f t="shared" si="4"/>
        <v>0</v>
      </c>
      <c r="O188" s="74"/>
      <c r="P188" s="74" t="s">
        <v>80</v>
      </c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hidden="1" customHeight="1">
      <c r="A189" s="51" t="s">
        <v>186</v>
      </c>
      <c r="B189" s="53">
        <v>46065.0</v>
      </c>
      <c r="C189" s="57" t="str">
        <f t="shared" si="2"/>
        <v>02-11-TS52-2026/TS-AVP/ĐĐHHH-CT00031</v>
      </c>
      <c r="D189" s="51" t="s">
        <v>469</v>
      </c>
      <c r="E189" s="37" t="s">
        <v>638</v>
      </c>
      <c r="F189" s="74" t="s">
        <v>206</v>
      </c>
      <c r="G189" s="37" t="s">
        <v>207</v>
      </c>
      <c r="H189" s="63">
        <v>30800.0</v>
      </c>
      <c r="I189" s="63"/>
      <c r="J189" s="63">
        <f>SUMIFS('SỔ CHI TIẾT BÁN HÀNG'!$G$5:$G$2062,'SỔ CHI TIẾT BÁN HÀNG'!$C$5:$C$2062,'Đơn đặt'!F189,'SỔ CHI TIẾT BÁN HÀNG'!$L$5:$L$2062,'Đơn đặt'!C189)</f>
        <v>23800</v>
      </c>
      <c r="K189" s="63">
        <f t="shared" si="3"/>
        <v>7000</v>
      </c>
      <c r="L189" s="63"/>
      <c r="M189" s="72">
        <f>IF(E189="Hàng SX",0,SUMIFS('SỔ CHI TIẾT BÁN HÀNG'!$Q$5:$Q$2863,'SỔ CHI TIẾT BÁN HÀNG'!$C$5:$C$2863,'Đơn đặt'!F189,'SỔ CHI TIẾT BÁN HÀNG'!$N$5:$N$2863,'Đơn đặt'!E189))</f>
        <v>30800</v>
      </c>
      <c r="N189" s="72">
        <f t="shared" si="4"/>
        <v>0</v>
      </c>
      <c r="O189" s="74"/>
      <c r="P189" s="74" t="s">
        <v>80</v>
      </c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hidden="1" customHeight="1">
      <c r="A190" s="51" t="s">
        <v>186</v>
      </c>
      <c r="B190" s="53">
        <v>46065.0</v>
      </c>
      <c r="C190" s="57" t="str">
        <f t="shared" si="2"/>
        <v>02-11-TS52-2026/TS-AVP/ĐĐHHH-CT00061</v>
      </c>
      <c r="D190" s="51" t="s">
        <v>469</v>
      </c>
      <c r="E190" s="37" t="s">
        <v>638</v>
      </c>
      <c r="F190" s="74" t="s">
        <v>272</v>
      </c>
      <c r="G190" s="37" t="s">
        <v>273</v>
      </c>
      <c r="H190" s="63">
        <v>3000.0</v>
      </c>
      <c r="I190" s="63"/>
      <c r="J190" s="63">
        <f>SUMIFS('SỔ CHI TIẾT BÁN HÀNG'!$G$5:$G$2062,'SỔ CHI TIẾT BÁN HÀNG'!$C$5:$C$2062,'Đơn đặt'!F190,'SỔ CHI TIẾT BÁN HÀNG'!$L$5:$L$2062,'Đơn đặt'!C190)</f>
        <v>0</v>
      </c>
      <c r="K190" s="63">
        <f t="shared" si="3"/>
        <v>3000</v>
      </c>
      <c r="L190" s="63"/>
      <c r="M190" s="72">
        <f>IF(E190="Hàng SX",0,SUMIFS('SỔ CHI TIẾT BÁN HÀNG'!$Q$5:$Q$2863,'SỔ CHI TIẾT BÁN HÀNG'!$C$5:$C$2863,'Đơn đặt'!F190,'SỔ CHI TIẾT BÁN HÀNG'!$N$5:$N$2863,'Đơn đặt'!E190))</f>
        <v>3000</v>
      </c>
      <c r="N190" s="72">
        <f t="shared" si="4"/>
        <v>0</v>
      </c>
      <c r="O190" s="74"/>
      <c r="P190" s="74" t="s">
        <v>80</v>
      </c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hidden="1" customHeight="1">
      <c r="A191" s="94" t="s">
        <v>186</v>
      </c>
      <c r="B191" s="95"/>
      <c r="C191" s="96" t="str">
        <f t="shared" si="2"/>
        <v>03-06-TS (Mã chưa chạy)53-2026/TS-AVP/ĐĐH</v>
      </c>
      <c r="D191" s="94" t="s">
        <v>511</v>
      </c>
      <c r="E191" s="97" t="s">
        <v>645</v>
      </c>
      <c r="F191" s="98"/>
      <c r="G191" s="97" t="s">
        <v>513</v>
      </c>
      <c r="H191" s="99">
        <v>903.0</v>
      </c>
      <c r="I191" s="63"/>
      <c r="J191" s="99">
        <f>SUMIFS('SỔ CHI TIẾT BÁN HÀNG'!$G$5:$G$2062,'SỔ CHI TIẾT BÁN HÀNG'!$C$5:$C$2062,'Đơn đặt'!F191,'SỔ CHI TIẾT BÁN HÀNG'!$L$5:$L$2062,'Đơn đặt'!C191)</f>
        <v>0</v>
      </c>
      <c r="K191" s="99">
        <f t="shared" si="3"/>
        <v>903</v>
      </c>
      <c r="L191" s="63"/>
      <c r="M191" s="72">
        <f>IF(E191="Hàng SX",0,SUMIFS('SỔ CHI TIẾT BÁN HÀNG'!$Q$5:$Q$2863,'SỔ CHI TIẾT BÁN HÀNG'!$C$5:$C$2863,'Đơn đặt'!F191,'SỔ CHI TIẾT BÁN HÀNG'!$N$5:$N$2863,'Đơn đặt'!E191))</f>
        <v>0</v>
      </c>
      <c r="N191" s="72">
        <f t="shared" si="4"/>
        <v>903</v>
      </c>
      <c r="O191" s="98"/>
      <c r="P191" s="74" t="s">
        <v>80</v>
      </c>
      <c r="Q191" s="69"/>
      <c r="R191" s="69"/>
      <c r="S191" s="69"/>
      <c r="T191" s="69"/>
      <c r="U191" s="69"/>
      <c r="V191" s="69"/>
      <c r="W191" s="69"/>
      <c r="X191" s="69"/>
      <c r="Y191" s="69"/>
      <c r="Z191" s="69"/>
    </row>
    <row r="192" ht="15.75" hidden="1" customHeight="1">
      <c r="A192" s="51" t="s">
        <v>186</v>
      </c>
      <c r="B192" s="53">
        <v>46100.0</v>
      </c>
      <c r="C192" s="57" t="str">
        <f t="shared" si="2"/>
        <v>03-12-TS54-2026/TS-AVP/ĐĐHHH-CT00006</v>
      </c>
      <c r="D192" s="51" t="s">
        <v>520</v>
      </c>
      <c r="E192" s="37" t="s">
        <v>648</v>
      </c>
      <c r="F192" s="74" t="s">
        <v>35</v>
      </c>
      <c r="G192" s="37" t="s">
        <v>34</v>
      </c>
      <c r="H192" s="63">
        <v>900.0</v>
      </c>
      <c r="I192" s="63"/>
      <c r="J192" s="63">
        <f>SUMIFS('SỔ CHI TIẾT BÁN HÀNG'!$G$5:$G$2062,'SỔ CHI TIẾT BÁN HÀNG'!$C$5:$C$2062,'Đơn đặt'!F192,'SỔ CHI TIẾT BÁN HÀNG'!$L$5:$L$2062,'Đơn đặt'!C192)</f>
        <v>900</v>
      </c>
      <c r="K192" s="63">
        <f t="shared" si="3"/>
        <v>0</v>
      </c>
      <c r="L192" s="63"/>
      <c r="M192" s="72">
        <f>IF(E192="Hàng SX",0,SUMIFS('SỔ CHI TIẾT BÁN HÀNG'!$Q$5:$Q$2863,'SỔ CHI TIẾT BÁN HÀNG'!$C$5:$C$2863,'Đơn đặt'!F192,'SỔ CHI TIẾT BÁN HÀNG'!$N$5:$N$2863,'Đơn đặt'!E192))</f>
        <v>900</v>
      </c>
      <c r="N192" s="72">
        <f t="shared" si="4"/>
        <v>0</v>
      </c>
      <c r="O192" s="74"/>
      <c r="P192" s="74" t="s">
        <v>80</v>
      </c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hidden="1" customHeight="1">
      <c r="A193" s="51" t="s">
        <v>186</v>
      </c>
      <c r="B193" s="53">
        <v>46100.0</v>
      </c>
      <c r="C193" s="57" t="str">
        <f t="shared" si="2"/>
        <v>03-12-TS54-2026/TS-AVP/ĐĐHHH-CT00131</v>
      </c>
      <c r="D193" s="51" t="s">
        <v>520</v>
      </c>
      <c r="E193" s="37" t="s">
        <v>648</v>
      </c>
      <c r="F193" s="74" t="s">
        <v>59</v>
      </c>
      <c r="G193" s="37" t="s">
        <v>58</v>
      </c>
      <c r="H193" s="63">
        <v>44000.0</v>
      </c>
      <c r="I193" s="63"/>
      <c r="J193" s="63">
        <f>SUMIFS('SỔ CHI TIẾT BÁN HÀNG'!$G$5:$G$2062,'SỔ CHI TIẾT BÁN HÀNG'!$C$5:$C$2062,'Đơn đặt'!F193,'SỔ CHI TIẾT BÁN HÀNG'!$L$5:$L$2062,'Đơn đặt'!C193)</f>
        <v>35410</v>
      </c>
      <c r="K193" s="63">
        <f t="shared" si="3"/>
        <v>8590</v>
      </c>
      <c r="L193" s="63"/>
      <c r="M193" s="72">
        <f>IF(E193="Hàng SX",0,SUMIFS('SỔ CHI TIẾT BÁN HÀNG'!$Q$5:$Q$2863,'SỔ CHI TIẾT BÁN HÀNG'!$C$5:$C$2863,'Đơn đặt'!F193,'SỔ CHI TIẾT BÁN HÀNG'!$N$5:$N$2863,'Đơn đặt'!E193))</f>
        <v>35410</v>
      </c>
      <c r="N193" s="72">
        <f t="shared" si="4"/>
        <v>8590</v>
      </c>
      <c r="O193" s="74"/>
      <c r="P193" s="74" t="s">
        <v>80</v>
      </c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hidden="1" customHeight="1">
      <c r="A194" s="51" t="s">
        <v>186</v>
      </c>
      <c r="B194" s="53">
        <v>46100.0</v>
      </c>
      <c r="C194" s="57" t="str">
        <f t="shared" si="2"/>
        <v>03-12-TS54-2026/TS-AVP/ĐĐHHH-CT00036</v>
      </c>
      <c r="D194" s="51" t="s">
        <v>520</v>
      </c>
      <c r="E194" s="37" t="s">
        <v>648</v>
      </c>
      <c r="F194" s="74" t="s">
        <v>14</v>
      </c>
      <c r="G194" s="37" t="s">
        <v>13</v>
      </c>
      <c r="H194" s="63">
        <v>25500.0</v>
      </c>
      <c r="I194" s="63"/>
      <c r="J194" s="63">
        <f>SUMIFS('SỔ CHI TIẾT BÁN HÀNG'!$G$5:$G$2062,'SỔ CHI TIẾT BÁN HÀNG'!$C$5:$C$2062,'Đơn đặt'!F194,'SỔ CHI TIẾT BÁN HÀNG'!$L$5:$L$2062,'Đơn đặt'!C194)</f>
        <v>22500</v>
      </c>
      <c r="K194" s="63">
        <f t="shared" si="3"/>
        <v>3000</v>
      </c>
      <c r="L194" s="63"/>
      <c r="M194" s="72">
        <f>IF(E194="Hàng SX",0,SUMIFS('SỔ CHI TIẾT BÁN HÀNG'!$Q$5:$Q$2863,'SỔ CHI TIẾT BÁN HÀNG'!$C$5:$C$2863,'Đơn đặt'!F194,'SỔ CHI TIẾT BÁN HÀNG'!$N$5:$N$2863,'Đơn đặt'!E194))</f>
        <v>22500</v>
      </c>
      <c r="N194" s="72">
        <f t="shared" si="4"/>
        <v>3000</v>
      </c>
      <c r="O194" s="74"/>
      <c r="P194" s="74" t="s">
        <v>80</v>
      </c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hidden="1" customHeight="1">
      <c r="A195" s="51" t="s">
        <v>186</v>
      </c>
      <c r="B195" s="53">
        <v>46100.0</v>
      </c>
      <c r="C195" s="57" t="str">
        <f t="shared" si="2"/>
        <v>03-12-TS54-2026/TS-AVP/ĐĐHHH-CT00075</v>
      </c>
      <c r="D195" s="51" t="s">
        <v>520</v>
      </c>
      <c r="E195" s="37" t="s">
        <v>648</v>
      </c>
      <c r="F195" s="74" t="s">
        <v>244</v>
      </c>
      <c r="G195" s="37" t="s">
        <v>245</v>
      </c>
      <c r="H195" s="63">
        <v>60.0</v>
      </c>
      <c r="I195" s="63"/>
      <c r="J195" s="63">
        <f>SUMIFS('SỔ CHI TIẾT BÁN HÀNG'!$G$5:$G$2062,'SỔ CHI TIẾT BÁN HÀNG'!$C$5:$C$2062,'Đơn đặt'!F195,'SỔ CHI TIẾT BÁN HÀNG'!$L$5:$L$2062,'Đơn đặt'!C195)</f>
        <v>60</v>
      </c>
      <c r="K195" s="63">
        <f t="shared" si="3"/>
        <v>0</v>
      </c>
      <c r="L195" s="63"/>
      <c r="M195" s="72">
        <f>IF(E195="Hàng SX",0,SUMIFS('SỔ CHI TIẾT BÁN HÀNG'!$Q$5:$Q$2863,'SỔ CHI TIẾT BÁN HÀNG'!$C$5:$C$2863,'Đơn đặt'!F195,'SỔ CHI TIẾT BÁN HÀNG'!$N$5:$N$2863,'Đơn đặt'!E195))</f>
        <v>60</v>
      </c>
      <c r="N195" s="72">
        <f t="shared" si="4"/>
        <v>0</v>
      </c>
      <c r="O195" s="74"/>
      <c r="P195" s="74" t="s">
        <v>80</v>
      </c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hidden="1" customHeight="1">
      <c r="A196" s="51" t="s">
        <v>186</v>
      </c>
      <c r="B196" s="53">
        <v>46100.0</v>
      </c>
      <c r="C196" s="57" t="str">
        <f t="shared" si="2"/>
        <v>03-12-TS54-2026/TS-AVP/ĐĐHHH-CT00083</v>
      </c>
      <c r="D196" s="51" t="s">
        <v>520</v>
      </c>
      <c r="E196" s="37" t="s">
        <v>648</v>
      </c>
      <c r="F196" s="74" t="s">
        <v>247</v>
      </c>
      <c r="G196" s="37" t="s">
        <v>249</v>
      </c>
      <c r="H196" s="63">
        <v>3350.0</v>
      </c>
      <c r="I196" s="63"/>
      <c r="J196" s="63">
        <f>SUMIFS('SỔ CHI TIẾT BÁN HÀNG'!$G$5:$G$2062,'SỔ CHI TIẾT BÁN HÀNG'!$C$5:$C$2062,'Đơn đặt'!F196,'SỔ CHI TIẾT BÁN HÀNG'!$L$5:$L$2062,'Đơn đặt'!C196)</f>
        <v>3350</v>
      </c>
      <c r="K196" s="63">
        <f t="shared" si="3"/>
        <v>0</v>
      </c>
      <c r="L196" s="63"/>
      <c r="M196" s="72">
        <f>IF(E196="Hàng SX",0,SUMIFS('SỔ CHI TIẾT BÁN HÀNG'!$Q$5:$Q$2863,'SỔ CHI TIẾT BÁN HÀNG'!$C$5:$C$2863,'Đơn đặt'!F196,'SỔ CHI TIẾT BÁN HÀNG'!$N$5:$N$2863,'Đơn đặt'!E196))</f>
        <v>3350</v>
      </c>
      <c r="N196" s="72">
        <f t="shared" si="4"/>
        <v>0</v>
      </c>
      <c r="O196" s="74"/>
      <c r="P196" s="74" t="s">
        <v>80</v>
      </c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hidden="1" customHeight="1">
      <c r="A197" s="51" t="s">
        <v>186</v>
      </c>
      <c r="B197" s="53">
        <v>46112.0</v>
      </c>
      <c r="C197" s="57" t="str">
        <f t="shared" si="2"/>
        <v>03-18-TS55-2026/TS-AVP/ĐĐHHH-CT00054</v>
      </c>
      <c r="D197" s="51" t="s">
        <v>580</v>
      </c>
      <c r="E197" s="37" t="s">
        <v>658</v>
      </c>
      <c r="F197" s="74" t="s">
        <v>222</v>
      </c>
      <c r="G197" s="37" t="s">
        <v>223</v>
      </c>
      <c r="H197" s="63">
        <v>23005.0</v>
      </c>
      <c r="I197" s="63"/>
      <c r="J197" s="63">
        <f>SUMIFS('SỔ CHI TIẾT BÁN HÀNG'!$G$5:$G$2062,'SỔ CHI TIẾT BÁN HÀNG'!$C$5:$C$2062,'Đơn đặt'!F197,'SỔ CHI TIẾT BÁN HÀNG'!$L$5:$L$2062,'Đơn đặt'!C197)</f>
        <v>1000</v>
      </c>
      <c r="K197" s="63">
        <f t="shared" si="3"/>
        <v>22005</v>
      </c>
      <c r="L197" s="63"/>
      <c r="M197" s="72">
        <f>IF(E197="Hàng SX",0,SUMIFS('SỔ CHI TIẾT BÁN HÀNG'!$Q$5:$Q$2863,'SỔ CHI TIẾT BÁN HÀNG'!$C$5:$C$2863,'Đơn đặt'!F197,'SỔ CHI TIẾT BÁN HÀNG'!$N$5:$N$2863,'Đơn đặt'!E197))</f>
        <v>14500</v>
      </c>
      <c r="N197" s="72">
        <f t="shared" si="4"/>
        <v>8505</v>
      </c>
      <c r="O197" s="74"/>
      <c r="P197" s="74" t="s">
        <v>80</v>
      </c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hidden="1" customHeight="1">
      <c r="A198" s="51" t="s">
        <v>186</v>
      </c>
      <c r="B198" s="53">
        <v>46112.0</v>
      </c>
      <c r="C198" s="57" t="str">
        <f t="shared" si="2"/>
        <v>03-18-TS55-2026/TS-AVP/ĐĐHHH-CT00025</v>
      </c>
      <c r="D198" s="51" t="s">
        <v>580</v>
      </c>
      <c r="E198" s="37" t="s">
        <v>658</v>
      </c>
      <c r="F198" s="74" t="s">
        <v>119</v>
      </c>
      <c r="G198" s="37" t="s">
        <v>120</v>
      </c>
      <c r="H198" s="63">
        <v>23005.0</v>
      </c>
      <c r="I198" s="63"/>
      <c r="J198" s="63">
        <f>SUMIFS('SỔ CHI TIẾT BÁN HÀNG'!$G$5:$G$2062,'SỔ CHI TIẾT BÁN HÀNG'!$C$5:$C$2062,'Đơn đặt'!F198,'SỔ CHI TIẾT BÁN HÀNG'!$L$5:$L$2062,'Đơn đặt'!C198)</f>
        <v>2500</v>
      </c>
      <c r="K198" s="63">
        <f t="shared" si="3"/>
        <v>20505</v>
      </c>
      <c r="L198" s="63"/>
      <c r="M198" s="72">
        <f>IF(E198="Hàng SX",0,SUMIFS('SỔ CHI TIẾT BÁN HÀNG'!$Q$5:$Q$2863,'SỔ CHI TIẾT BÁN HÀNG'!$C$5:$C$2863,'Đơn đặt'!F198,'SỔ CHI TIẾT BÁN HÀNG'!$N$5:$N$2863,'Đơn đặt'!E198))</f>
        <v>23005</v>
      </c>
      <c r="N198" s="72">
        <f t="shared" si="4"/>
        <v>0</v>
      </c>
      <c r="O198" s="74"/>
      <c r="P198" s="74" t="s">
        <v>80</v>
      </c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hidden="1" customHeight="1">
      <c r="A199" s="51" t="s">
        <v>186</v>
      </c>
      <c r="B199" s="53">
        <v>46112.0</v>
      </c>
      <c r="C199" s="57" t="str">
        <f t="shared" si="2"/>
        <v>03-18-TS55-2026/TS-AVP/ĐĐHHH-CT00031</v>
      </c>
      <c r="D199" s="51" t="s">
        <v>580</v>
      </c>
      <c r="E199" s="37" t="s">
        <v>658</v>
      </c>
      <c r="F199" s="74" t="s">
        <v>206</v>
      </c>
      <c r="G199" s="37" t="s">
        <v>207</v>
      </c>
      <c r="H199" s="63">
        <v>23005.0</v>
      </c>
      <c r="I199" s="63"/>
      <c r="J199" s="63">
        <f>SUMIFS('SỔ CHI TIẾT BÁN HÀNG'!$G$5:$G$2062,'SỔ CHI TIẾT BÁN HÀNG'!$C$5:$C$2062,'Đơn đặt'!F199,'SỔ CHI TIẾT BÁN HÀNG'!$L$5:$L$2062,'Đơn đặt'!C199)</f>
        <v>16700</v>
      </c>
      <c r="K199" s="63">
        <f t="shared" si="3"/>
        <v>6305</v>
      </c>
      <c r="L199" s="63"/>
      <c r="M199" s="72">
        <f>IF(E199="Hàng SX",0,SUMIFS('SỔ CHI TIẾT BÁN HÀNG'!$Q$5:$Q$2863,'SỔ CHI TIẾT BÁN HÀNG'!$C$5:$C$2863,'Đơn đặt'!F199,'SỔ CHI TIẾT BÁN HÀNG'!$N$5:$N$2863,'Đơn đặt'!E199))</f>
        <v>16700</v>
      </c>
      <c r="N199" s="72">
        <f t="shared" si="4"/>
        <v>6305</v>
      </c>
      <c r="O199" s="74"/>
      <c r="P199" s="74" t="s">
        <v>80</v>
      </c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hidden="1" customHeight="1">
      <c r="A200" s="51" t="s">
        <v>186</v>
      </c>
      <c r="B200" s="53">
        <v>46133.0</v>
      </c>
      <c r="C200" s="57" t="str">
        <f t="shared" si="2"/>
        <v>04-08-TS56-2026/TS-AVP/ĐĐHHH-CT00072</v>
      </c>
      <c r="D200" s="51" t="s">
        <v>606</v>
      </c>
      <c r="E200" s="37" t="s">
        <v>665</v>
      </c>
      <c r="F200" s="74" t="s">
        <v>55</v>
      </c>
      <c r="G200" s="37" t="s">
        <v>53</v>
      </c>
      <c r="H200" s="63">
        <v>21600.0</v>
      </c>
      <c r="I200" s="63"/>
      <c r="J200" s="63">
        <f>SUMIFS('SỔ CHI TIẾT BÁN HÀNG'!$G$5:$G$2062,'SỔ CHI TIẾT BÁN HÀNG'!$C$5:$C$2062,'Đơn đặt'!F200,'SỔ CHI TIẾT BÁN HÀNG'!$L$5:$L$2062,'Đơn đặt'!C200)</f>
        <v>4500</v>
      </c>
      <c r="K200" s="63">
        <f t="shared" si="3"/>
        <v>17100</v>
      </c>
      <c r="L200" s="63"/>
      <c r="M200" s="72">
        <f>IF(E200="Hàng SX",0,SUMIFS('SỔ CHI TIẾT BÁN HÀNG'!$Q$5:$Q$2863,'SỔ CHI TIẾT BÁN HÀNG'!$C$5:$C$2863,'Đơn đặt'!F200,'SỔ CHI TIẾT BÁN HÀNG'!$N$5:$N$2863,'Đơn đặt'!E200))</f>
        <v>4500</v>
      </c>
      <c r="N200" s="72">
        <f t="shared" si="4"/>
        <v>17100</v>
      </c>
      <c r="O200" s="74"/>
      <c r="P200" s="74" t="s">
        <v>80</v>
      </c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hidden="1" customHeight="1">
      <c r="A201" s="51" t="s">
        <v>186</v>
      </c>
      <c r="B201" s="53">
        <v>46133.0</v>
      </c>
      <c r="C201" s="57" t="str">
        <f t="shared" si="2"/>
        <v>04-08-TS57-2026/TS-AVP/ĐĐHHH-CT00006</v>
      </c>
      <c r="D201" s="51" t="s">
        <v>606</v>
      </c>
      <c r="E201" s="37" t="s">
        <v>667</v>
      </c>
      <c r="F201" s="74" t="s">
        <v>35</v>
      </c>
      <c r="G201" s="37" t="s">
        <v>34</v>
      </c>
      <c r="H201" s="63">
        <v>8300.0</v>
      </c>
      <c r="I201" s="63"/>
      <c r="J201" s="63">
        <f>SUMIFS('SỔ CHI TIẾT BÁN HÀNG'!$G$5:$G$2062,'SỔ CHI TIẾT BÁN HÀNG'!$C$5:$C$2062,'Đơn đặt'!F201,'SỔ CHI TIẾT BÁN HÀNG'!$L$5:$L$2062,'Đơn đặt'!C201)</f>
        <v>8300</v>
      </c>
      <c r="K201" s="63">
        <f t="shared" si="3"/>
        <v>0</v>
      </c>
      <c r="L201" s="63"/>
      <c r="M201" s="72">
        <f>IF(E201="Hàng SX",0,SUMIFS('SỔ CHI TIẾT BÁN HÀNG'!$Q$5:$Q$2863,'SỔ CHI TIẾT BÁN HÀNG'!$C$5:$C$2863,'Đơn đặt'!F201,'SỔ CHI TIẾT BÁN HÀNG'!$N$5:$N$2863,'Đơn đặt'!E201))</f>
        <v>8300</v>
      </c>
      <c r="N201" s="72">
        <f t="shared" si="4"/>
        <v>0</v>
      </c>
      <c r="O201" s="74"/>
      <c r="P201" s="74" t="s">
        <v>80</v>
      </c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hidden="1" customHeight="1">
      <c r="A202" s="51" t="s">
        <v>186</v>
      </c>
      <c r="B202" s="53">
        <v>46133.0</v>
      </c>
      <c r="C202" s="57" t="str">
        <f t="shared" si="2"/>
        <v>04-08-TS57-2026/TS-AVP/ĐĐHHH-CT00028</v>
      </c>
      <c r="D202" s="51" t="s">
        <v>606</v>
      </c>
      <c r="E202" s="37" t="s">
        <v>667</v>
      </c>
      <c r="F202" s="74" t="s">
        <v>21</v>
      </c>
      <c r="G202" s="37" t="s">
        <v>19</v>
      </c>
      <c r="H202" s="63">
        <v>3050.0</v>
      </c>
      <c r="I202" s="63"/>
      <c r="J202" s="63">
        <f>SUMIFS('SỔ CHI TIẾT BÁN HÀNG'!$G$5:$G$2062,'SỔ CHI TIẾT BÁN HÀNG'!$C$5:$C$2062,'Đơn đặt'!F202,'SỔ CHI TIẾT BÁN HÀNG'!$L$5:$L$2062,'Đơn đặt'!C202)</f>
        <v>3025</v>
      </c>
      <c r="K202" s="63">
        <f t="shared" si="3"/>
        <v>25</v>
      </c>
      <c r="L202" s="63"/>
      <c r="M202" s="72">
        <f>IF(E202="Hàng SX",0,SUMIFS('SỔ CHI TIẾT BÁN HÀNG'!$Q$5:$Q$2863,'SỔ CHI TIẾT BÁN HÀNG'!$C$5:$C$2863,'Đơn đặt'!F202,'SỔ CHI TIẾT BÁN HÀNG'!$N$5:$N$2863,'Đơn đặt'!E202))</f>
        <v>3025</v>
      </c>
      <c r="N202" s="72">
        <f t="shared" si="4"/>
        <v>25</v>
      </c>
      <c r="O202" s="74"/>
      <c r="P202" s="74" t="s">
        <v>80</v>
      </c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hidden="1" customHeight="1">
      <c r="A203" s="51" t="s">
        <v>186</v>
      </c>
      <c r="B203" s="53">
        <v>46133.0</v>
      </c>
      <c r="C203" s="57" t="str">
        <f t="shared" si="2"/>
        <v>04-08-TS57-2026/TS-AVP/ĐĐHHH-CT00131</v>
      </c>
      <c r="D203" s="51" t="s">
        <v>606</v>
      </c>
      <c r="E203" s="37" t="s">
        <v>667</v>
      </c>
      <c r="F203" s="74" t="s">
        <v>59</v>
      </c>
      <c r="G203" s="37" t="s">
        <v>58</v>
      </c>
      <c r="H203" s="63">
        <v>40000.0</v>
      </c>
      <c r="I203" s="63"/>
      <c r="J203" s="63">
        <f>SUMIFS('SỔ CHI TIẾT BÁN HÀNG'!$G$5:$G$2062,'SỔ CHI TIẾT BÁN HÀNG'!$C$5:$C$2062,'Đơn đặt'!F203,'SỔ CHI TIẾT BÁN HÀNG'!$L$5:$L$2062,'Đơn đặt'!C203)</f>
        <v>0</v>
      </c>
      <c r="K203" s="63">
        <f t="shared" si="3"/>
        <v>40000</v>
      </c>
      <c r="L203" s="63"/>
      <c r="M203" s="72">
        <f>IF(E203="Hàng SX",0,SUMIFS('SỔ CHI TIẾT BÁN HÀNG'!$Q$5:$Q$2863,'SỔ CHI TIẾT BÁN HÀNG'!$C$5:$C$2863,'Đơn đặt'!F203,'SỔ CHI TIẾT BÁN HÀNG'!$N$5:$N$2863,'Đơn đặt'!E203))</f>
        <v>2480</v>
      </c>
      <c r="N203" s="72">
        <f t="shared" si="4"/>
        <v>37520</v>
      </c>
      <c r="O203" s="74"/>
      <c r="P203" s="74" t="s">
        <v>80</v>
      </c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hidden="1" customHeight="1">
      <c r="A204" s="51" t="s">
        <v>186</v>
      </c>
      <c r="B204" s="53">
        <v>46133.0</v>
      </c>
      <c r="C204" s="57" t="str">
        <f t="shared" si="2"/>
        <v>04-08-TS57-2026/TS-AVP/ĐĐHHH-CT00036</v>
      </c>
      <c r="D204" s="51" t="s">
        <v>606</v>
      </c>
      <c r="E204" s="37" t="s">
        <v>667</v>
      </c>
      <c r="F204" s="74" t="s">
        <v>14</v>
      </c>
      <c r="G204" s="37" t="s">
        <v>13</v>
      </c>
      <c r="H204" s="63">
        <v>13200.0</v>
      </c>
      <c r="I204" s="63"/>
      <c r="J204" s="63">
        <f>SUMIFS('SỔ CHI TIẾT BÁN HÀNG'!$G$5:$G$2062,'SỔ CHI TIẾT BÁN HÀNG'!$C$5:$C$2062,'Đơn đặt'!F204,'SỔ CHI TIẾT BÁN HÀNG'!$L$5:$L$2062,'Đơn đặt'!C204)</f>
        <v>0</v>
      </c>
      <c r="K204" s="63">
        <f t="shared" si="3"/>
        <v>13200</v>
      </c>
      <c r="L204" s="63"/>
      <c r="M204" s="72">
        <f>IF(E204="Hàng SX",0,SUMIFS('SỔ CHI TIẾT BÁN HÀNG'!$Q$5:$Q$2863,'SỔ CHI TIẾT BÁN HÀNG'!$C$5:$C$2863,'Đơn đặt'!F204,'SỔ CHI TIẾT BÁN HÀNG'!$N$5:$N$2863,'Đơn đặt'!E204))</f>
        <v>0</v>
      </c>
      <c r="N204" s="72">
        <f t="shared" si="4"/>
        <v>13200</v>
      </c>
      <c r="O204" s="74"/>
      <c r="P204" s="74" t="s">
        <v>80</v>
      </c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hidden="1" customHeight="1">
      <c r="A205" s="94" t="s">
        <v>186</v>
      </c>
      <c r="B205" s="95">
        <v>46133.0</v>
      </c>
      <c r="C205" s="96" t="str">
        <f t="shared" si="2"/>
        <v>04-08-TS57-2026/TS-AVP/ĐĐHHH-CT00005</v>
      </c>
      <c r="D205" s="94" t="s">
        <v>606</v>
      </c>
      <c r="E205" s="97" t="s">
        <v>667</v>
      </c>
      <c r="F205" s="98" t="s">
        <v>38</v>
      </c>
      <c r="G205" s="97" t="s">
        <v>36</v>
      </c>
      <c r="H205" s="99">
        <v>10130.0</v>
      </c>
      <c r="I205" s="63"/>
      <c r="J205" s="99">
        <f>SUMIFS('SỔ CHI TIẾT BÁN HÀNG'!$G$5:$G$2062,'SỔ CHI TIẾT BÁN HÀNG'!$C$5:$C$2062,'Đơn đặt'!F205,'SỔ CHI TIẾT BÁN HÀNG'!$L$5:$L$2062,'Đơn đặt'!C205)</f>
        <v>9200</v>
      </c>
      <c r="K205" s="99">
        <f t="shared" si="3"/>
        <v>930</v>
      </c>
      <c r="L205" s="63"/>
      <c r="M205" s="72">
        <f>IF(E205="Hàng SX",0,SUMIFS('SỔ CHI TIẾT BÁN HÀNG'!$Q$5:$Q$2863,'SỔ CHI TIẾT BÁN HÀNG'!$C$5:$C$2863,'Đơn đặt'!F205,'SỔ CHI TIẾT BÁN HÀNG'!$N$5:$N$2863,'Đơn đặt'!E205))</f>
        <v>9200</v>
      </c>
      <c r="N205" s="72">
        <f t="shared" si="4"/>
        <v>930</v>
      </c>
      <c r="O205" s="100"/>
      <c r="P205" s="74" t="s">
        <v>80</v>
      </c>
      <c r="Q205" s="69"/>
      <c r="R205" s="69"/>
      <c r="S205" s="69"/>
      <c r="T205" s="69"/>
      <c r="U205" s="69"/>
      <c r="V205" s="69"/>
      <c r="W205" s="69"/>
      <c r="X205" s="69"/>
      <c r="Y205" s="69"/>
      <c r="Z205" s="69"/>
    </row>
    <row r="206" ht="15.75" hidden="1" customHeight="1">
      <c r="A206" s="51" t="s">
        <v>186</v>
      </c>
      <c r="B206" s="53">
        <v>46133.0</v>
      </c>
      <c r="C206" s="57" t="str">
        <f t="shared" si="2"/>
        <v>04-08-TS57-2026/TS-AVP/ĐĐHHH-CT00078</v>
      </c>
      <c r="D206" s="51" t="s">
        <v>606</v>
      </c>
      <c r="E206" s="37" t="s">
        <v>667</v>
      </c>
      <c r="F206" s="74" t="s">
        <v>41</v>
      </c>
      <c r="G206" s="37" t="s">
        <v>40</v>
      </c>
      <c r="H206" s="63">
        <v>5700.0</v>
      </c>
      <c r="I206" s="63"/>
      <c r="J206" s="63">
        <f>SUMIFS('SỔ CHI TIẾT BÁN HÀNG'!$G$5:$G$2062,'SỔ CHI TIẾT BÁN HÀNG'!$C$5:$C$2062,'Đơn đặt'!F206,'SỔ CHI TIẾT BÁN HÀNG'!$L$5:$L$2062,'Đơn đặt'!C206)</f>
        <v>1270</v>
      </c>
      <c r="K206" s="63">
        <f t="shared" si="3"/>
        <v>4430</v>
      </c>
      <c r="L206" s="63"/>
      <c r="M206" s="72">
        <f>IF(E206="Hàng SX",0,SUMIFS('SỔ CHI TIẾT BÁN HÀNG'!$Q$5:$Q$2863,'SỔ CHI TIẾT BÁN HÀNG'!$C$5:$C$2863,'Đơn đặt'!F206,'SỔ CHI TIẾT BÁN HÀNG'!$N$5:$N$2863,'Đơn đặt'!E206))</f>
        <v>1270</v>
      </c>
      <c r="N206" s="72">
        <f t="shared" si="4"/>
        <v>4430</v>
      </c>
      <c r="O206" s="74"/>
      <c r="P206" s="74" t="s">
        <v>80</v>
      </c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hidden="1" customHeight="1">
      <c r="A207" s="51" t="s">
        <v>186</v>
      </c>
      <c r="B207" s="53">
        <v>46133.0</v>
      </c>
      <c r="C207" s="57" t="str">
        <f t="shared" si="2"/>
        <v>04-08-TS57-2026/TS-AVP/ĐĐHHH-CT00075</v>
      </c>
      <c r="D207" s="51" t="s">
        <v>606</v>
      </c>
      <c r="E207" s="37" t="s">
        <v>667</v>
      </c>
      <c r="F207" s="74" t="s">
        <v>244</v>
      </c>
      <c r="G207" s="37" t="s">
        <v>245</v>
      </c>
      <c r="H207" s="63">
        <v>8100.0</v>
      </c>
      <c r="I207" s="63"/>
      <c r="J207" s="63">
        <f>SUMIFS('SỔ CHI TIẾT BÁN HÀNG'!$G$5:$G$2062,'SỔ CHI TIẾT BÁN HÀNG'!$C$5:$C$2062,'Đơn đặt'!F207,'SỔ CHI TIẾT BÁN HÀNG'!$L$5:$L$2062,'Đơn đặt'!C207)</f>
        <v>6180</v>
      </c>
      <c r="K207" s="63">
        <f t="shared" si="3"/>
        <v>1920</v>
      </c>
      <c r="L207" s="63"/>
      <c r="M207" s="72">
        <f>IF(E207="Hàng SX",0,SUMIFS('SỔ CHI TIẾT BÁN HÀNG'!$Q$5:$Q$2863,'SỔ CHI TIẾT BÁN HÀNG'!$C$5:$C$2863,'Đơn đặt'!F207,'SỔ CHI TIẾT BÁN HÀNG'!$N$5:$N$2863,'Đơn đặt'!E207))</f>
        <v>6180</v>
      </c>
      <c r="N207" s="72">
        <f t="shared" si="4"/>
        <v>1920</v>
      </c>
      <c r="O207" s="74"/>
      <c r="P207" s="74" t="s">
        <v>80</v>
      </c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hidden="1" customHeight="1">
      <c r="A208" s="51" t="s">
        <v>186</v>
      </c>
      <c r="B208" s="53">
        <v>46133.0</v>
      </c>
      <c r="C208" s="57" t="str">
        <f t="shared" si="2"/>
        <v>04-08-TS57-2026/TS-AVP/ĐĐHHH-CT00083</v>
      </c>
      <c r="D208" s="51" t="s">
        <v>606</v>
      </c>
      <c r="E208" s="37" t="s">
        <v>667</v>
      </c>
      <c r="F208" s="74" t="s">
        <v>247</v>
      </c>
      <c r="G208" s="37" t="s">
        <v>249</v>
      </c>
      <c r="H208" s="63">
        <v>7520.0</v>
      </c>
      <c r="I208" s="63"/>
      <c r="J208" s="63">
        <f>SUMIFS('SỔ CHI TIẾT BÁN HÀNG'!$G$5:$G$2062,'SỔ CHI TIẾT BÁN HÀNG'!$C$5:$C$2062,'Đơn đặt'!F208,'SỔ CHI TIẾT BÁN HÀNG'!$L$5:$L$2062,'Đơn đặt'!C208)</f>
        <v>520</v>
      </c>
      <c r="K208" s="63">
        <f t="shared" si="3"/>
        <v>7000</v>
      </c>
      <c r="L208" s="63"/>
      <c r="M208" s="72">
        <f>IF(E208="Hàng SX",0,SUMIFS('SỔ CHI TIẾT BÁN HÀNG'!$Q$5:$Q$2863,'SỔ CHI TIẾT BÁN HÀNG'!$C$5:$C$2863,'Đơn đặt'!F208,'SỔ CHI TIẾT BÁN HÀNG'!$N$5:$N$2863,'Đơn đặt'!E208))</f>
        <v>520</v>
      </c>
      <c r="N208" s="72">
        <f t="shared" si="4"/>
        <v>7000</v>
      </c>
      <c r="O208" s="74"/>
      <c r="P208" s="74" t="s">
        <v>80</v>
      </c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hidden="1" customHeight="1">
      <c r="A209" s="51" t="s">
        <v>186</v>
      </c>
      <c r="B209" s="53">
        <v>46133.0</v>
      </c>
      <c r="C209" s="57" t="str">
        <f t="shared" si="2"/>
        <v>04-08-TS57-2026/TS-AVP/ĐĐHHH-CT00073</v>
      </c>
      <c r="D209" s="51" t="s">
        <v>606</v>
      </c>
      <c r="E209" s="37" t="s">
        <v>667</v>
      </c>
      <c r="F209" s="74" t="s">
        <v>402</v>
      </c>
      <c r="G209" s="37" t="s">
        <v>403</v>
      </c>
      <c r="H209" s="63">
        <v>3300.0</v>
      </c>
      <c r="I209" s="63"/>
      <c r="J209" s="63">
        <f>SUMIFS('SỔ CHI TIẾT BÁN HÀNG'!$G$5:$G$2062,'SỔ CHI TIẾT BÁN HÀNG'!$C$5:$C$2062,'Đơn đặt'!F209,'SỔ CHI TIẾT BÁN HÀNG'!$L$5:$L$2062,'Đơn đặt'!C209)</f>
        <v>3300</v>
      </c>
      <c r="K209" s="63">
        <f t="shared" si="3"/>
        <v>0</v>
      </c>
      <c r="L209" s="63"/>
      <c r="M209" s="72">
        <f>IF(E209="Hàng SX",0,SUMIFS('SỔ CHI TIẾT BÁN HÀNG'!$Q$5:$Q$2863,'SỔ CHI TIẾT BÁN HÀNG'!$C$5:$C$2863,'Đơn đặt'!F209,'SỔ CHI TIẾT BÁN HÀNG'!$N$5:$N$2863,'Đơn đặt'!E209))</f>
        <v>3300</v>
      </c>
      <c r="N209" s="72">
        <f t="shared" si="4"/>
        <v>0</v>
      </c>
      <c r="O209" s="74"/>
      <c r="P209" s="74" t="s">
        <v>80</v>
      </c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hidden="1" customHeight="1">
      <c r="A210" s="51" t="s">
        <v>186</v>
      </c>
      <c r="B210" s="53">
        <v>46133.0</v>
      </c>
      <c r="C210" s="57" t="str">
        <f t="shared" si="2"/>
        <v>04-08-TS57-2026/TS-AVP/ĐĐHHH-CT00077</v>
      </c>
      <c r="D210" s="51" t="s">
        <v>606</v>
      </c>
      <c r="E210" s="37" t="s">
        <v>667</v>
      </c>
      <c r="F210" s="59" t="s">
        <v>329</v>
      </c>
      <c r="G210" s="37" t="s">
        <v>330</v>
      </c>
      <c r="H210" s="63">
        <v>1250.0</v>
      </c>
      <c r="I210" s="63"/>
      <c r="J210" s="63">
        <f>SUMIFS('SỔ CHI TIẾT BÁN HÀNG'!$G$5:$G$2062,'SỔ CHI TIẾT BÁN HÀNG'!$C$5:$C$2062,'Đơn đặt'!F210,'SỔ CHI TIẾT BÁN HÀNG'!$L$5:$L$2062,'Đơn đặt'!C210)</f>
        <v>1250</v>
      </c>
      <c r="K210" s="63">
        <f t="shared" si="3"/>
        <v>0</v>
      </c>
      <c r="L210" s="63"/>
      <c r="M210" s="72">
        <f>IF(E210="Hàng SX",0,SUMIFS('SỔ CHI TIẾT BÁN HÀNG'!$Q$5:$Q$2863,'SỔ CHI TIẾT BÁN HÀNG'!$C$5:$C$2863,'Đơn đặt'!F210,'SỔ CHI TIẾT BÁN HÀNG'!$N$5:$N$2863,'Đơn đặt'!E210))</f>
        <v>1250</v>
      </c>
      <c r="N210" s="72">
        <f t="shared" si="4"/>
        <v>0</v>
      </c>
      <c r="O210" s="74"/>
      <c r="P210" s="74" t="s">
        <v>80</v>
      </c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hidden="1" customHeight="1">
      <c r="A211" s="51" t="s">
        <v>186</v>
      </c>
      <c r="B211" s="53">
        <v>46133.0</v>
      </c>
      <c r="C211" s="57" t="str">
        <f t="shared" si="2"/>
        <v>04-08-TS57-2026/TS-AVP/ĐĐHHH-CT00081</v>
      </c>
      <c r="D211" s="51" t="s">
        <v>606</v>
      </c>
      <c r="E211" s="37" t="s">
        <v>667</v>
      </c>
      <c r="F211" s="74" t="s">
        <v>17</v>
      </c>
      <c r="G211" s="37" t="s">
        <v>16</v>
      </c>
      <c r="H211" s="63">
        <v>1250.0</v>
      </c>
      <c r="I211" s="63"/>
      <c r="J211" s="63">
        <f>SUMIFS('SỔ CHI TIẾT BÁN HÀNG'!$G$5:$G$2062,'SỔ CHI TIẾT BÁN HÀNG'!$C$5:$C$2062,'Đơn đặt'!F211,'SỔ CHI TIẾT BÁN HÀNG'!$L$5:$L$2062,'Đơn đặt'!C211)</f>
        <v>1250</v>
      </c>
      <c r="K211" s="63">
        <f t="shared" si="3"/>
        <v>0</v>
      </c>
      <c r="L211" s="63"/>
      <c r="M211" s="72">
        <f>IF(E211="Hàng SX",0,SUMIFS('SỔ CHI TIẾT BÁN HÀNG'!$Q$5:$Q$2863,'SỔ CHI TIẾT BÁN HÀNG'!$C$5:$C$2863,'Đơn đặt'!F211,'SỔ CHI TIẾT BÁN HÀNG'!$N$5:$N$2863,'Đơn đặt'!E211))</f>
        <v>1250</v>
      </c>
      <c r="N211" s="72">
        <f t="shared" si="4"/>
        <v>0</v>
      </c>
      <c r="O211" s="74"/>
      <c r="P211" s="74" t="s">
        <v>80</v>
      </c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hidden="1" customHeight="1">
      <c r="A212" s="51" t="s">
        <v>186</v>
      </c>
      <c r="B212" s="53">
        <v>46133.0</v>
      </c>
      <c r="C212" s="57" t="str">
        <f t="shared" si="2"/>
        <v>04-08-TS57-2026/TS-AVP/ĐĐHHH-CT00002</v>
      </c>
      <c r="D212" s="51" t="s">
        <v>606</v>
      </c>
      <c r="E212" s="37" t="s">
        <v>667</v>
      </c>
      <c r="F212" s="74" t="s">
        <v>423</v>
      </c>
      <c r="G212" s="37" t="s">
        <v>424</v>
      </c>
      <c r="H212" s="63">
        <v>600.0</v>
      </c>
      <c r="I212" s="63"/>
      <c r="J212" s="63">
        <f>SUMIFS('SỔ CHI TIẾT BÁN HÀNG'!$G$5:$G$2062,'SỔ CHI TIẾT BÁN HÀNG'!$C$5:$C$2062,'Đơn đặt'!F212,'SỔ CHI TIẾT BÁN HÀNG'!$L$5:$L$2062,'Đơn đặt'!C212)</f>
        <v>600</v>
      </c>
      <c r="K212" s="63">
        <f t="shared" si="3"/>
        <v>0</v>
      </c>
      <c r="L212" s="63"/>
      <c r="M212" s="72">
        <f>IF(E212="Hàng SX",0,SUMIFS('SỔ CHI TIẾT BÁN HÀNG'!$Q$5:$Q$2863,'SỔ CHI TIẾT BÁN HÀNG'!$C$5:$C$2863,'Đơn đặt'!F212,'SỔ CHI TIẾT BÁN HÀNG'!$N$5:$N$2863,'Đơn đặt'!E212))</f>
        <v>600</v>
      </c>
      <c r="N212" s="72">
        <f t="shared" si="4"/>
        <v>0</v>
      </c>
      <c r="O212" s="74"/>
      <c r="P212" s="74" t="s">
        <v>80</v>
      </c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hidden="1" customHeight="1">
      <c r="A213" s="51" t="s">
        <v>186</v>
      </c>
      <c r="B213" s="53">
        <v>46100.0</v>
      </c>
      <c r="C213" s="57" t="str">
        <f t="shared" si="2"/>
        <v>03-12-TS58-2026/TS-AVP/ĐĐHHH-CT00007</v>
      </c>
      <c r="D213" s="51" t="s">
        <v>520</v>
      </c>
      <c r="E213" s="37" t="s">
        <v>687</v>
      </c>
      <c r="F213" s="74" t="s">
        <v>48</v>
      </c>
      <c r="G213" s="37" t="s">
        <v>47</v>
      </c>
      <c r="H213" s="63">
        <v>71000.0</v>
      </c>
      <c r="I213" s="63"/>
      <c r="J213" s="63">
        <f>SUMIFS('SỔ CHI TIẾT BÁN HÀNG'!$G$5:$G$2062,'SỔ CHI TIẾT BÁN HÀNG'!$C$5:$C$2062,'Đơn đặt'!F213,'SỔ CHI TIẾT BÁN HÀNG'!$L$5:$L$2062,'Đơn đặt'!C213)</f>
        <v>69000</v>
      </c>
      <c r="K213" s="63">
        <f t="shared" si="3"/>
        <v>2000</v>
      </c>
      <c r="L213" s="63"/>
      <c r="M213" s="72">
        <f>IF(E213="Hàng SX",0,SUMIFS('SỔ CHI TIẾT BÁN HÀNG'!$Q$5:$Q$2863,'SỔ CHI TIẾT BÁN HÀNG'!$C$5:$C$2863,'Đơn đặt'!F213,'SỔ CHI TIẾT BÁN HÀNG'!$N$5:$N$2863,'Đơn đặt'!E213))</f>
        <v>69000</v>
      </c>
      <c r="N213" s="72">
        <f t="shared" si="4"/>
        <v>2000</v>
      </c>
      <c r="O213" s="74"/>
      <c r="P213" s="74" t="s">
        <v>80</v>
      </c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hidden="1" customHeight="1">
      <c r="A214" s="51" t="s">
        <v>186</v>
      </c>
      <c r="B214" s="53">
        <v>46100.0</v>
      </c>
      <c r="C214" s="57" t="str">
        <f t="shared" si="2"/>
        <v>03-12-TS58-2026/TS-AVP/ĐĐHHH-CT00008</v>
      </c>
      <c r="D214" s="51" t="s">
        <v>520</v>
      </c>
      <c r="E214" s="37" t="s">
        <v>687</v>
      </c>
      <c r="F214" s="74" t="s">
        <v>50</v>
      </c>
      <c r="G214" s="37" t="s">
        <v>49</v>
      </c>
      <c r="H214" s="63">
        <v>31100.0</v>
      </c>
      <c r="I214" s="63"/>
      <c r="J214" s="63">
        <f>SUMIFS('SỔ CHI TIẾT BÁN HÀNG'!$G$5:$G$2062,'SỔ CHI TIẾT BÁN HÀNG'!$C$5:$C$2062,'Đơn đặt'!F214,'SỔ CHI TIẾT BÁN HÀNG'!$L$5:$L$2062,'Đơn đặt'!C214)</f>
        <v>19000</v>
      </c>
      <c r="K214" s="63">
        <f t="shared" si="3"/>
        <v>12100</v>
      </c>
      <c r="L214" s="63"/>
      <c r="M214" s="72">
        <f>IF(E214="Hàng SX",0,SUMIFS('SỔ CHI TIẾT BÁN HÀNG'!$Q$5:$Q$2863,'SỔ CHI TIẾT BÁN HÀNG'!$C$5:$C$2863,'Đơn đặt'!F214,'SỔ CHI TIẾT BÁN HÀNG'!$N$5:$N$2863,'Đơn đặt'!E214))</f>
        <v>21600</v>
      </c>
      <c r="N214" s="72">
        <f t="shared" si="4"/>
        <v>9500</v>
      </c>
      <c r="O214" s="74"/>
      <c r="P214" s="74" t="s">
        <v>80</v>
      </c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hidden="1" customHeight="1">
      <c r="A215" s="51" t="s">
        <v>186</v>
      </c>
      <c r="B215" s="53">
        <v>46133.0</v>
      </c>
      <c r="C215" s="57" t="str">
        <f t="shared" si="2"/>
        <v>04-08-TS59-2026/TS-AVP/ĐĐHHH-CT00007</v>
      </c>
      <c r="D215" s="51" t="s">
        <v>606</v>
      </c>
      <c r="E215" s="37" t="s">
        <v>690</v>
      </c>
      <c r="F215" s="74" t="s">
        <v>48</v>
      </c>
      <c r="G215" s="37" t="s">
        <v>47</v>
      </c>
      <c r="H215" s="63">
        <v>76800.0</v>
      </c>
      <c r="I215" s="63"/>
      <c r="J215" s="63">
        <f>SUMIFS('SỔ CHI TIẾT BÁN HÀNG'!$G$5:$G$2062,'SỔ CHI TIẾT BÁN HÀNG'!$C$5:$C$2062,'Đơn đặt'!F215,'SỔ CHI TIẾT BÁN HÀNG'!$L$5:$L$2062,'Đơn đặt'!C215)</f>
        <v>3000</v>
      </c>
      <c r="K215" s="63">
        <f t="shared" si="3"/>
        <v>73800</v>
      </c>
      <c r="L215" s="63"/>
      <c r="M215" s="72">
        <f>IF(E215="Hàng SX",0,SUMIFS('SỔ CHI TIẾT BÁN HÀNG'!$Q$5:$Q$2863,'SỔ CHI TIẾT BÁN HÀNG'!$C$5:$C$2863,'Đơn đặt'!F215,'SỔ CHI TIẾT BÁN HÀNG'!$N$5:$N$2863,'Đơn đặt'!E215))</f>
        <v>3000</v>
      </c>
      <c r="N215" s="72">
        <f t="shared" si="4"/>
        <v>73800</v>
      </c>
      <c r="O215" s="74"/>
      <c r="P215" s="74" t="s">
        <v>80</v>
      </c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hidden="1" customHeight="1">
      <c r="A216" s="51" t="s">
        <v>186</v>
      </c>
      <c r="B216" s="53">
        <v>46133.0</v>
      </c>
      <c r="C216" s="57" t="str">
        <f t="shared" si="2"/>
        <v>04-08-TS59-2026/TS-AVP/ĐĐHHH-CT00008</v>
      </c>
      <c r="D216" s="51" t="s">
        <v>606</v>
      </c>
      <c r="E216" s="37" t="s">
        <v>690</v>
      </c>
      <c r="F216" s="74" t="s">
        <v>50</v>
      </c>
      <c r="G216" s="37" t="s">
        <v>49</v>
      </c>
      <c r="H216" s="63">
        <v>22300.0</v>
      </c>
      <c r="I216" s="63"/>
      <c r="J216" s="63">
        <f>SUMIFS('SỔ CHI TIẾT BÁN HÀNG'!$G$5:$G$2062,'SỔ CHI TIẾT BÁN HÀNG'!$C$5:$C$2062,'Đơn đặt'!F216,'SỔ CHI TIẾT BÁN HÀNG'!$L$5:$L$2062,'Đơn đặt'!C216)</f>
        <v>0</v>
      </c>
      <c r="K216" s="63">
        <f t="shared" si="3"/>
        <v>22300</v>
      </c>
      <c r="L216" s="63"/>
      <c r="M216" s="72">
        <f>IF(E216="Hàng SX",0,SUMIFS('SỔ CHI TIẾT BÁN HÀNG'!$Q$5:$Q$2863,'SỔ CHI TIẾT BÁN HÀNG'!$C$5:$C$2863,'Đơn đặt'!F216,'SỔ CHI TIẾT BÁN HÀNG'!$N$5:$N$2863,'Đơn đặt'!E216))</f>
        <v>0</v>
      </c>
      <c r="N216" s="72">
        <f t="shared" si="4"/>
        <v>22300</v>
      </c>
      <c r="O216" s="74"/>
      <c r="P216" s="74" t="s">
        <v>80</v>
      </c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hidden="1" customHeight="1">
      <c r="A217" s="51" t="s">
        <v>186</v>
      </c>
      <c r="B217" s="53">
        <v>46133.0</v>
      </c>
      <c r="C217" s="57" t="str">
        <f t="shared" si="2"/>
        <v>04-08-TS59-2026/TS-AVP/ĐĐHHH-CT00052</v>
      </c>
      <c r="D217" s="51" t="s">
        <v>606</v>
      </c>
      <c r="E217" s="37" t="s">
        <v>690</v>
      </c>
      <c r="F217" s="74" t="s">
        <v>436</v>
      </c>
      <c r="G217" s="37" t="s">
        <v>437</v>
      </c>
      <c r="H217" s="63">
        <v>200.0</v>
      </c>
      <c r="I217" s="63"/>
      <c r="J217" s="63">
        <f>SUMIFS('SỔ CHI TIẾT BÁN HÀNG'!$G$5:$G$2062,'SỔ CHI TIẾT BÁN HÀNG'!$C$5:$C$2062,'Đơn đặt'!F217,'SỔ CHI TIẾT BÁN HÀNG'!$L$5:$L$2062,'Đơn đặt'!C217)</f>
        <v>200</v>
      </c>
      <c r="K217" s="63">
        <f t="shared" si="3"/>
        <v>0</v>
      </c>
      <c r="L217" s="63"/>
      <c r="M217" s="72">
        <f>IF(E217="Hàng SX",0,SUMIFS('SỔ CHI TIẾT BÁN HÀNG'!$Q$5:$Q$2863,'SỔ CHI TIẾT BÁN HÀNG'!$C$5:$C$2863,'Đơn đặt'!F217,'SỔ CHI TIẾT BÁN HÀNG'!$N$5:$N$2863,'Đơn đặt'!E217))</f>
        <v>200</v>
      </c>
      <c r="N217" s="72">
        <f t="shared" si="4"/>
        <v>0</v>
      </c>
      <c r="O217" s="74"/>
      <c r="P217" s="74" t="s">
        <v>80</v>
      </c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hidden="1" customHeight="1">
      <c r="A218" s="51" t="s">
        <v>186</v>
      </c>
      <c r="B218" s="53">
        <v>46135.0</v>
      </c>
      <c r="C218" s="57" t="str">
        <f t="shared" si="2"/>
        <v>04-12-TS60-2026/TS-AVP/ĐĐHHH-CT00064</v>
      </c>
      <c r="D218" s="51" t="s">
        <v>695</v>
      </c>
      <c r="E218" s="37" t="s">
        <v>696</v>
      </c>
      <c r="F218" s="59" t="s">
        <v>77</v>
      </c>
      <c r="G218" s="37" t="s">
        <v>364</v>
      </c>
      <c r="H218" s="63">
        <v>9680.0</v>
      </c>
      <c r="I218" s="63"/>
      <c r="J218" s="63">
        <f>SUMIFS('SỔ CHI TIẾT BÁN HÀNG'!$G$5:$G$2062,'SỔ CHI TIẾT BÁN HÀNG'!$C$5:$C$2062,'Đơn đặt'!F218,'SỔ CHI TIẾT BÁN HÀNG'!$L$5:$L$2062,'Đơn đặt'!C218)</f>
        <v>9680</v>
      </c>
      <c r="K218" s="63">
        <f t="shared" si="3"/>
        <v>0</v>
      </c>
      <c r="L218" s="63"/>
      <c r="M218" s="72">
        <f>IF(E218="Hàng SX",0,SUMIFS('SỔ CHI TIẾT BÁN HÀNG'!$Q$5:$Q$2863,'SỔ CHI TIẾT BÁN HÀNG'!$C$5:$C$2863,'Đơn đặt'!F218,'SỔ CHI TIẾT BÁN HÀNG'!$N$5:$N$2863,'Đơn đặt'!E218))</f>
        <v>9680</v>
      </c>
      <c r="N218" s="72">
        <f t="shared" si="4"/>
        <v>0</v>
      </c>
      <c r="O218" s="74"/>
      <c r="P218" s="74" t="s">
        <v>80</v>
      </c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hidden="1" customHeight="1">
      <c r="A219" s="51" t="s">
        <v>186</v>
      </c>
      <c r="B219" s="53">
        <v>46150.0</v>
      </c>
      <c r="C219" s="57" t="str">
        <f t="shared" si="2"/>
        <v>05-01-TS61-2026/TS-AVP/ĐĐHHH-CT00132</v>
      </c>
      <c r="D219" s="51" t="s">
        <v>698</v>
      </c>
      <c r="E219" s="37" t="s">
        <v>699</v>
      </c>
      <c r="F219" s="74" t="s">
        <v>492</v>
      </c>
      <c r="G219" s="37" t="s">
        <v>493</v>
      </c>
      <c r="H219" s="63">
        <v>470.0</v>
      </c>
      <c r="I219" s="63"/>
      <c r="J219" s="63">
        <f>SUMIFS('SỔ CHI TIẾT BÁN HÀNG'!$G$5:$G$2062,'SỔ CHI TIẾT BÁN HÀNG'!$C$5:$C$2062,'Đơn đặt'!F219,'SỔ CHI TIẾT BÁN HÀNG'!$L$5:$L$2062,'Đơn đặt'!C219)</f>
        <v>470</v>
      </c>
      <c r="K219" s="63">
        <f t="shared" si="3"/>
        <v>0</v>
      </c>
      <c r="L219" s="63"/>
      <c r="M219" s="72">
        <f>IF(E219="Hàng SX",0,SUMIFS('SỔ CHI TIẾT BÁN HÀNG'!$Q$5:$Q$2863,'SỔ CHI TIẾT BÁN HÀNG'!$C$5:$C$2863,'Đơn đặt'!F219,'SỔ CHI TIẾT BÁN HÀNG'!$N$5:$N$2863,'Đơn đặt'!E219))</f>
        <v>470</v>
      </c>
      <c r="N219" s="72">
        <f t="shared" si="4"/>
        <v>0</v>
      </c>
      <c r="O219" s="74"/>
      <c r="P219" s="74" t="s">
        <v>80</v>
      </c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hidden="1" customHeight="1">
      <c r="A220" s="51" t="s">
        <v>186</v>
      </c>
      <c r="B220" s="53">
        <v>46150.0</v>
      </c>
      <c r="C220" s="57" t="str">
        <f t="shared" si="2"/>
        <v>05-02-TS62-2026/TS-AVP/ĐĐHHH-CT00095</v>
      </c>
      <c r="D220" s="51" t="s">
        <v>702</v>
      </c>
      <c r="E220" s="37" t="s">
        <v>703</v>
      </c>
      <c r="F220" s="59" t="s">
        <v>196</v>
      </c>
      <c r="G220" s="37" t="s">
        <v>260</v>
      </c>
      <c r="H220" s="63">
        <v>2156.0</v>
      </c>
      <c r="I220" s="63"/>
      <c r="J220" s="63">
        <f>SUMIFS('SỔ CHI TIẾT BÁN HÀNG'!$G$5:$G$2062,'SỔ CHI TIẾT BÁN HÀNG'!$C$5:$C$2062,'Đơn đặt'!F220,'SỔ CHI TIẾT BÁN HÀNG'!$L$5:$L$2062,'Đơn đặt'!C220)</f>
        <v>2156</v>
      </c>
      <c r="K220" s="63">
        <f t="shared" si="3"/>
        <v>0</v>
      </c>
      <c r="L220" s="63"/>
      <c r="M220" s="72">
        <f>IF(E220="Hàng SX",0,SUMIFS('SỔ CHI TIẾT BÁN HÀNG'!$Q$5:$Q$2863,'SỔ CHI TIẾT BÁN HÀNG'!$C$5:$C$2863,'Đơn đặt'!F220,'SỔ CHI TIẾT BÁN HÀNG'!$N$5:$N$2863,'Đơn đặt'!E220))</f>
        <v>2156</v>
      </c>
      <c r="N220" s="72">
        <f t="shared" si="4"/>
        <v>0</v>
      </c>
      <c r="O220" s="74"/>
      <c r="P220" s="74" t="s">
        <v>80</v>
      </c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hidden="1" customHeight="1">
      <c r="A221" s="51" t="s">
        <v>186</v>
      </c>
      <c r="B221" s="53">
        <v>46157.0</v>
      </c>
      <c r="C221" s="57" t="str">
        <f t="shared" si="2"/>
        <v>05-26/TS-LP63-2026/TS-AVP/ĐĐHTP-PE00009</v>
      </c>
      <c r="D221" s="51" t="s">
        <v>707</v>
      </c>
      <c r="E221" s="37" t="s">
        <v>709</v>
      </c>
      <c r="F221" s="59" t="s">
        <v>295</v>
      </c>
      <c r="G221" s="37" t="s">
        <v>296</v>
      </c>
      <c r="H221" s="63">
        <v>1000.0</v>
      </c>
      <c r="I221" s="63"/>
      <c r="J221" s="63">
        <f>SUMIFS('SỔ CHI TIẾT BÁN HÀNG'!$G$5:$G$2062,'SỔ CHI TIẾT BÁN HÀNG'!$C$5:$C$2062,'Đơn đặt'!F221,'SỔ CHI TIẾT BÁN HÀNG'!$L$5:$L$2062,'Đơn đặt'!C221)</f>
        <v>1000</v>
      </c>
      <c r="K221" s="63">
        <f t="shared" si="3"/>
        <v>0</v>
      </c>
      <c r="L221" s="63"/>
      <c r="M221" s="72">
        <f>IF(E221="Hàng SX",0,SUMIFS('SỔ CHI TIẾT BÁN HÀNG'!$Q$5:$Q$2863,'SỔ CHI TIẾT BÁN HÀNG'!$C$5:$C$2863,'Đơn đặt'!F221,'SỔ CHI TIẾT BÁN HÀNG'!$N$5:$N$2863,'Đơn đặt'!E221))</f>
        <v>1000</v>
      </c>
      <c r="N221" s="72">
        <f t="shared" si="4"/>
        <v>0</v>
      </c>
      <c r="O221" s="74"/>
      <c r="P221" s="74" t="s">
        <v>80</v>
      </c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hidden="1" customHeight="1">
      <c r="A222" s="51" t="s">
        <v>186</v>
      </c>
      <c r="B222" s="53">
        <v>46157.0</v>
      </c>
      <c r="C222" s="57" t="str">
        <f t="shared" si="2"/>
        <v>05-26/TS-LP63-2026/TS-AVP/ĐĐHTP-PE00002</v>
      </c>
      <c r="D222" s="51" t="s">
        <v>707</v>
      </c>
      <c r="E222" s="37" t="s">
        <v>709</v>
      </c>
      <c r="F222" s="59" t="s">
        <v>299</v>
      </c>
      <c r="G222" s="37" t="s">
        <v>300</v>
      </c>
      <c r="H222" s="63">
        <v>1000.0</v>
      </c>
      <c r="I222" s="63"/>
      <c r="J222" s="63">
        <f>SUMIFS('SỔ CHI TIẾT BÁN HÀNG'!$G$5:$G$2062,'SỔ CHI TIẾT BÁN HÀNG'!$C$5:$C$2062,'Đơn đặt'!F222,'SỔ CHI TIẾT BÁN HÀNG'!$L$5:$L$2062,'Đơn đặt'!C222)</f>
        <v>1000</v>
      </c>
      <c r="K222" s="63">
        <f t="shared" si="3"/>
        <v>0</v>
      </c>
      <c r="L222" s="63"/>
      <c r="M222" s="72">
        <f>IF(E222="Hàng SX",0,SUMIFS('SỔ CHI TIẾT BÁN HÀNG'!$Q$5:$Q$2863,'SỔ CHI TIẾT BÁN HÀNG'!$C$5:$C$2863,'Đơn đặt'!F222,'SỔ CHI TIẾT BÁN HÀNG'!$N$5:$N$2863,'Đơn đặt'!E222))</f>
        <v>1000</v>
      </c>
      <c r="N222" s="72">
        <f t="shared" si="4"/>
        <v>0</v>
      </c>
      <c r="O222" s="74"/>
      <c r="P222" s="74" t="s">
        <v>80</v>
      </c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hidden="1" customHeight="1">
      <c r="A223" s="51" t="s">
        <v>186</v>
      </c>
      <c r="B223" s="53">
        <v>46151.0</v>
      </c>
      <c r="C223" s="57" t="str">
        <f t="shared" si="2"/>
        <v>05/09/TSC-LTHàng SXTP-LG00008-SG</v>
      </c>
      <c r="D223" s="51" t="s">
        <v>713</v>
      </c>
      <c r="E223" s="37" t="s">
        <v>98</v>
      </c>
      <c r="F223" s="61" t="s">
        <v>110</v>
      </c>
      <c r="G223" s="61" t="s">
        <v>188</v>
      </c>
      <c r="H223" s="63">
        <v>14040.0</v>
      </c>
      <c r="I223" s="63"/>
      <c r="J223" s="63">
        <f>SUMIFS('SỔ CHI TIẾT BÁN HÀNG'!$G$5:$G$2062,'SỔ CHI TIẾT BÁN HÀNG'!$C$5:$C$2062,'Đơn đặt'!F223,'SỔ CHI TIẾT BÁN HÀNG'!$L$5:$L$2062,'Đơn đặt'!C223)</f>
        <v>0</v>
      </c>
      <c r="K223" s="63">
        <f t="shared" si="3"/>
        <v>14040</v>
      </c>
      <c r="L223" s="63"/>
      <c r="M223" s="72">
        <f>IF(E223="Hàng SX",0,SUMIFS('SỔ CHI TIẾT BÁN HÀNG'!$Q$5:$Q$2863,'SỔ CHI TIẾT BÁN HÀNG'!$C$5:$C$2863,'Đơn đặt'!F223,'SỔ CHI TIẾT BÁN HÀNG'!$N$5:$N$2863,'Đơn đặt'!E223))</f>
        <v>0</v>
      </c>
      <c r="N223" s="72">
        <f t="shared" si="4"/>
        <v>0</v>
      </c>
      <c r="O223" s="74"/>
      <c r="P223" s="74" t="s">
        <v>80</v>
      </c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hidden="1" customHeight="1">
      <c r="A224" s="51" t="s">
        <v>186</v>
      </c>
      <c r="B224" s="53">
        <v>46157.0</v>
      </c>
      <c r="C224" s="57" t="str">
        <f t="shared" si="2"/>
        <v>05-06-TS64-2026/TS-AVP/ĐĐHHH-CT00064</v>
      </c>
      <c r="D224" s="51" t="s">
        <v>716</v>
      </c>
      <c r="E224" s="37" t="s">
        <v>717</v>
      </c>
      <c r="F224" s="59" t="s">
        <v>77</v>
      </c>
      <c r="G224" s="37" t="s">
        <v>364</v>
      </c>
      <c r="H224" s="63">
        <v>12330.0</v>
      </c>
      <c r="I224" s="63"/>
      <c r="J224" s="63">
        <f>SUMIFS('SỔ CHI TIẾT BÁN HÀNG'!$G$5:$G$2062,'SỔ CHI TIẾT BÁN HÀNG'!$C$5:$C$2062,'Đơn đặt'!F224,'SỔ CHI TIẾT BÁN HÀNG'!$L$5:$L$2062,'Đơn đặt'!C224)</f>
        <v>12820</v>
      </c>
      <c r="K224" s="63">
        <f t="shared" si="3"/>
        <v>-490</v>
      </c>
      <c r="L224" s="63"/>
      <c r="M224" s="72">
        <f>IF(E224="Hàng SX",0,SUMIFS('SỔ CHI TIẾT BÁN HÀNG'!$Q$5:$Q$2863,'SỔ CHI TIẾT BÁN HÀNG'!$C$5:$C$2863,'Đơn đặt'!F224,'SỔ CHI TIẾT BÁN HÀNG'!$N$5:$N$2863,'Đơn đặt'!E224))</f>
        <v>12820</v>
      </c>
      <c r="N224" s="72">
        <f t="shared" si="4"/>
        <v>-490</v>
      </c>
      <c r="O224" s="74"/>
      <c r="P224" s="74" t="s">
        <v>80</v>
      </c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hidden="1" customHeight="1">
      <c r="A225" s="51" t="s">
        <v>186</v>
      </c>
      <c r="B225" s="53">
        <v>46163.0</v>
      </c>
      <c r="C225" s="57" t="str">
        <f t="shared" si="2"/>
        <v>05-07-TS65-2026/TS-AVP/ĐĐHHH-CT00031</v>
      </c>
      <c r="D225" s="51" t="s">
        <v>720</v>
      </c>
      <c r="E225" s="37" t="s">
        <v>721</v>
      </c>
      <c r="F225" s="74" t="s">
        <v>206</v>
      </c>
      <c r="G225" s="37" t="s">
        <v>207</v>
      </c>
      <c r="H225" s="63">
        <v>23020.0</v>
      </c>
      <c r="I225" s="63"/>
      <c r="J225" s="63">
        <f>SUMIFS('SỔ CHI TIẾT BÁN HÀNG'!$G$5:$G$2062,'SỔ CHI TIẾT BÁN HÀNG'!$C$5:$C$2062,'Đơn đặt'!F225,'SỔ CHI TIẾT BÁN HÀNG'!$L$5:$L$2062,'Đơn đặt'!C225)</f>
        <v>0</v>
      </c>
      <c r="K225" s="63">
        <f t="shared" si="3"/>
        <v>23020</v>
      </c>
      <c r="L225" s="63"/>
      <c r="M225" s="72">
        <f>IF(E225="Hàng SX",0,SUMIFS('SỔ CHI TIẾT BÁN HÀNG'!$Q$5:$Q$2863,'SỔ CHI TIẾT BÁN HÀNG'!$C$5:$C$2863,'Đơn đặt'!F225,'SỔ CHI TIẾT BÁN HÀNG'!$N$5:$N$2863,'Đơn đặt'!E225))</f>
        <v>0</v>
      </c>
      <c r="N225" s="72">
        <f t="shared" si="4"/>
        <v>23020</v>
      </c>
      <c r="O225" s="74"/>
      <c r="P225" s="74" t="s">
        <v>80</v>
      </c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hidden="1" customHeight="1">
      <c r="A226" s="51" t="s">
        <v>186</v>
      </c>
      <c r="B226" s="53">
        <v>46163.0</v>
      </c>
      <c r="C226" s="57" t="str">
        <f t="shared" si="2"/>
        <v>05-07-TS65-2026/TS-AVP/ĐĐHHH-CT00061</v>
      </c>
      <c r="D226" s="51" t="s">
        <v>720</v>
      </c>
      <c r="E226" s="37" t="s">
        <v>721</v>
      </c>
      <c r="F226" s="74" t="s">
        <v>272</v>
      </c>
      <c r="G226" s="37" t="s">
        <v>273</v>
      </c>
      <c r="H226" s="63">
        <v>9210.0</v>
      </c>
      <c r="I226" s="63"/>
      <c r="J226" s="63">
        <f>SUMIFS('SỔ CHI TIẾT BÁN HÀNG'!$G$5:$G$2062,'SỔ CHI TIẾT BÁN HÀNG'!$C$5:$C$2062,'Đơn đặt'!F226,'SỔ CHI TIẾT BÁN HÀNG'!$L$5:$L$2062,'Đơn đặt'!C226)</f>
        <v>2000</v>
      </c>
      <c r="K226" s="63">
        <f t="shared" si="3"/>
        <v>7210</v>
      </c>
      <c r="L226" s="63"/>
      <c r="M226" s="72">
        <f>IF(E226="Hàng SX",0,SUMIFS('SỔ CHI TIẾT BÁN HÀNG'!$Q$5:$Q$2863,'SỔ CHI TIẾT BÁN HÀNG'!$C$5:$C$2863,'Đơn đặt'!F226,'SỔ CHI TIẾT BÁN HÀNG'!$N$5:$N$2863,'Đơn đặt'!E226))</f>
        <v>5000</v>
      </c>
      <c r="N226" s="72">
        <f t="shared" si="4"/>
        <v>4210</v>
      </c>
      <c r="O226" s="74"/>
      <c r="P226" s="74" t="s">
        <v>80</v>
      </c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hidden="1" customHeight="1">
      <c r="A227" s="51" t="s">
        <v>186</v>
      </c>
      <c r="B227" s="53">
        <v>46163.0</v>
      </c>
      <c r="C227" s="57" t="str">
        <f t="shared" si="2"/>
        <v>05-07-TS65-2026/TS-AVP/ĐĐHHH-CT00025</v>
      </c>
      <c r="D227" s="51" t="s">
        <v>720</v>
      </c>
      <c r="E227" s="37" t="s">
        <v>721</v>
      </c>
      <c r="F227" s="74" t="s">
        <v>119</v>
      </c>
      <c r="G227" s="37" t="s">
        <v>120</v>
      </c>
      <c r="H227" s="63">
        <v>23020.0</v>
      </c>
      <c r="I227" s="63"/>
      <c r="J227" s="63">
        <f>SUMIFS('SỔ CHI TIẾT BÁN HÀNG'!$G$5:$G$2062,'SỔ CHI TIẾT BÁN HÀNG'!$C$5:$C$2062,'Đơn đặt'!F227,'SỔ CHI TIẾT BÁN HÀNG'!$L$5:$L$2062,'Đơn đặt'!C227)</f>
        <v>6730</v>
      </c>
      <c r="K227" s="63">
        <f t="shared" si="3"/>
        <v>16290</v>
      </c>
      <c r="L227" s="63"/>
      <c r="M227" s="72">
        <f>IF(E227="Hàng SX",0,SUMIFS('SỔ CHI TIẾT BÁN HÀNG'!$Q$5:$Q$2863,'SỔ CHI TIẾT BÁN HÀNG'!$C$5:$C$2863,'Đơn đặt'!F227,'SỔ CHI TIẾT BÁN HÀNG'!$N$5:$N$2863,'Đơn đặt'!E227))</f>
        <v>11690</v>
      </c>
      <c r="N227" s="72">
        <f t="shared" si="4"/>
        <v>11330</v>
      </c>
      <c r="O227" s="74"/>
      <c r="P227" s="74" t="s">
        <v>80</v>
      </c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hidden="1" customHeight="1">
      <c r="A228" s="51" t="s">
        <v>186</v>
      </c>
      <c r="B228" s="53">
        <v>46167.0</v>
      </c>
      <c r="C228" s="57" t="str">
        <f t="shared" si="2"/>
        <v>06-07/TS-LP66-2026/TS-AVP/ĐĐHHH-NT00014</v>
      </c>
      <c r="D228" s="51" t="s">
        <v>728</v>
      </c>
      <c r="E228" s="37" t="s">
        <v>730</v>
      </c>
      <c r="F228" s="74" t="s">
        <v>353</v>
      </c>
      <c r="G228" s="37" t="s">
        <v>354</v>
      </c>
      <c r="H228" s="63">
        <v>216000.0</v>
      </c>
      <c r="I228" s="63"/>
      <c r="J228" s="63">
        <f>SUMIFS('SỔ CHI TIẾT BÁN HÀNG'!$G$5:$G$2062,'SỔ CHI TIẾT BÁN HÀNG'!$C$5:$C$2062,'Đơn đặt'!F228,'SỔ CHI TIẾT BÁN HÀNG'!$L$5:$L$2062,'Đơn đặt'!C228)</f>
        <v>16000</v>
      </c>
      <c r="K228" s="63">
        <f t="shared" si="3"/>
        <v>200000</v>
      </c>
      <c r="L228" s="63"/>
      <c r="M228" s="72">
        <f>IF(E228="Hàng SX",0,SUMIFS('SỔ CHI TIẾT BÁN HÀNG'!$Q$5:$Q$2863,'SỔ CHI TIẾT BÁN HÀNG'!$C$5:$C$2863,'Đơn đặt'!F228,'SỔ CHI TIẾT BÁN HÀNG'!$N$5:$N$2863,'Đơn đặt'!E228))</f>
        <v>16000</v>
      </c>
      <c r="N228" s="72">
        <f t="shared" si="4"/>
        <v>200000</v>
      </c>
      <c r="O228" s="74"/>
      <c r="P228" s="74" t="s">
        <v>80</v>
      </c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hidden="1" customHeight="1">
      <c r="A229" s="51" t="s">
        <v>186</v>
      </c>
      <c r="B229" s="53">
        <v>46167.0</v>
      </c>
      <c r="C229" s="57" t="str">
        <f t="shared" si="2"/>
        <v>06-07/TS-LP66-2026/TS-AVP/ĐĐHHH-NT00013</v>
      </c>
      <c r="D229" s="51" t="s">
        <v>728</v>
      </c>
      <c r="E229" s="37" t="s">
        <v>730</v>
      </c>
      <c r="F229" s="74" t="s">
        <v>6</v>
      </c>
      <c r="G229" s="37" t="s">
        <v>358</v>
      </c>
      <c r="H229" s="63">
        <v>1000000.0</v>
      </c>
      <c r="I229" s="63"/>
      <c r="J229" s="63">
        <f>SUMIFS('SỔ CHI TIẾT BÁN HÀNG'!$G$5:$G$2062,'SỔ CHI TIẾT BÁN HÀNG'!$C$5:$C$2062,'Đơn đặt'!F229,'SỔ CHI TIẾT BÁN HÀNG'!$L$5:$L$2062,'Đơn đặt'!C229)</f>
        <v>0</v>
      </c>
      <c r="K229" s="63">
        <f t="shared" si="3"/>
        <v>1000000</v>
      </c>
      <c r="L229" s="63"/>
      <c r="M229" s="72">
        <f>IF(E229="Hàng SX",0,SUMIFS('SỔ CHI TIẾT BÁN HÀNG'!$Q$5:$Q$2863,'SỔ CHI TIẾT BÁN HÀNG'!$C$5:$C$2863,'Đơn đặt'!F229,'SỔ CHI TIẾT BÁN HÀNG'!$N$5:$N$2863,'Đơn đặt'!E229))</f>
        <v>1000000</v>
      </c>
      <c r="N229" s="72">
        <f t="shared" si="4"/>
        <v>0</v>
      </c>
      <c r="O229" s="74"/>
      <c r="P229" s="74" t="s">
        <v>80</v>
      </c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hidden="1" customHeight="1">
      <c r="A230" s="51" t="s">
        <v>186</v>
      </c>
      <c r="B230" s="53">
        <v>46167.0</v>
      </c>
      <c r="C230" s="57" t="str">
        <f t="shared" si="2"/>
        <v>06-07/TS-LP66-2026/TS-AVP/ĐĐHHH-NT00012</v>
      </c>
      <c r="D230" s="51" t="s">
        <v>728</v>
      </c>
      <c r="E230" s="37" t="s">
        <v>730</v>
      </c>
      <c r="F230" s="74" t="s">
        <v>446</v>
      </c>
      <c r="G230" s="37" t="s">
        <v>448</v>
      </c>
      <c r="H230" s="63">
        <v>500000.0</v>
      </c>
      <c r="I230" s="63"/>
      <c r="J230" s="63">
        <f>SUMIFS('SỔ CHI TIẾT BÁN HÀNG'!$G$5:$G$2062,'SỔ CHI TIẾT BÁN HÀNG'!$C$5:$C$2062,'Đơn đặt'!F230,'SỔ CHI TIẾT BÁN HÀNG'!$L$5:$L$2062,'Đơn đặt'!C230)</f>
        <v>0</v>
      </c>
      <c r="K230" s="63">
        <f t="shared" si="3"/>
        <v>500000</v>
      </c>
      <c r="L230" s="63"/>
      <c r="M230" s="72">
        <f>IF(E230="Hàng SX",0,SUMIFS('SỔ CHI TIẾT BÁN HÀNG'!$Q$5:$Q$2863,'SỔ CHI TIẾT BÁN HÀNG'!$C$5:$C$2863,'Đơn đặt'!F230,'SỔ CHI TIẾT BÁN HÀNG'!$N$5:$N$2863,'Đơn đặt'!E230))</f>
        <v>500000</v>
      </c>
      <c r="N230" s="72">
        <f t="shared" si="4"/>
        <v>0</v>
      </c>
      <c r="O230" s="74"/>
      <c r="P230" s="74" t="s">
        <v>80</v>
      </c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hidden="1" customHeight="1">
      <c r="A231" s="51" t="s">
        <v>186</v>
      </c>
      <c r="B231" s="53">
        <v>46167.0</v>
      </c>
      <c r="C231" s="57" t="str">
        <f t="shared" si="2"/>
        <v>06-07/TS-LP66-2026/TS-AVP/ĐĐHHH-NT00011</v>
      </c>
      <c r="D231" s="51" t="s">
        <v>728</v>
      </c>
      <c r="E231" s="37" t="s">
        <v>730</v>
      </c>
      <c r="F231" s="74" t="s">
        <v>9</v>
      </c>
      <c r="G231" s="37" t="s">
        <v>361</v>
      </c>
      <c r="H231" s="63">
        <v>2200000.0</v>
      </c>
      <c r="I231" s="63"/>
      <c r="J231" s="63">
        <f>SUMIFS('SỔ CHI TIẾT BÁN HÀNG'!$G$5:$G$2062,'SỔ CHI TIẾT BÁN HÀNG'!$C$5:$C$2062,'Đơn đặt'!F231,'SỔ CHI TIẾT BÁN HÀNG'!$L$5:$L$2062,'Đơn đặt'!C231)</f>
        <v>600000</v>
      </c>
      <c r="K231" s="63">
        <f t="shared" si="3"/>
        <v>1600000</v>
      </c>
      <c r="L231" s="63"/>
      <c r="M231" s="72">
        <f>IF(E231="Hàng SX",0,SUMIFS('SỔ CHI TIẾT BÁN HÀNG'!$Q$5:$Q$2863,'SỔ CHI TIẾT BÁN HÀNG'!$C$5:$C$2863,'Đơn đặt'!F231,'SỔ CHI TIẾT BÁN HÀNG'!$N$5:$N$2863,'Đơn đặt'!E231))</f>
        <v>2200000</v>
      </c>
      <c r="N231" s="72">
        <f t="shared" si="4"/>
        <v>0</v>
      </c>
      <c r="O231" s="74"/>
      <c r="P231" s="74" t="s">
        <v>80</v>
      </c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hidden="1" customHeight="1">
      <c r="A232" s="51" t="s">
        <v>186</v>
      </c>
      <c r="B232" s="53">
        <v>46164.0</v>
      </c>
      <c r="C232" s="57" t="str">
        <f t="shared" si="2"/>
        <v>05-08-TS67-2026/TS-AVP/ĐĐHHH-CT00132</v>
      </c>
      <c r="D232" s="51" t="s">
        <v>734</v>
      </c>
      <c r="E232" s="37" t="s">
        <v>735</v>
      </c>
      <c r="F232" s="74" t="s">
        <v>492</v>
      </c>
      <c r="G232" s="37" t="s">
        <v>493</v>
      </c>
      <c r="H232" s="63">
        <v>470.0</v>
      </c>
      <c r="I232" s="63"/>
      <c r="J232" s="63">
        <f>SUMIFS('SỔ CHI TIẾT BÁN HÀNG'!$G$5:$G$2062,'SỔ CHI TIẾT BÁN HÀNG'!$C$5:$C$2062,'Đơn đặt'!F232,'SỔ CHI TIẾT BÁN HÀNG'!$L$5:$L$2062,'Đơn đặt'!C232)</f>
        <v>470</v>
      </c>
      <c r="K232" s="63">
        <f t="shared" si="3"/>
        <v>0</v>
      </c>
      <c r="L232" s="63"/>
      <c r="M232" s="72">
        <f>IF(E232="Hàng SX",0,SUMIFS('SỔ CHI TIẾT BÁN HÀNG'!$Q$5:$Q$2863,'SỔ CHI TIẾT BÁN HÀNG'!$C$5:$C$2863,'Đơn đặt'!F232,'SỔ CHI TIẾT BÁN HÀNG'!$N$5:$N$2863,'Đơn đặt'!E232))</f>
        <v>470</v>
      </c>
      <c r="N232" s="72">
        <f t="shared" si="4"/>
        <v>0</v>
      </c>
      <c r="O232" s="74"/>
      <c r="P232" s="74" t="s">
        <v>80</v>
      </c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hidden="1" customHeight="1">
      <c r="A233" s="51" t="s">
        <v>186</v>
      </c>
      <c r="B233" s="53">
        <v>46167.0</v>
      </c>
      <c r="C233" s="57" t="str">
        <f t="shared" si="2"/>
        <v>05-09-TS68-2026/TS-AVP/ĐĐHHH-CT00006</v>
      </c>
      <c r="D233" s="51" t="s">
        <v>737</v>
      </c>
      <c r="E233" s="37" t="s">
        <v>738</v>
      </c>
      <c r="F233" s="74" t="s">
        <v>35</v>
      </c>
      <c r="G233" s="37" t="s">
        <v>34</v>
      </c>
      <c r="H233" s="63">
        <v>4500.0</v>
      </c>
      <c r="I233" s="63"/>
      <c r="J233" s="63">
        <f>SUMIFS('SỔ CHI TIẾT BÁN HÀNG'!$G$5:$G$2062,'SỔ CHI TIẾT BÁN HÀNG'!$C$5:$C$2062,'Đơn đặt'!F233,'SỔ CHI TIẾT BÁN HÀNG'!$L$5:$L$2062,'Đơn đặt'!C233)</f>
        <v>0</v>
      </c>
      <c r="K233" s="63">
        <f t="shared" si="3"/>
        <v>4500</v>
      </c>
      <c r="L233" s="63"/>
      <c r="M233" s="72">
        <f>IF(E233="Hàng SX",0,SUMIFS('SỔ CHI TIẾT BÁN HÀNG'!$Q$5:$Q$2863,'SỔ CHI TIẾT BÁN HÀNG'!$C$5:$C$2863,'Đơn đặt'!F233,'SỔ CHI TIẾT BÁN HÀNG'!$N$5:$N$2863,'Đơn đặt'!E233))</f>
        <v>4500</v>
      </c>
      <c r="N233" s="72">
        <f t="shared" si="4"/>
        <v>0</v>
      </c>
      <c r="O233" s="74"/>
      <c r="P233" s="74" t="s">
        <v>80</v>
      </c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hidden="1" customHeight="1">
      <c r="A234" s="51" t="s">
        <v>186</v>
      </c>
      <c r="B234" s="53">
        <v>46167.0</v>
      </c>
      <c r="C234" s="57" t="str">
        <f t="shared" si="2"/>
        <v>05-09-TS68-2026/TS-AVP/ĐĐHHH-CT00028</v>
      </c>
      <c r="D234" s="51" t="s">
        <v>737</v>
      </c>
      <c r="E234" s="37" t="s">
        <v>738</v>
      </c>
      <c r="F234" s="74" t="s">
        <v>21</v>
      </c>
      <c r="G234" s="37" t="s">
        <v>19</v>
      </c>
      <c r="H234" s="63">
        <v>2200.0</v>
      </c>
      <c r="I234" s="63"/>
      <c r="J234" s="63">
        <f>SUMIFS('SỔ CHI TIẾT BÁN HÀNG'!$G$5:$G$2062,'SỔ CHI TIẾT BÁN HÀNG'!$C$5:$C$2062,'Đơn đặt'!F234,'SỔ CHI TIẾT BÁN HÀNG'!$L$5:$L$2062,'Đơn đặt'!C234)</f>
        <v>0</v>
      </c>
      <c r="K234" s="63">
        <f t="shared" si="3"/>
        <v>2200</v>
      </c>
      <c r="L234" s="63"/>
      <c r="M234" s="72">
        <f>IF(E234="Hàng SX",0,SUMIFS('SỔ CHI TIẾT BÁN HÀNG'!$Q$5:$Q$2863,'SỔ CHI TIẾT BÁN HÀNG'!$C$5:$C$2863,'Đơn đặt'!F234,'SỔ CHI TIẾT BÁN HÀNG'!$N$5:$N$2863,'Đơn đặt'!E234))</f>
        <v>2380</v>
      </c>
      <c r="N234" s="72">
        <f t="shared" si="4"/>
        <v>-180</v>
      </c>
      <c r="O234" s="74"/>
      <c r="P234" s="74" t="s">
        <v>80</v>
      </c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hidden="1" customHeight="1">
      <c r="A235" s="51" t="s">
        <v>186</v>
      </c>
      <c r="B235" s="53">
        <v>46167.0</v>
      </c>
      <c r="C235" s="57" t="str">
        <f t="shared" si="2"/>
        <v>05-09-TS68-2026/TS-AVP/ĐĐHHH-CT00038</v>
      </c>
      <c r="D235" s="51" t="s">
        <v>737</v>
      </c>
      <c r="E235" s="37" t="s">
        <v>738</v>
      </c>
      <c r="F235" s="74" t="s">
        <v>26</v>
      </c>
      <c r="G235" s="37" t="s">
        <v>25</v>
      </c>
      <c r="H235" s="63">
        <v>900.0</v>
      </c>
      <c r="I235" s="63"/>
      <c r="J235" s="63">
        <f>SUMIFS('SỔ CHI TIẾT BÁN HÀNG'!$G$5:$G$2062,'SỔ CHI TIẾT BÁN HÀNG'!$C$5:$C$2062,'Đơn đặt'!F235,'SỔ CHI TIẾT BÁN HÀNG'!$L$5:$L$2062,'Đơn đặt'!C235)</f>
        <v>0</v>
      </c>
      <c r="K235" s="63">
        <f t="shared" si="3"/>
        <v>900</v>
      </c>
      <c r="L235" s="63"/>
      <c r="M235" s="72">
        <f>IF(E235="Hàng SX",0,SUMIFS('SỔ CHI TIẾT BÁN HÀNG'!$Q$5:$Q$2863,'SỔ CHI TIẾT BÁN HÀNG'!$C$5:$C$2863,'Đơn đặt'!F235,'SỔ CHI TIẾT BÁN HÀNG'!$N$5:$N$2863,'Đơn đặt'!E235))</f>
        <v>900</v>
      </c>
      <c r="N235" s="72">
        <f t="shared" si="4"/>
        <v>0</v>
      </c>
      <c r="O235" s="74"/>
      <c r="P235" s="74" t="s">
        <v>80</v>
      </c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hidden="1" customHeight="1">
      <c r="A236" s="51" t="s">
        <v>186</v>
      </c>
      <c r="B236" s="53">
        <v>46167.0</v>
      </c>
      <c r="C236" s="57" t="str">
        <f t="shared" si="2"/>
        <v>05-09-TS68-2026/TS-AVP/ĐĐHHH-CT00027</v>
      </c>
      <c r="D236" s="51" t="s">
        <v>737</v>
      </c>
      <c r="E236" s="37" t="s">
        <v>738</v>
      </c>
      <c r="F236" s="74" t="s">
        <v>316</v>
      </c>
      <c r="G236" s="37" t="s">
        <v>317</v>
      </c>
      <c r="H236" s="63">
        <v>230.0</v>
      </c>
      <c r="I236" s="63"/>
      <c r="J236" s="63">
        <f>SUMIFS('SỔ CHI TIẾT BÁN HÀNG'!$G$5:$G$2062,'SỔ CHI TIẾT BÁN HÀNG'!$C$5:$C$2062,'Đơn đặt'!F236,'SỔ CHI TIẾT BÁN HÀNG'!$L$5:$L$2062,'Đơn đặt'!C236)</f>
        <v>230</v>
      </c>
      <c r="K236" s="63">
        <f t="shared" si="3"/>
        <v>0</v>
      </c>
      <c r="L236" s="63"/>
      <c r="M236" s="72">
        <f>IF(E236="Hàng SX",0,SUMIFS('SỔ CHI TIẾT BÁN HÀNG'!$Q$5:$Q$2863,'SỔ CHI TIẾT BÁN HÀNG'!$C$5:$C$2863,'Đơn đặt'!F236,'SỔ CHI TIẾT BÁN HÀNG'!$N$5:$N$2863,'Đơn đặt'!E236))</f>
        <v>230</v>
      </c>
      <c r="N236" s="72">
        <f t="shared" si="4"/>
        <v>0</v>
      </c>
      <c r="O236" s="74"/>
      <c r="P236" s="74" t="s">
        <v>80</v>
      </c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hidden="1" customHeight="1">
      <c r="A237" s="51" t="s">
        <v>186</v>
      </c>
      <c r="B237" s="53">
        <v>46167.0</v>
      </c>
      <c r="C237" s="57" t="str">
        <f t="shared" si="2"/>
        <v>05-09-TS68-2026/TS-AVP/ĐĐHHH-CT00131</v>
      </c>
      <c r="D237" s="51" t="s">
        <v>737</v>
      </c>
      <c r="E237" s="37" t="s">
        <v>738</v>
      </c>
      <c r="F237" s="74" t="s">
        <v>59</v>
      </c>
      <c r="G237" s="37" t="s">
        <v>58</v>
      </c>
      <c r="H237" s="63">
        <v>42000.0</v>
      </c>
      <c r="I237" s="63"/>
      <c r="J237" s="63">
        <f>SUMIFS('SỔ CHI TIẾT BÁN HÀNG'!$G$5:$G$2062,'SỔ CHI TIẾT BÁN HÀNG'!$C$5:$C$2062,'Đơn đặt'!F237,'SỔ CHI TIẾT BÁN HÀNG'!$L$5:$L$2062,'Đơn đặt'!C237)</f>
        <v>4300</v>
      </c>
      <c r="K237" s="63">
        <f t="shared" si="3"/>
        <v>37700</v>
      </c>
      <c r="L237" s="63"/>
      <c r="M237" s="72">
        <f>IF(E237="Hàng SX",0,SUMIFS('SỔ CHI TIẾT BÁN HÀNG'!$Q$5:$Q$2863,'SỔ CHI TIẾT BÁN HÀNG'!$C$5:$C$2863,'Đơn đặt'!F237,'SỔ CHI TIẾT BÁN HÀNG'!$N$5:$N$2863,'Đơn đặt'!E237))</f>
        <v>35570</v>
      </c>
      <c r="N237" s="72">
        <f t="shared" si="4"/>
        <v>6430</v>
      </c>
      <c r="O237" s="74"/>
      <c r="P237" s="74" t="s">
        <v>80</v>
      </c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hidden="1" customHeight="1">
      <c r="A238" s="51" t="s">
        <v>186</v>
      </c>
      <c r="B238" s="53">
        <v>46167.0</v>
      </c>
      <c r="C238" s="57" t="str">
        <f t="shared" si="2"/>
        <v>05-09-TS68-2026/TS-AVP/ĐĐHHH-CT00036</v>
      </c>
      <c r="D238" s="51" t="s">
        <v>737</v>
      </c>
      <c r="E238" s="37" t="s">
        <v>738</v>
      </c>
      <c r="F238" s="74" t="s">
        <v>14</v>
      </c>
      <c r="G238" s="37" t="s">
        <v>13</v>
      </c>
      <c r="H238" s="63">
        <v>24400.0</v>
      </c>
      <c r="I238" s="63"/>
      <c r="J238" s="63">
        <f>SUMIFS('SỔ CHI TIẾT BÁN HÀNG'!$G$5:$G$2062,'SỔ CHI TIẾT BÁN HÀNG'!$C$5:$C$2062,'Đơn đặt'!F238,'SỔ CHI TIẾT BÁN HÀNG'!$L$5:$L$2062,'Đơn đặt'!C238)</f>
        <v>17100</v>
      </c>
      <c r="K238" s="63">
        <f t="shared" si="3"/>
        <v>7300</v>
      </c>
      <c r="L238" s="63"/>
      <c r="M238" s="72">
        <f>IF(E238="Hàng SX",0,SUMIFS('SỔ CHI TIẾT BÁN HÀNG'!$Q$5:$Q$2863,'SỔ CHI TIẾT BÁN HÀNG'!$C$5:$C$2863,'Đơn đặt'!F238,'SỔ CHI TIẾT BÁN HÀNG'!$N$5:$N$2863,'Đơn đặt'!E238))</f>
        <v>18100</v>
      </c>
      <c r="N238" s="72">
        <f t="shared" si="4"/>
        <v>6300</v>
      </c>
      <c r="O238" s="74"/>
      <c r="P238" s="74" t="s">
        <v>80</v>
      </c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hidden="1" customHeight="1">
      <c r="A239" s="51" t="s">
        <v>186</v>
      </c>
      <c r="B239" s="53">
        <v>46167.0</v>
      </c>
      <c r="C239" s="57" t="str">
        <f t="shared" si="2"/>
        <v>05-09-TS68-2026/TS-AVP/ĐĐHHH-CT00005</v>
      </c>
      <c r="D239" s="51" t="s">
        <v>737</v>
      </c>
      <c r="E239" s="37" t="s">
        <v>738</v>
      </c>
      <c r="F239" s="74" t="s">
        <v>38</v>
      </c>
      <c r="G239" s="37" t="s">
        <v>36</v>
      </c>
      <c r="H239" s="63">
        <v>9800.0</v>
      </c>
      <c r="I239" s="63"/>
      <c r="J239" s="63">
        <f>SUMIFS('SỔ CHI TIẾT BÁN HÀNG'!$G$5:$G$2062,'SỔ CHI TIẾT BÁN HÀNG'!$C$5:$C$2062,'Đơn đặt'!F239,'SỔ CHI TIẾT BÁN HÀNG'!$L$5:$L$2062,'Đơn đặt'!C239)</f>
        <v>0</v>
      </c>
      <c r="K239" s="63">
        <f t="shared" si="3"/>
        <v>9800</v>
      </c>
      <c r="L239" s="63"/>
      <c r="M239" s="72">
        <f>IF(E239="Hàng SX",0,SUMIFS('SỔ CHI TIẾT BÁN HÀNG'!$Q$5:$Q$2863,'SỔ CHI TIẾT BÁN HÀNG'!$C$5:$C$2863,'Đơn đặt'!F239,'SỔ CHI TIẾT BÁN HÀNG'!$N$5:$N$2863,'Đơn đặt'!E239))</f>
        <v>8300</v>
      </c>
      <c r="N239" s="72">
        <f t="shared" si="4"/>
        <v>1500</v>
      </c>
      <c r="O239" s="74"/>
      <c r="P239" s="74" t="s">
        <v>80</v>
      </c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hidden="1" customHeight="1">
      <c r="A240" s="51" t="s">
        <v>186</v>
      </c>
      <c r="B240" s="53">
        <v>46167.0</v>
      </c>
      <c r="C240" s="57" t="str">
        <f t="shared" si="2"/>
        <v>05-09-TS68-2026/TS-AVP/ĐĐHHH-CT00078</v>
      </c>
      <c r="D240" s="51" t="s">
        <v>737</v>
      </c>
      <c r="E240" s="37" t="s">
        <v>738</v>
      </c>
      <c r="F240" s="74" t="s">
        <v>41</v>
      </c>
      <c r="G240" s="37" t="s">
        <v>40</v>
      </c>
      <c r="H240" s="63">
        <v>2300.0</v>
      </c>
      <c r="I240" s="63"/>
      <c r="J240" s="63">
        <f>SUMIFS('SỔ CHI TIẾT BÁN HÀNG'!$G$5:$G$2062,'SỔ CHI TIẾT BÁN HÀNG'!$C$5:$C$2062,'Đơn đặt'!F240,'SỔ CHI TIẾT BÁN HÀNG'!$L$5:$L$2062,'Đơn đặt'!C240)</f>
        <v>0</v>
      </c>
      <c r="K240" s="63">
        <f t="shared" si="3"/>
        <v>2300</v>
      </c>
      <c r="L240" s="63"/>
      <c r="M240" s="72">
        <f>IF(E240="Hàng SX",0,SUMIFS('SỔ CHI TIẾT BÁN HÀNG'!$Q$5:$Q$2863,'SỔ CHI TIẾT BÁN HÀNG'!$C$5:$C$2863,'Đơn đặt'!F240,'SỔ CHI TIẾT BÁN HÀNG'!$N$5:$N$2863,'Đơn đặt'!E240))</f>
        <v>2300</v>
      </c>
      <c r="N240" s="72">
        <f t="shared" si="4"/>
        <v>0</v>
      </c>
      <c r="O240" s="74"/>
      <c r="P240" s="74" t="s">
        <v>80</v>
      </c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hidden="1" customHeight="1">
      <c r="A241" s="51" t="s">
        <v>186</v>
      </c>
      <c r="B241" s="53">
        <v>46167.0</v>
      </c>
      <c r="C241" s="57" t="str">
        <f t="shared" si="2"/>
        <v>05-09-TS68-2026/TS-AVP/ĐĐHHH-CT00075</v>
      </c>
      <c r="D241" s="51" t="s">
        <v>737</v>
      </c>
      <c r="E241" s="37" t="s">
        <v>738</v>
      </c>
      <c r="F241" s="74" t="s">
        <v>244</v>
      </c>
      <c r="G241" s="37" t="s">
        <v>245</v>
      </c>
      <c r="H241" s="63">
        <v>3700.0</v>
      </c>
      <c r="I241" s="63"/>
      <c r="J241" s="63">
        <f>SUMIFS('SỔ CHI TIẾT BÁN HÀNG'!$G$5:$G$2062,'SỔ CHI TIẾT BÁN HÀNG'!$C$5:$C$2062,'Đơn đặt'!F241,'SỔ CHI TIẾT BÁN HÀNG'!$L$5:$L$2062,'Đơn đặt'!C241)</f>
        <v>1702</v>
      </c>
      <c r="K241" s="63">
        <f t="shared" si="3"/>
        <v>1998</v>
      </c>
      <c r="L241" s="63"/>
      <c r="M241" s="72">
        <f>IF(E241="Hàng SX",0,SUMIFS('SỔ CHI TIẾT BÁN HÀNG'!$Q$5:$Q$2863,'SỔ CHI TIẾT BÁN HÀNG'!$C$5:$C$2863,'Đơn đặt'!F241,'SỔ CHI TIẾT BÁN HÀNG'!$N$5:$N$2863,'Đơn đặt'!E241))</f>
        <v>3700</v>
      </c>
      <c r="N241" s="72">
        <f t="shared" si="4"/>
        <v>0</v>
      </c>
      <c r="O241" s="74"/>
      <c r="P241" s="74" t="s">
        <v>80</v>
      </c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hidden="1" customHeight="1">
      <c r="A242" s="51" t="s">
        <v>186</v>
      </c>
      <c r="B242" s="53">
        <v>46167.0</v>
      </c>
      <c r="C242" s="57" t="str">
        <f t="shared" si="2"/>
        <v>05-09-TS68-2026/TS-AVP/ĐĐHHH-CT00073</v>
      </c>
      <c r="D242" s="51" t="s">
        <v>737</v>
      </c>
      <c r="E242" s="37" t="s">
        <v>738</v>
      </c>
      <c r="F242" s="74" t="s">
        <v>402</v>
      </c>
      <c r="G242" s="37" t="s">
        <v>403</v>
      </c>
      <c r="H242" s="63">
        <v>1000.0</v>
      </c>
      <c r="I242" s="63"/>
      <c r="J242" s="63">
        <f>SUMIFS('SỔ CHI TIẾT BÁN HÀNG'!$G$5:$G$2062,'SỔ CHI TIẾT BÁN HÀNG'!$C$5:$C$2062,'Đơn đặt'!F242,'SỔ CHI TIẾT BÁN HÀNG'!$L$5:$L$2062,'Đơn đặt'!C242)</f>
        <v>300</v>
      </c>
      <c r="K242" s="63">
        <f t="shared" si="3"/>
        <v>700</v>
      </c>
      <c r="L242" s="63"/>
      <c r="M242" s="72">
        <f>IF(E242="Hàng SX",0,SUMIFS('SỔ CHI TIẾT BÁN HÀNG'!$Q$5:$Q$2863,'SỔ CHI TIẾT BÁN HÀNG'!$C$5:$C$2863,'Đơn đặt'!F242,'SỔ CHI TIẾT BÁN HÀNG'!$N$5:$N$2863,'Đơn đặt'!E242))</f>
        <v>970</v>
      </c>
      <c r="N242" s="72">
        <f t="shared" si="4"/>
        <v>30</v>
      </c>
      <c r="O242" s="74"/>
      <c r="P242" s="74" t="s">
        <v>80</v>
      </c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hidden="1" customHeight="1">
      <c r="A243" s="51" t="s">
        <v>186</v>
      </c>
      <c r="B243" s="53">
        <v>46167.0</v>
      </c>
      <c r="C243" s="57" t="str">
        <f t="shared" si="2"/>
        <v>05-09-TS68-2026/TS-AVP/ĐĐHHH-CT00077</v>
      </c>
      <c r="D243" s="51" t="s">
        <v>737</v>
      </c>
      <c r="E243" s="37" t="s">
        <v>738</v>
      </c>
      <c r="F243" s="59" t="s">
        <v>329</v>
      </c>
      <c r="G243" s="37" t="s">
        <v>330</v>
      </c>
      <c r="H243" s="63">
        <v>4000.0</v>
      </c>
      <c r="I243" s="63"/>
      <c r="J243" s="63">
        <f>SUMIFS('SỔ CHI TIẾT BÁN HÀNG'!$G$5:$G$2062,'SỔ CHI TIẾT BÁN HÀNG'!$C$5:$C$2062,'Đơn đặt'!F243,'SỔ CHI TIẾT BÁN HÀNG'!$L$5:$L$2062,'Đơn đặt'!C243)</f>
        <v>0</v>
      </c>
      <c r="K243" s="63">
        <f t="shared" si="3"/>
        <v>4000</v>
      </c>
      <c r="L243" s="63"/>
      <c r="M243" s="72">
        <f>IF(E243="Hàng SX",0,SUMIFS('SỔ CHI TIẾT BÁN HÀNG'!$Q$5:$Q$2863,'SỔ CHI TIẾT BÁN HÀNG'!$C$5:$C$2863,'Đơn đặt'!F243,'SỔ CHI TIẾT BÁN HÀNG'!$N$5:$N$2863,'Đơn đặt'!E243))</f>
        <v>4000</v>
      </c>
      <c r="N243" s="72">
        <f t="shared" si="4"/>
        <v>0</v>
      </c>
      <c r="O243" s="74"/>
      <c r="P243" s="74" t="s">
        <v>80</v>
      </c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hidden="1" customHeight="1">
      <c r="A244" s="51" t="s">
        <v>186</v>
      </c>
      <c r="B244" s="53">
        <v>46167.0</v>
      </c>
      <c r="C244" s="57" t="str">
        <f t="shared" si="2"/>
        <v>05-09-TS68-2026/TS-AVP/ĐĐHHH-CT00081</v>
      </c>
      <c r="D244" s="51" t="s">
        <v>737</v>
      </c>
      <c r="E244" s="37" t="s">
        <v>738</v>
      </c>
      <c r="F244" s="74" t="s">
        <v>17</v>
      </c>
      <c r="G244" s="37" t="s">
        <v>16</v>
      </c>
      <c r="H244" s="63">
        <v>1100.0</v>
      </c>
      <c r="I244" s="63"/>
      <c r="J244" s="63">
        <f>SUMIFS('SỔ CHI TIẾT BÁN HÀNG'!$G$5:$G$2062,'SỔ CHI TIẾT BÁN HÀNG'!$C$5:$C$2062,'Đơn đặt'!F244,'SỔ CHI TIẾT BÁN HÀNG'!$L$5:$L$2062,'Đơn đặt'!C244)</f>
        <v>1100</v>
      </c>
      <c r="K244" s="63">
        <f t="shared" si="3"/>
        <v>0</v>
      </c>
      <c r="L244" s="63"/>
      <c r="M244" s="72">
        <f>IF(E244="Hàng SX",0,SUMIFS('SỔ CHI TIẾT BÁN HÀNG'!$Q$5:$Q$2863,'SỔ CHI TIẾT BÁN HÀNG'!$C$5:$C$2863,'Đơn đặt'!F244,'SỔ CHI TIẾT BÁN HÀNG'!$N$5:$N$2863,'Đơn đặt'!E244))</f>
        <v>1100</v>
      </c>
      <c r="N244" s="72">
        <f t="shared" si="4"/>
        <v>0</v>
      </c>
      <c r="O244" s="74"/>
      <c r="P244" s="74" t="s">
        <v>80</v>
      </c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hidden="1" customHeight="1">
      <c r="A245" s="51" t="s">
        <v>186</v>
      </c>
      <c r="B245" s="53">
        <v>46167.0</v>
      </c>
      <c r="C245" s="57" t="str">
        <f t="shared" si="2"/>
        <v>05-09-TS68-2026/TS-AVP/ĐĐHHH-CT00011</v>
      </c>
      <c r="D245" s="51" t="s">
        <v>737</v>
      </c>
      <c r="E245" s="37" t="s">
        <v>738</v>
      </c>
      <c r="F245" s="74" t="s">
        <v>387</v>
      </c>
      <c r="G245" s="37" t="s">
        <v>388</v>
      </c>
      <c r="H245" s="63">
        <v>153.0</v>
      </c>
      <c r="I245" s="63"/>
      <c r="J245" s="63">
        <f>SUMIFS('SỔ CHI TIẾT BÁN HÀNG'!$G$5:$G$2062,'SỔ CHI TIẾT BÁN HÀNG'!$C$5:$C$2062,'Đơn đặt'!F245,'SỔ CHI TIẾT BÁN HÀNG'!$L$5:$L$2062,'Đơn đặt'!C245)</f>
        <v>0</v>
      </c>
      <c r="K245" s="63">
        <f t="shared" si="3"/>
        <v>153</v>
      </c>
      <c r="L245" s="63"/>
      <c r="M245" s="72">
        <f>IF(E245="Hàng SX",0,SUMIFS('SỔ CHI TIẾT BÁN HÀNG'!$Q$5:$Q$2863,'SỔ CHI TIẾT BÁN HÀNG'!$C$5:$C$2863,'Đơn đặt'!F245,'SỔ CHI TIẾT BÁN HÀNG'!$N$5:$N$2863,'Đơn đặt'!E245))</f>
        <v>150</v>
      </c>
      <c r="N245" s="72">
        <f t="shared" si="4"/>
        <v>3</v>
      </c>
      <c r="O245" s="74"/>
      <c r="P245" s="74" t="s">
        <v>80</v>
      </c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hidden="1" customHeight="1">
      <c r="A246" s="51" t="s">
        <v>186</v>
      </c>
      <c r="B246" s="53">
        <v>46167.0</v>
      </c>
      <c r="C246" s="57" t="str">
        <f t="shared" si="2"/>
        <v>05-09-TS68-2026/TS-AVP/ĐĐHHH-CT00003</v>
      </c>
      <c r="D246" s="51" t="s">
        <v>737</v>
      </c>
      <c r="E246" s="37" t="s">
        <v>738</v>
      </c>
      <c r="F246" s="74" t="s">
        <v>428</v>
      </c>
      <c r="G246" s="37" t="s">
        <v>429</v>
      </c>
      <c r="H246" s="63">
        <v>127.0</v>
      </c>
      <c r="I246" s="63"/>
      <c r="J246" s="63">
        <f>SUMIFS('SỔ CHI TIẾT BÁN HÀNG'!$G$5:$G$2062,'SỔ CHI TIẾT BÁN HÀNG'!$C$5:$C$2062,'Đơn đặt'!F246,'SỔ CHI TIẾT BÁN HÀNG'!$L$5:$L$2062,'Đơn đặt'!C246)</f>
        <v>127</v>
      </c>
      <c r="K246" s="63">
        <f t="shared" si="3"/>
        <v>0</v>
      </c>
      <c r="L246" s="63"/>
      <c r="M246" s="72">
        <f>IF(E246="Hàng SX",0,SUMIFS('SỔ CHI TIẾT BÁN HÀNG'!$Q$5:$Q$2863,'SỔ CHI TIẾT BÁN HÀNG'!$C$5:$C$2863,'Đơn đặt'!F246,'SỔ CHI TIẾT BÁN HÀNG'!$N$5:$N$2863,'Đơn đặt'!E246))</f>
        <v>127</v>
      </c>
      <c r="N246" s="72">
        <f t="shared" si="4"/>
        <v>0</v>
      </c>
      <c r="O246" s="74"/>
      <c r="P246" s="74" t="s">
        <v>80</v>
      </c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hidden="1" customHeight="1">
      <c r="A247" s="51" t="s">
        <v>186</v>
      </c>
      <c r="B247" s="53">
        <v>46167.0</v>
      </c>
      <c r="C247" s="57" t="str">
        <f t="shared" si="2"/>
        <v>05-09-TS68-2026/TS-AVP/ĐĐHHH-CT00013</v>
      </c>
      <c r="D247" s="51" t="s">
        <v>737</v>
      </c>
      <c r="E247" s="37" t="s">
        <v>738</v>
      </c>
      <c r="F247" s="74" t="s">
        <v>425</v>
      </c>
      <c r="G247" s="37" t="s">
        <v>427</v>
      </c>
      <c r="H247" s="63">
        <v>52.0</v>
      </c>
      <c r="I247" s="63"/>
      <c r="J247" s="63">
        <f>SUMIFS('SỔ CHI TIẾT BÁN HÀNG'!$G$5:$G$2062,'SỔ CHI TIẾT BÁN HÀNG'!$C$5:$C$2062,'Đơn đặt'!F247,'SỔ CHI TIẾT BÁN HÀNG'!$L$5:$L$2062,'Đơn đặt'!C247)</f>
        <v>52</v>
      </c>
      <c r="K247" s="63">
        <f t="shared" si="3"/>
        <v>0</v>
      </c>
      <c r="L247" s="63"/>
      <c r="M247" s="72">
        <f>IF(E247="Hàng SX",0,SUMIFS('SỔ CHI TIẾT BÁN HÀNG'!$Q$5:$Q$2863,'SỔ CHI TIẾT BÁN HÀNG'!$C$5:$C$2863,'Đơn đặt'!F247,'SỔ CHI TIẾT BÁN HÀNG'!$N$5:$N$2863,'Đơn đặt'!E247))</f>
        <v>52</v>
      </c>
      <c r="N247" s="72">
        <f t="shared" si="4"/>
        <v>0</v>
      </c>
      <c r="O247" s="74"/>
      <c r="P247" s="74" t="s">
        <v>80</v>
      </c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hidden="1" customHeight="1">
      <c r="A248" s="51" t="s">
        <v>186</v>
      </c>
      <c r="B248" s="53">
        <v>46167.0</v>
      </c>
      <c r="C248" s="57" t="str">
        <f t="shared" si="2"/>
        <v>05-09-TS68-2026/TS-AVP/ĐĐHHH-CT00055</v>
      </c>
      <c r="D248" s="51" t="s">
        <v>737</v>
      </c>
      <c r="E248" s="37" t="s">
        <v>738</v>
      </c>
      <c r="F248" s="74" t="s">
        <v>561</v>
      </c>
      <c r="G248" s="37" t="s">
        <v>562</v>
      </c>
      <c r="H248" s="63">
        <v>45.0</v>
      </c>
      <c r="I248" s="63"/>
      <c r="J248" s="63">
        <f>SUMIFS('SỔ CHI TIẾT BÁN HÀNG'!$G$5:$G$2062,'SỔ CHI TIẾT BÁN HÀNG'!$C$5:$C$2062,'Đơn đặt'!F248,'SỔ CHI TIẾT BÁN HÀNG'!$L$5:$L$2062,'Đơn đặt'!C248)</f>
        <v>45</v>
      </c>
      <c r="K248" s="63">
        <f t="shared" si="3"/>
        <v>0</v>
      </c>
      <c r="L248" s="63"/>
      <c r="M248" s="72">
        <f>IF(E248="Hàng SX",0,SUMIFS('SỔ CHI TIẾT BÁN HÀNG'!$Q$5:$Q$2863,'SỔ CHI TIẾT BÁN HÀNG'!$C$5:$C$2863,'Đơn đặt'!F248,'SỔ CHI TIẾT BÁN HÀNG'!$N$5:$N$2863,'Đơn đặt'!E248))</f>
        <v>45</v>
      </c>
      <c r="N248" s="72">
        <f t="shared" si="4"/>
        <v>0</v>
      </c>
      <c r="O248" s="74"/>
      <c r="P248" s="74" t="s">
        <v>80</v>
      </c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hidden="1" customHeight="1">
      <c r="A249" s="51" t="s">
        <v>186</v>
      </c>
      <c r="B249" s="53">
        <v>46168.0</v>
      </c>
      <c r="C249" s="57" t="str">
        <f t="shared" si="2"/>
        <v>05-10-TS69-2026/TS-AVP/ĐĐHHH-CT00095</v>
      </c>
      <c r="D249" s="51" t="s">
        <v>765</v>
      </c>
      <c r="E249" s="37" t="s">
        <v>766</v>
      </c>
      <c r="F249" s="59" t="s">
        <v>196</v>
      </c>
      <c r="G249" s="37" t="s">
        <v>260</v>
      </c>
      <c r="H249" s="63">
        <v>2200.0</v>
      </c>
      <c r="I249" s="63"/>
      <c r="J249" s="63">
        <f>SUMIFS('SỔ CHI TIẾT BÁN HÀNG'!$G$5:$G$2062,'SỔ CHI TIẾT BÁN HÀNG'!$C$5:$C$2062,'Đơn đặt'!F249,'SỔ CHI TIẾT BÁN HÀNG'!$L$5:$L$2062,'Đơn đặt'!C249)</f>
        <v>2200</v>
      </c>
      <c r="K249" s="63">
        <f t="shared" si="3"/>
        <v>0</v>
      </c>
      <c r="L249" s="63"/>
      <c r="M249" s="72">
        <f>IF(E249="Hàng SX",0,SUMIFS('SỔ CHI TIẾT BÁN HÀNG'!$Q$5:$Q$2863,'SỔ CHI TIẾT BÁN HÀNG'!$C$5:$C$2863,'Đơn đặt'!F249,'SỔ CHI TIẾT BÁN HÀNG'!$N$5:$N$2863,'Đơn đặt'!E249))</f>
        <v>2200</v>
      </c>
      <c r="N249" s="72">
        <f t="shared" si="4"/>
        <v>0</v>
      </c>
      <c r="O249" s="74"/>
      <c r="P249" s="74" t="s">
        <v>80</v>
      </c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hidden="1" customHeight="1">
      <c r="A250" s="51" t="s">
        <v>186</v>
      </c>
      <c r="B250" s="53">
        <v>46167.0</v>
      </c>
      <c r="C250" s="57" t="str">
        <f t="shared" si="2"/>
        <v>05-09-TS70-2026/TS-AVP/ĐĐHHH-CT00007</v>
      </c>
      <c r="D250" s="51" t="s">
        <v>737</v>
      </c>
      <c r="E250" s="37" t="s">
        <v>770</v>
      </c>
      <c r="F250" s="74" t="s">
        <v>48</v>
      </c>
      <c r="G250" s="37" t="s">
        <v>47</v>
      </c>
      <c r="H250" s="63">
        <v>90200.0</v>
      </c>
      <c r="I250" s="63"/>
      <c r="J250" s="63">
        <f>SUMIFS('SỔ CHI TIẾT BÁN HÀNG'!$G$5:$G$2062,'SỔ CHI TIẾT BÁN HÀNG'!$C$5:$C$2062,'Đơn đặt'!F250,'SỔ CHI TIẾT BÁN HÀNG'!$L$5:$L$2062,'Đơn đặt'!C250)</f>
        <v>0</v>
      </c>
      <c r="K250" s="63">
        <f t="shared" si="3"/>
        <v>90200</v>
      </c>
      <c r="L250" s="63"/>
      <c r="M250" s="72">
        <f>IF(E250="Hàng SX",0,SUMIFS('SỔ CHI TIẾT BÁN HÀNG'!$Q$5:$Q$2863,'SỔ CHI TIẾT BÁN HÀNG'!$C$5:$C$2863,'Đơn đặt'!F250,'SỔ CHI TIẾT BÁN HÀNG'!$N$5:$N$2863,'Đơn đặt'!E250))</f>
        <v>0</v>
      </c>
      <c r="N250" s="72">
        <f t="shared" si="4"/>
        <v>90200</v>
      </c>
      <c r="O250" s="74"/>
      <c r="P250" s="74" t="s">
        <v>80</v>
      </c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hidden="1" customHeight="1">
      <c r="A251" s="51" t="s">
        <v>186</v>
      </c>
      <c r="B251" s="53">
        <v>46167.0</v>
      </c>
      <c r="C251" s="57" t="str">
        <f t="shared" si="2"/>
        <v>05-09-TS70-2026/TS-AVP/ĐĐHHH-CT00008</v>
      </c>
      <c r="D251" s="51" t="s">
        <v>737</v>
      </c>
      <c r="E251" s="37" t="s">
        <v>770</v>
      </c>
      <c r="F251" s="74" t="s">
        <v>50</v>
      </c>
      <c r="G251" s="37" t="s">
        <v>49</v>
      </c>
      <c r="H251" s="63">
        <v>23000.0</v>
      </c>
      <c r="I251" s="63"/>
      <c r="J251" s="63">
        <f>SUMIFS('SỔ CHI TIẾT BÁN HÀNG'!$G$5:$G$2062,'SỔ CHI TIẾT BÁN HÀNG'!$C$5:$C$2062,'Đơn đặt'!F251,'SỔ CHI TIẾT BÁN HÀNG'!$L$5:$L$2062,'Đơn đặt'!C251)</f>
        <v>2500</v>
      </c>
      <c r="K251" s="63">
        <f t="shared" si="3"/>
        <v>20500</v>
      </c>
      <c r="L251" s="63"/>
      <c r="M251" s="72">
        <f>IF(E251="Hàng SX",0,SUMIFS('SỔ CHI TIẾT BÁN HÀNG'!$Q$5:$Q$2863,'SỔ CHI TIẾT BÁN HÀNG'!$C$5:$C$2863,'Đơn đặt'!F251,'SỔ CHI TIẾT BÁN HÀNG'!$N$5:$N$2863,'Đơn đặt'!E251))</f>
        <v>2500</v>
      </c>
      <c r="N251" s="72">
        <f t="shared" si="4"/>
        <v>20500</v>
      </c>
      <c r="O251" s="74"/>
      <c r="P251" s="74" t="s">
        <v>80</v>
      </c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hidden="1" customHeight="1">
      <c r="A252" s="51" t="s">
        <v>778</v>
      </c>
      <c r="B252" s="53">
        <v>46030.0</v>
      </c>
      <c r="C252" s="57" t="str">
        <f t="shared" si="2"/>
        <v>13-12/2025Hàng SXTP-LG00003-BT</v>
      </c>
      <c r="D252" s="101" t="s">
        <v>779</v>
      </c>
      <c r="E252" s="37" t="s">
        <v>98</v>
      </c>
      <c r="F252" s="61" t="s">
        <v>92</v>
      </c>
      <c r="G252" s="61" t="s">
        <v>781</v>
      </c>
      <c r="H252" s="63">
        <v>260.0</v>
      </c>
      <c r="I252" s="63"/>
      <c r="J252" s="63">
        <f>SUMIFS('SỔ CHI TIẾT BÁN HÀNG'!$G$5:$G$2062,'SỔ CHI TIẾT BÁN HÀNG'!$C$5:$C$2062,'Đơn đặt'!F252,'SỔ CHI TIẾT BÁN HÀNG'!$L$5:$L$2062,'Đơn đặt'!C252)</f>
        <v>884</v>
      </c>
      <c r="K252" s="63">
        <f t="shared" si="3"/>
        <v>-624</v>
      </c>
      <c r="L252" s="63"/>
      <c r="M252" s="72"/>
      <c r="N252" s="72">
        <f t="shared" si="4"/>
        <v>0</v>
      </c>
      <c r="O252" s="74"/>
      <c r="P252" s="74" t="s">
        <v>80</v>
      </c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hidden="1" customHeight="1">
      <c r="A253" s="51" t="s">
        <v>778</v>
      </c>
      <c r="B253" s="53">
        <v>46031.0</v>
      </c>
      <c r="C253" s="57" t="str">
        <f t="shared" si="2"/>
        <v>02-01/2026Hàng SXTP-LG00003-BT</v>
      </c>
      <c r="D253" s="85" t="s">
        <v>783</v>
      </c>
      <c r="E253" s="37" t="s">
        <v>98</v>
      </c>
      <c r="F253" s="61" t="s">
        <v>92</v>
      </c>
      <c r="G253" s="61" t="s">
        <v>781</v>
      </c>
      <c r="H253" s="63">
        <v>260.0</v>
      </c>
      <c r="I253" s="63"/>
      <c r="J253" s="63">
        <f>SUMIFS('SỔ CHI TIẾT BÁN HÀNG'!$G$5:$G$2062,'SỔ CHI TIẾT BÁN HÀNG'!$C$5:$C$2062,'Đơn đặt'!F253,'SỔ CHI TIẾT BÁN HÀNG'!$L$5:$L$2062,'Đơn đặt'!C253)</f>
        <v>260</v>
      </c>
      <c r="K253" s="63">
        <f t="shared" si="3"/>
        <v>0</v>
      </c>
      <c r="L253" s="63"/>
      <c r="M253" s="72"/>
      <c r="N253" s="72">
        <f t="shared" si="4"/>
        <v>0</v>
      </c>
      <c r="O253" s="74"/>
      <c r="P253" s="74" t="s">
        <v>80</v>
      </c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hidden="1" customHeight="1">
      <c r="A254" s="51" t="s">
        <v>778</v>
      </c>
      <c r="B254" s="53">
        <v>46056.0</v>
      </c>
      <c r="C254" s="57" t="str">
        <f t="shared" si="2"/>
        <v>09-01/2026Hàng SXTP-LG00003-BT</v>
      </c>
      <c r="D254" s="85" t="s">
        <v>786</v>
      </c>
      <c r="E254" s="37" t="s">
        <v>98</v>
      </c>
      <c r="F254" s="61" t="s">
        <v>92</v>
      </c>
      <c r="G254" s="61" t="s">
        <v>781</v>
      </c>
      <c r="H254" s="63">
        <v>520.0</v>
      </c>
      <c r="I254" s="63"/>
      <c r="J254" s="63">
        <f>SUMIFS('SỔ CHI TIẾT BÁN HÀNG'!$G$5:$G$2062,'SỔ CHI TIẾT BÁN HÀNG'!$C$5:$C$2062,'Đơn đặt'!F254,'SỔ CHI TIẾT BÁN HÀNG'!$L$5:$L$2062,'Đơn đặt'!C254)</f>
        <v>520</v>
      </c>
      <c r="K254" s="63">
        <f t="shared" si="3"/>
        <v>0</v>
      </c>
      <c r="L254" s="63"/>
      <c r="M254" s="72"/>
      <c r="N254" s="72">
        <f t="shared" si="4"/>
        <v>0</v>
      </c>
      <c r="O254" s="74"/>
      <c r="P254" s="74" t="s">
        <v>80</v>
      </c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hidden="1" customHeight="1">
      <c r="A255" s="51" t="s">
        <v>778</v>
      </c>
      <c r="B255" s="53">
        <v>46125.0</v>
      </c>
      <c r="C255" s="57" t="str">
        <f t="shared" si="2"/>
        <v>02-04/2026Hàng SXTP-LG00003-BT</v>
      </c>
      <c r="D255" s="101" t="s">
        <v>788</v>
      </c>
      <c r="E255" s="37" t="s">
        <v>98</v>
      </c>
      <c r="F255" s="61" t="s">
        <v>92</v>
      </c>
      <c r="G255" s="61" t="s">
        <v>781</v>
      </c>
      <c r="H255" s="63">
        <v>260.0</v>
      </c>
      <c r="I255" s="63"/>
      <c r="J255" s="63">
        <f>SUMIFS('SỔ CHI TIẾT BÁN HÀNG'!$G$5:$G$2062,'SỔ CHI TIẾT BÁN HÀNG'!$C$5:$C$2062,'Đơn đặt'!F255,'SỔ CHI TIẾT BÁN HÀNG'!$L$5:$L$2062,'Đơn đặt'!C255)</f>
        <v>260</v>
      </c>
      <c r="K255" s="63">
        <f t="shared" si="3"/>
        <v>0</v>
      </c>
      <c r="L255" s="63"/>
      <c r="M255" s="72"/>
      <c r="N255" s="72">
        <f t="shared" si="4"/>
        <v>0</v>
      </c>
      <c r="O255" s="74"/>
      <c r="P255" s="74" t="s">
        <v>80</v>
      </c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hidden="1" customHeight="1">
      <c r="A256" s="51" t="s">
        <v>778</v>
      </c>
      <c r="B256" s="53">
        <v>46156.0</v>
      </c>
      <c r="C256" s="57" t="str">
        <f t="shared" si="2"/>
        <v>05-05/2026Hàng SXTP-LG00003-BT</v>
      </c>
      <c r="D256" s="51" t="s">
        <v>790</v>
      </c>
      <c r="E256" s="37" t="s">
        <v>98</v>
      </c>
      <c r="F256" s="61" t="s">
        <v>92</v>
      </c>
      <c r="G256" s="61" t="s">
        <v>781</v>
      </c>
      <c r="H256" s="63">
        <v>312.0</v>
      </c>
      <c r="I256" s="63"/>
      <c r="J256" s="63">
        <f>SUMIFS('SỔ CHI TIẾT BÁN HÀNG'!$G$5:$G$2062,'SỔ CHI TIẾT BÁN HÀNG'!$C$5:$C$2062,'Đơn đặt'!F256,'SỔ CHI TIẾT BÁN HÀNG'!$L$5:$L$2062,'Đơn đặt'!C256)</f>
        <v>0</v>
      </c>
      <c r="K256" s="63">
        <f t="shared" si="3"/>
        <v>312</v>
      </c>
      <c r="L256" s="63"/>
      <c r="M256" s="72">
        <f>IF(E256="Hàng SX",0,SUMIFS('SỔ CHI TIẾT BÁN HÀNG'!$Q$5:$Q$2863,'SỔ CHI TIẾT BÁN HÀNG'!$C$5:$C$2863,'Đơn đặt'!F256,'SỔ CHI TIẾT BÁN HÀNG'!$N$5:$N$2863,'Đơn đặt'!E256))</f>
        <v>0</v>
      </c>
      <c r="N256" s="72">
        <f t="shared" si="4"/>
        <v>0</v>
      </c>
      <c r="O256" s="74"/>
      <c r="P256" s="74" t="s">
        <v>80</v>
      </c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hidden="1" customHeight="1">
      <c r="A257" s="51" t="s">
        <v>144</v>
      </c>
      <c r="B257" s="53">
        <v>46163.0</v>
      </c>
      <c r="C257" s="57" t="str">
        <f t="shared" si="2"/>
        <v>49326/THP/03HH-CT00037</v>
      </c>
      <c r="D257" s="51">
        <v>493.0</v>
      </c>
      <c r="E257" s="88" t="s">
        <v>793</v>
      </c>
      <c r="F257" s="59" t="s">
        <v>178</v>
      </c>
      <c r="G257" s="61" t="s">
        <v>179</v>
      </c>
      <c r="H257" s="63">
        <v>2000.0</v>
      </c>
      <c r="I257" s="63"/>
      <c r="J257" s="63">
        <f>SUMIFS('SỔ CHI TIẾT BÁN HÀNG'!$G$5:$G$2062,'SỔ CHI TIẾT BÁN HÀNG'!$C$5:$C$2062,'Đơn đặt'!F257,'SỔ CHI TIẾT BÁN HÀNG'!$L$5:$L$2062,'Đơn đặt'!C257)</f>
        <v>2000</v>
      </c>
      <c r="K257" s="63">
        <f t="shared" si="3"/>
        <v>0</v>
      </c>
      <c r="L257" s="72"/>
      <c r="M257" s="72">
        <f>IF(E257="Hàng SX",0,SUMIFS('SỔ CHI TIẾT BÁN HÀNG'!$Q$5:$Q$2863,'SỔ CHI TIẾT BÁN HÀNG'!$C$5:$C$2863,'Đơn đặt'!F257,'SỔ CHI TIẾT BÁN HÀNG'!$N$5:$N$2863,'Đơn đặt'!E257))</f>
        <v>2000</v>
      </c>
      <c r="N257" s="72">
        <f t="shared" si="4"/>
        <v>0</v>
      </c>
      <c r="O257" s="74"/>
      <c r="P257" s="74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33.75" hidden="1" customHeight="1">
      <c r="A258" s="51" t="s">
        <v>144</v>
      </c>
      <c r="B258" s="53">
        <v>46182.0</v>
      </c>
      <c r="C258" s="57" t="str">
        <f t="shared" si="2"/>
        <v>547Hàng SXTP-LG00002</v>
      </c>
      <c r="D258" s="51">
        <v>547.0</v>
      </c>
      <c r="E258" s="37" t="s">
        <v>98</v>
      </c>
      <c r="F258" s="59" t="s">
        <v>148</v>
      </c>
      <c r="G258" s="61" t="s">
        <v>149</v>
      </c>
      <c r="H258" s="63">
        <v>600.0</v>
      </c>
      <c r="I258" s="63"/>
      <c r="J258" s="63">
        <f>SUMIFS('SỔ CHI TIẾT BÁN HÀNG'!$G$5:$G$2062,'SỔ CHI TIẾT BÁN HÀNG'!$C$5:$C$2062,'Đơn đặt'!F258,'SỔ CHI TIẾT BÁN HÀNG'!$L$5:$L$2062,'Đơn đặt'!C258)</f>
        <v>1080</v>
      </c>
      <c r="K258" s="63">
        <f t="shared" si="3"/>
        <v>-480</v>
      </c>
      <c r="L258" s="63"/>
      <c r="M258" s="72">
        <f>IF(E258="Hàng SX",0,SUMIFS('SỔ CHI TIẾT BÁN HÀNG'!$Q$5:$Q$2863,'SỔ CHI TIẾT BÁN HÀNG'!$C$5:$C$2863,'Đơn đặt'!F258,'SỔ CHI TIẾT BÁN HÀNG'!$N$5:$N$2863,'Đơn đặt'!E258))</f>
        <v>0</v>
      </c>
      <c r="N258" s="72">
        <f t="shared" si="4"/>
        <v>0</v>
      </c>
      <c r="O258" s="74"/>
      <c r="P258" s="74" t="s">
        <v>80</v>
      </c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33.75" hidden="1" customHeight="1">
      <c r="A259" s="51" t="s">
        <v>144</v>
      </c>
      <c r="B259" s="53">
        <v>46182.0</v>
      </c>
      <c r="C259" s="57" t="str">
        <f t="shared" si="2"/>
        <v>547Hàng SXTP-LG00002</v>
      </c>
      <c r="D259" s="51">
        <v>547.0</v>
      </c>
      <c r="E259" s="37" t="s">
        <v>98</v>
      </c>
      <c r="F259" s="59" t="s">
        <v>148</v>
      </c>
      <c r="G259" s="61" t="s">
        <v>149</v>
      </c>
      <c r="H259" s="63">
        <v>480.0</v>
      </c>
      <c r="I259" s="63"/>
      <c r="J259" s="63">
        <f>SUMIFS('SỔ CHI TIẾT BÁN HÀNG'!$G$5:$G$2062,'SỔ CHI TIẾT BÁN HÀNG'!$C$5:$C$2062,'Đơn đặt'!F259,'SỔ CHI TIẾT BÁN HÀNG'!$L$5:$L$2062,'Đơn đặt'!C259)</f>
        <v>1080</v>
      </c>
      <c r="K259" s="63">
        <f t="shared" si="3"/>
        <v>-600</v>
      </c>
      <c r="L259" s="63"/>
      <c r="M259" s="72">
        <f>IF(E259="Hàng SX",0,SUMIFS('SỔ CHI TIẾT BÁN HÀNG'!$Q$5:$Q$2863,'SỔ CHI TIẾT BÁN HÀNG'!$C$5:$C$2863,'Đơn đặt'!F259,'SỔ CHI TIẾT BÁN HÀNG'!$N$5:$N$2863,'Đơn đặt'!E259))</f>
        <v>0</v>
      </c>
      <c r="N259" s="72">
        <f t="shared" si="4"/>
        <v>0</v>
      </c>
      <c r="O259" s="74"/>
      <c r="P259" s="74" t="s">
        <v>80</v>
      </c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33.75" hidden="1" customHeight="1">
      <c r="A260" s="51" t="s">
        <v>144</v>
      </c>
      <c r="B260" s="53">
        <v>46182.0</v>
      </c>
      <c r="C260" s="57" t="str">
        <f t="shared" si="2"/>
        <v>547Hàng SXTP-LG00002</v>
      </c>
      <c r="D260" s="51">
        <v>547.0</v>
      </c>
      <c r="E260" s="37" t="s">
        <v>98</v>
      </c>
      <c r="F260" s="59" t="s">
        <v>148</v>
      </c>
      <c r="G260" s="61" t="s">
        <v>149</v>
      </c>
      <c r="H260" s="63">
        <v>425.0</v>
      </c>
      <c r="I260" s="63"/>
      <c r="J260" s="63">
        <f>SUMIFS('SỔ CHI TIẾT BÁN HÀNG'!$G$5:$G$2062,'SỔ CHI TIẾT BÁN HÀNG'!$C$5:$C$2062,'Đơn đặt'!F260,'SỔ CHI TIẾT BÁN HÀNG'!$L$5:$L$2062,'Đơn đặt'!C260)</f>
        <v>1080</v>
      </c>
      <c r="K260" s="63">
        <f t="shared" si="3"/>
        <v>-655</v>
      </c>
      <c r="L260" s="63"/>
      <c r="M260" s="72">
        <f>IF(E260="Hàng SX",0,SUMIFS('SỔ CHI TIẾT BÁN HÀNG'!$Q$5:$Q$2863,'SỔ CHI TIẾT BÁN HÀNG'!$C$5:$C$2863,'Đơn đặt'!F260,'SỔ CHI TIẾT BÁN HÀNG'!$N$5:$N$2863,'Đơn đặt'!E260))</f>
        <v>0</v>
      </c>
      <c r="N260" s="72">
        <f t="shared" si="4"/>
        <v>0</v>
      </c>
      <c r="O260" s="74"/>
      <c r="P260" s="74" t="s">
        <v>80</v>
      </c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hidden="1" customHeight="1">
      <c r="A261" s="51" t="s">
        <v>186</v>
      </c>
      <c r="B261" s="53">
        <v>46175.0</v>
      </c>
      <c r="C261" s="57" t="str">
        <f t="shared" si="2"/>
        <v>06-18/TS 71-2026/TS-AVP/ĐĐHTP-PE00006</v>
      </c>
      <c r="D261" s="51" t="s">
        <v>804</v>
      </c>
      <c r="E261" s="37" t="s">
        <v>805</v>
      </c>
      <c r="F261" s="74" t="s">
        <v>1</v>
      </c>
      <c r="G261" s="74" t="s">
        <v>0</v>
      </c>
      <c r="H261" s="63">
        <v>2000.0</v>
      </c>
      <c r="I261" s="63"/>
      <c r="J261" s="63">
        <f>SUMIFS('SỔ CHI TIẾT BÁN HÀNG'!$G$5:$G$2062,'SỔ CHI TIẾT BÁN HÀNG'!$C$5:$C$2062,'Đơn đặt'!F261,'SỔ CHI TIẾT BÁN HÀNG'!$L$5:$L$2062,'Đơn đặt'!C261)</f>
        <v>0</v>
      </c>
      <c r="K261" s="63">
        <f t="shared" si="3"/>
        <v>2000</v>
      </c>
      <c r="L261" s="63"/>
      <c r="M261" s="72">
        <f>IF(E261="Hàng SX",0,SUMIFS('SỔ CHI TIẾT BÁN HÀNG'!$Q$5:$Q$2863,'SỔ CHI TIẾT BÁN HÀNG'!$C$5:$C$2863,'Đơn đặt'!F261,'SỔ CHI TIẾT BÁN HÀNG'!$N$5:$N$2863,'Đơn đặt'!E261))</f>
        <v>0</v>
      </c>
      <c r="N261" s="72">
        <f t="shared" si="4"/>
        <v>2000</v>
      </c>
      <c r="O261" s="74"/>
      <c r="P261" s="74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hidden="1" customHeight="1">
      <c r="A262" s="51" t="s">
        <v>186</v>
      </c>
      <c r="B262" s="53">
        <v>46175.0</v>
      </c>
      <c r="C262" s="57" t="str">
        <f t="shared" si="2"/>
        <v>06-18/TS 71-2026/TS-AVP/ĐĐHTP-PE00001</v>
      </c>
      <c r="D262" s="51" t="s">
        <v>804</v>
      </c>
      <c r="E262" s="37" t="s">
        <v>805</v>
      </c>
      <c r="F262" s="74" t="s">
        <v>3</v>
      </c>
      <c r="G262" s="74" t="s">
        <v>2</v>
      </c>
      <c r="H262" s="63">
        <v>17000.0</v>
      </c>
      <c r="I262" s="63"/>
      <c r="J262" s="63">
        <f>SUMIFS('SỔ CHI TIẾT BÁN HÀNG'!$G$5:$G$2062,'SỔ CHI TIẾT BÁN HÀNG'!$C$5:$C$2062,'Đơn đặt'!F262,'SỔ CHI TIẾT BÁN HÀNG'!$L$5:$L$2062,'Đơn đặt'!C262)</f>
        <v>0</v>
      </c>
      <c r="K262" s="63">
        <f t="shared" si="3"/>
        <v>17000</v>
      </c>
      <c r="L262" s="63"/>
      <c r="M262" s="72">
        <f>IF(E262="Hàng SX",0,SUMIFS('SỔ CHI TIẾT BÁN HÀNG'!$Q$5:$Q$2863,'SỔ CHI TIẾT BÁN HÀNG'!$C$5:$C$2863,'Đơn đặt'!F262,'SỔ CHI TIẾT BÁN HÀNG'!$N$5:$N$2863,'Đơn đặt'!E262))</f>
        <v>0</v>
      </c>
      <c r="N262" s="72">
        <f t="shared" si="4"/>
        <v>17000</v>
      </c>
      <c r="O262" s="74"/>
      <c r="P262" s="74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hidden="1" customHeight="1">
      <c r="A263" s="51" t="s">
        <v>186</v>
      </c>
      <c r="B263" s="53">
        <v>46175.0</v>
      </c>
      <c r="C263" s="57" t="str">
        <f t="shared" si="2"/>
        <v>06-18/TS 72-2026/TS-AVP/ĐĐHTP-PE00001</v>
      </c>
      <c r="D263" s="51" t="s">
        <v>804</v>
      </c>
      <c r="E263" s="37" t="s">
        <v>808</v>
      </c>
      <c r="F263" s="74" t="s">
        <v>3</v>
      </c>
      <c r="G263" s="74" t="s">
        <v>4</v>
      </c>
      <c r="H263" s="63">
        <v>4000.0</v>
      </c>
      <c r="I263" s="63"/>
      <c r="J263" s="63">
        <f>SUMIFS('SỔ CHI TIẾT BÁN HÀNG'!$G$5:$G$2062,'SỔ CHI TIẾT BÁN HÀNG'!$C$5:$C$2062,'Đơn đặt'!F263,'SỔ CHI TIẾT BÁN HÀNG'!$L$5:$L$2062,'Đơn đặt'!C263)</f>
        <v>17000</v>
      </c>
      <c r="K263" s="63">
        <f t="shared" si="3"/>
        <v>-13000</v>
      </c>
      <c r="L263" s="63"/>
      <c r="M263" s="72">
        <f>IF(E263="Hàng SX",0,SUMIFS('SỔ CHI TIẾT BÁN HÀNG'!$Q$5:$Q$2863,'SỔ CHI TIẾT BÁN HÀNG'!$C$5:$C$2863,'Đơn đặt'!F263,'SỔ CHI TIẾT BÁN HÀNG'!$N$5:$N$2863,'Đơn đặt'!E263))</f>
        <v>17000</v>
      </c>
      <c r="N263" s="72">
        <f t="shared" si="4"/>
        <v>-13000</v>
      </c>
      <c r="O263" s="74"/>
      <c r="P263" s="74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51" t="s">
        <v>186</v>
      </c>
      <c r="B264" s="53">
        <v>46197.0</v>
      </c>
      <c r="C264" s="57" t="str">
        <f t="shared" si="2"/>
        <v>07-07/TS73-2026/TS-AVP/ĐĐHHH-NT00013</v>
      </c>
      <c r="D264" s="51" t="s">
        <v>811</v>
      </c>
      <c r="E264" s="37" t="s">
        <v>812</v>
      </c>
      <c r="F264" s="74" t="s">
        <v>6</v>
      </c>
      <c r="G264" s="74" t="s">
        <v>5</v>
      </c>
      <c r="H264" s="63">
        <v>1200000.0</v>
      </c>
      <c r="I264" s="63"/>
      <c r="J264" s="63">
        <f>SUMIFS('SỔ CHI TIẾT BÁN HÀNG'!$G$5:$G$2062,'SỔ CHI TIẾT BÁN HÀNG'!$C$5:$C$2062,'Đơn đặt'!F264,'SỔ CHI TIẾT BÁN HÀNG'!$L$5:$L$2062,'Đơn đặt'!C264)</f>
        <v>0</v>
      </c>
      <c r="K264" s="63">
        <f t="shared" si="3"/>
        <v>1200000</v>
      </c>
      <c r="L264" s="63"/>
      <c r="M264" s="72">
        <f>IF(E264="Hàng SX",0,SUMIFS('SỔ CHI TIẾT BÁN HÀNG'!$Q$5:$Q$2863,'SỔ CHI TIẾT BÁN HÀNG'!$C$5:$C$2863,'Đơn đặt'!F264,'SỔ CHI TIẾT BÁN HÀNG'!$N$5:$N$2863,'Đơn đặt'!E264))</f>
        <v>0</v>
      </c>
      <c r="N264" s="72">
        <f t="shared" si="4"/>
        <v>1200000</v>
      </c>
      <c r="O264" s="74"/>
      <c r="P264" s="74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51" t="s">
        <v>186</v>
      </c>
      <c r="B265" s="53">
        <v>46197.0</v>
      </c>
      <c r="C265" s="57" t="str">
        <f t="shared" si="2"/>
        <v>07-07/TS73-2026/TS-AVP/ĐĐHHH-NT00011</v>
      </c>
      <c r="D265" s="51" t="s">
        <v>811</v>
      </c>
      <c r="E265" s="37" t="s">
        <v>812</v>
      </c>
      <c r="F265" s="74" t="s">
        <v>9</v>
      </c>
      <c r="G265" s="74" t="s">
        <v>7</v>
      </c>
      <c r="H265" s="63">
        <v>1700000.0</v>
      </c>
      <c r="I265" s="63"/>
      <c r="J265" s="63">
        <f>SUMIFS('SỔ CHI TIẾT BÁN HÀNG'!$G$5:$G$2062,'SỔ CHI TIẾT BÁN HÀNG'!$C$5:$C$2062,'Đơn đặt'!F265,'SỔ CHI TIẾT BÁN HÀNG'!$L$5:$L$2062,'Đơn đặt'!C265)</f>
        <v>0</v>
      </c>
      <c r="K265" s="63"/>
      <c r="L265" s="63"/>
      <c r="M265" s="72">
        <f>IF(E265="Hàng SX",0,SUMIFS('SỔ CHI TIẾT BÁN HÀNG'!$Q$5:$Q$2863,'SỔ CHI TIẾT BÁN HÀNG'!$C$5:$C$2863,'Đơn đặt'!F265,'SỔ CHI TIẾT BÁN HÀNG'!$N$5:$N$2863,'Đơn đặt'!E265))</f>
        <v>0</v>
      </c>
      <c r="N265" s="72">
        <f t="shared" si="4"/>
        <v>1700000</v>
      </c>
      <c r="O265" s="74"/>
      <c r="P265" s="74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51" t="s">
        <v>186</v>
      </c>
      <c r="B266" s="53">
        <v>46197.0</v>
      </c>
      <c r="C266" s="57" t="str">
        <f t="shared" si="2"/>
        <v>07-07/TS74-2026/TS-AVP/ĐĐHHH-CT00112</v>
      </c>
      <c r="D266" s="51" t="s">
        <v>811</v>
      </c>
      <c r="E266" s="37" t="s">
        <v>816</v>
      </c>
      <c r="F266" s="74" t="s">
        <v>11</v>
      </c>
      <c r="G266" s="74" t="s">
        <v>10</v>
      </c>
      <c r="H266" s="63">
        <v>20000.0</v>
      </c>
      <c r="I266" s="63"/>
      <c r="J266" s="63">
        <f>SUMIFS('SỔ CHI TIẾT BÁN HÀNG'!$G$5:$G$2062,'SỔ CHI TIẾT BÁN HÀNG'!$C$5:$C$2062,'Đơn đặt'!F266,'SỔ CHI TIẾT BÁN HÀNG'!$L$5:$L$2062,'Đơn đặt'!C266)</f>
        <v>0</v>
      </c>
      <c r="K266" s="63"/>
      <c r="L266" s="63"/>
      <c r="M266" s="72">
        <f>IF(E266="Hàng SX",0,SUMIFS('SỔ CHI TIẾT BÁN HÀNG'!$Q$5:$Q$2863,'SỔ CHI TIẾT BÁN HÀNG'!$C$5:$C$2863,'Đơn đặt'!F266,'SỔ CHI TIẾT BÁN HÀNG'!$N$5:$N$2863,'Đơn đặt'!E266))</f>
        <v>0</v>
      </c>
      <c r="N266" s="72">
        <f t="shared" si="4"/>
        <v>20000</v>
      </c>
      <c r="O266" s="74"/>
      <c r="P266" s="74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hidden="1" customHeight="1">
      <c r="A267" s="51" t="s">
        <v>186</v>
      </c>
      <c r="B267" s="53">
        <v>46197.0</v>
      </c>
      <c r="C267" s="57" t="str">
        <f t="shared" si="2"/>
        <v>06-08/TS75-2026/TS-AVP/ĐĐHHH-CT00036</v>
      </c>
      <c r="D267" s="51" t="s">
        <v>817</v>
      </c>
      <c r="E267" s="37" t="s">
        <v>818</v>
      </c>
      <c r="F267" s="74" t="s">
        <v>14</v>
      </c>
      <c r="G267" s="74" t="s">
        <v>13</v>
      </c>
      <c r="H267" s="63">
        <v>18000.0</v>
      </c>
      <c r="I267" s="63"/>
      <c r="J267" s="63">
        <f>SUMIFS('SỔ CHI TIẾT BÁN HÀNG'!$G$5:$G$2062,'SỔ CHI TIẾT BÁN HÀNG'!$C$5:$C$2062,'Đơn đặt'!F267,'SỔ CHI TIẾT BÁN HÀNG'!$L$5:$L$2062,'Đơn đặt'!C267)</f>
        <v>0</v>
      </c>
      <c r="K267" s="63"/>
      <c r="L267" s="63"/>
      <c r="M267" s="72">
        <f>IF(E267="Hàng SX",0,SUMIFS('SỔ CHI TIẾT BÁN HÀNG'!$Q$5:$Q$2863,'SỔ CHI TIẾT BÁN HÀNG'!$C$5:$C$2863,'Đơn đặt'!F267,'SỔ CHI TIẾT BÁN HÀNG'!$N$5:$N$2863,'Đơn đặt'!E267))</f>
        <v>0</v>
      </c>
      <c r="N267" s="72">
        <f t="shared" si="4"/>
        <v>18000</v>
      </c>
      <c r="O267" s="74"/>
      <c r="P267" s="74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hidden="1" customHeight="1">
      <c r="A268" s="51" t="s">
        <v>186</v>
      </c>
      <c r="B268" s="53">
        <v>46197.0</v>
      </c>
      <c r="C268" s="57" t="str">
        <f t="shared" si="2"/>
        <v>06-08/TS75-2026/TS-AVP/ĐĐHHH-CT00081</v>
      </c>
      <c r="D268" s="51" t="s">
        <v>817</v>
      </c>
      <c r="E268" s="37" t="s">
        <v>818</v>
      </c>
      <c r="F268" s="74" t="s">
        <v>17</v>
      </c>
      <c r="G268" s="74" t="s">
        <v>16</v>
      </c>
      <c r="H268" s="63">
        <v>1300.0</v>
      </c>
      <c r="I268" s="63"/>
      <c r="J268" s="63">
        <f>SUMIFS('SỔ CHI TIẾT BÁN HÀNG'!$G$5:$G$2062,'SỔ CHI TIẾT BÁN HÀNG'!$C$5:$C$2062,'Đơn đặt'!F268,'SỔ CHI TIẾT BÁN HÀNG'!$L$5:$L$2062,'Đơn đặt'!C268)</f>
        <v>0</v>
      </c>
      <c r="K268" s="63">
        <f t="shared" ref="K268:K324" si="6">H268+I268-J268</f>
        <v>1300</v>
      </c>
      <c r="L268" s="63"/>
      <c r="M268" s="72">
        <f>IF(E268="Hàng SX",0,SUMIFS('SỔ CHI TIẾT BÁN HÀNG'!$Q$5:$Q$2863,'SỔ CHI TIẾT BÁN HÀNG'!$C$5:$C$2863,'Đơn đặt'!F268,'SỔ CHI TIẾT BÁN HÀNG'!$N$5:$N$2863,'Đơn đặt'!E268))</f>
        <v>1300</v>
      </c>
      <c r="N268" s="72">
        <f t="shared" si="4"/>
        <v>0</v>
      </c>
      <c r="O268" s="74"/>
      <c r="P268" s="74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hidden="1" customHeight="1">
      <c r="A269" s="51" t="s">
        <v>186</v>
      </c>
      <c r="B269" s="53">
        <v>46197.0</v>
      </c>
      <c r="C269" s="57" t="str">
        <f t="shared" si="2"/>
        <v>06-08/TS75-2026/TS-AVP/ĐĐHHH-CT00028</v>
      </c>
      <c r="D269" s="51" t="s">
        <v>817</v>
      </c>
      <c r="E269" s="37" t="s">
        <v>818</v>
      </c>
      <c r="F269" s="74" t="s">
        <v>21</v>
      </c>
      <c r="G269" s="74" t="s">
        <v>19</v>
      </c>
      <c r="H269" s="63">
        <v>2600.0</v>
      </c>
      <c r="I269" s="63"/>
      <c r="J269" s="63">
        <f>SUMIFS('SỔ CHI TIẾT BÁN HÀNG'!$G$5:$G$2062,'SỔ CHI TIẾT BÁN HÀNG'!$C$5:$C$2062,'Đơn đặt'!F269,'SỔ CHI TIẾT BÁN HÀNG'!$L$5:$L$2062,'Đơn đặt'!C269)</f>
        <v>0</v>
      </c>
      <c r="K269" s="63">
        <f t="shared" si="6"/>
        <v>2600</v>
      </c>
      <c r="L269" s="63"/>
      <c r="M269" s="72">
        <f>IF(E269="Hàng SX",0,SUMIFS('SỔ CHI TIẾT BÁN HÀNG'!$Q$5:$Q$2863,'SỔ CHI TIẾT BÁN HÀNG'!$C$5:$C$2863,'Đơn đặt'!F269,'SỔ CHI TIẾT BÁN HÀNG'!$N$5:$N$2863,'Đơn đặt'!E269))</f>
        <v>2420</v>
      </c>
      <c r="N269" s="72">
        <f t="shared" si="4"/>
        <v>180</v>
      </c>
      <c r="O269" s="74"/>
      <c r="P269" s="74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hidden="1" customHeight="1">
      <c r="A270" s="51" t="s">
        <v>186</v>
      </c>
      <c r="B270" s="53">
        <v>46197.0</v>
      </c>
      <c r="C270" s="57" t="str">
        <f t="shared" si="2"/>
        <v>06-08/TS75-2026/TS-AVP/ĐĐHHH-CT00038</v>
      </c>
      <c r="D270" s="51" t="s">
        <v>817</v>
      </c>
      <c r="E270" s="37" t="s">
        <v>818</v>
      </c>
      <c r="F270" s="74" t="s">
        <v>26</v>
      </c>
      <c r="G270" s="74" t="s">
        <v>25</v>
      </c>
      <c r="H270" s="63">
        <v>300.0</v>
      </c>
      <c r="I270" s="63"/>
      <c r="J270" s="63">
        <f>SUMIFS('SỔ CHI TIẾT BÁN HÀNG'!$G$5:$G$2062,'SỔ CHI TIẾT BÁN HÀNG'!$C$5:$C$2062,'Đơn đặt'!F270,'SỔ CHI TIẾT BÁN HÀNG'!$L$5:$L$2062,'Đơn đặt'!C270)</f>
        <v>0</v>
      </c>
      <c r="K270" s="63">
        <f t="shared" si="6"/>
        <v>300</v>
      </c>
      <c r="L270" s="63"/>
      <c r="M270" s="72">
        <f>IF(E270="Hàng SX",0,SUMIFS('SỔ CHI TIẾT BÁN HÀNG'!$Q$5:$Q$2863,'SỔ CHI TIẾT BÁN HÀNG'!$C$5:$C$2863,'Đơn đặt'!F270,'SỔ CHI TIẾT BÁN HÀNG'!$N$5:$N$2863,'Đơn đặt'!E270))</f>
        <v>360</v>
      </c>
      <c r="N270" s="72">
        <f t="shared" si="4"/>
        <v>-60</v>
      </c>
      <c r="O270" s="74"/>
      <c r="P270" s="74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hidden="1" customHeight="1">
      <c r="A271" s="51" t="s">
        <v>186</v>
      </c>
      <c r="B271" s="53">
        <v>46197.0</v>
      </c>
      <c r="C271" s="57" t="str">
        <f t="shared" si="2"/>
        <v>06-08/TS75-2026/TS-AVP/ĐĐHHH-CT00089</v>
      </c>
      <c r="D271" s="51" t="s">
        <v>817</v>
      </c>
      <c r="E271" s="37" t="s">
        <v>818</v>
      </c>
      <c r="F271" s="74" t="s">
        <v>29</v>
      </c>
      <c r="G271" s="74" t="s">
        <v>28</v>
      </c>
      <c r="H271" s="63">
        <v>620.0</v>
      </c>
      <c r="I271" s="63"/>
      <c r="J271" s="63">
        <f>SUMIFS('SỔ CHI TIẾT BÁN HÀNG'!$G$5:$G$2062,'SỔ CHI TIẾT BÁN HÀNG'!$C$5:$C$2062,'Đơn đặt'!F271,'SỔ CHI TIẾT BÁN HÀNG'!$L$5:$L$2062,'Đơn đặt'!C271)</f>
        <v>0</v>
      </c>
      <c r="K271" s="63">
        <f t="shared" si="6"/>
        <v>620</v>
      </c>
      <c r="L271" s="63"/>
      <c r="M271" s="72">
        <f>IF(E271="Hàng SX",0,SUMIFS('SỔ CHI TIẾT BÁN HÀNG'!$Q$5:$Q$2863,'SỔ CHI TIẾT BÁN HÀNG'!$C$5:$C$2863,'Đơn đặt'!F271,'SỔ CHI TIẾT BÁN HÀNG'!$N$5:$N$2863,'Đơn đặt'!E271))</f>
        <v>620</v>
      </c>
      <c r="N271" s="72">
        <f t="shared" si="4"/>
        <v>0</v>
      </c>
      <c r="O271" s="74"/>
      <c r="P271" s="74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hidden="1" customHeight="1">
      <c r="A272" s="51" t="s">
        <v>186</v>
      </c>
      <c r="B272" s="53">
        <v>46197.0</v>
      </c>
      <c r="C272" s="57" t="str">
        <f t="shared" si="2"/>
        <v>06-08/TS75-2026/TS-AVP/ĐĐHHH-CT00006</v>
      </c>
      <c r="D272" s="51" t="s">
        <v>817</v>
      </c>
      <c r="E272" s="37" t="s">
        <v>818</v>
      </c>
      <c r="F272" s="74" t="s">
        <v>35</v>
      </c>
      <c r="G272" s="74" t="s">
        <v>34</v>
      </c>
      <c r="H272" s="63">
        <v>2000.0</v>
      </c>
      <c r="I272" s="63"/>
      <c r="J272" s="63">
        <f>SUMIFS('SỔ CHI TIẾT BÁN HÀNG'!$G$5:$G$2062,'SỔ CHI TIẾT BÁN HÀNG'!$C$5:$C$2062,'Đơn đặt'!F272,'SỔ CHI TIẾT BÁN HÀNG'!$L$5:$L$2062,'Đơn đặt'!C272)</f>
        <v>0</v>
      </c>
      <c r="K272" s="63">
        <f t="shared" si="6"/>
        <v>2000</v>
      </c>
      <c r="L272" s="63"/>
      <c r="M272" s="72">
        <f>IF(E272="Hàng SX",0,SUMIFS('SỔ CHI TIẾT BÁN HÀNG'!$Q$5:$Q$2863,'SỔ CHI TIẾT BÁN HÀNG'!$C$5:$C$2863,'Đơn đặt'!F272,'SỔ CHI TIẾT BÁN HÀNG'!$N$5:$N$2863,'Đơn đặt'!E272))</f>
        <v>0</v>
      </c>
      <c r="N272" s="72">
        <f t="shared" si="4"/>
        <v>2000</v>
      </c>
      <c r="O272" s="74"/>
      <c r="P272" s="74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hidden="1" customHeight="1">
      <c r="A273" s="51" t="s">
        <v>186</v>
      </c>
      <c r="B273" s="53">
        <v>46197.0</v>
      </c>
      <c r="C273" s="57" t="str">
        <f t="shared" si="2"/>
        <v>06-08/TS75-2026/TS-AVP/ĐĐHHH-CT00005</v>
      </c>
      <c r="D273" s="51" t="s">
        <v>817</v>
      </c>
      <c r="E273" s="37" t="s">
        <v>818</v>
      </c>
      <c r="F273" s="74" t="s">
        <v>38</v>
      </c>
      <c r="G273" s="74" t="s">
        <v>36</v>
      </c>
      <c r="H273" s="63">
        <v>7600.0</v>
      </c>
      <c r="I273" s="63"/>
      <c r="J273" s="63">
        <f>SUMIFS('SỔ CHI TIẾT BÁN HÀNG'!$G$5:$G$2062,'SỔ CHI TIẾT BÁN HÀNG'!$C$5:$C$2062,'Đơn đặt'!F273,'SỔ CHI TIẾT BÁN HÀNG'!$L$5:$L$2062,'Đơn đặt'!C273)</f>
        <v>4000</v>
      </c>
      <c r="K273" s="63">
        <f t="shared" si="6"/>
        <v>3600</v>
      </c>
      <c r="L273" s="63"/>
      <c r="M273" s="72">
        <f>IF(E273="Hàng SX",0,SUMIFS('SỔ CHI TIẾT BÁN HÀNG'!$Q$5:$Q$2863,'SỔ CHI TIẾT BÁN HÀNG'!$C$5:$C$2863,'Đơn đặt'!F273,'SỔ CHI TIẾT BÁN HÀNG'!$N$5:$N$2863,'Đơn đặt'!E273))</f>
        <v>4270</v>
      </c>
      <c r="N273" s="72">
        <f t="shared" si="4"/>
        <v>3330</v>
      </c>
      <c r="O273" s="74"/>
      <c r="P273" s="74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hidden="1" customHeight="1">
      <c r="A274" s="51" t="s">
        <v>186</v>
      </c>
      <c r="B274" s="53">
        <v>46197.0</v>
      </c>
      <c r="C274" s="57" t="str">
        <f t="shared" si="2"/>
        <v>06-08/TS75-2026/TS-AVP/ĐĐHHH-CT00078</v>
      </c>
      <c r="D274" s="51" t="s">
        <v>817</v>
      </c>
      <c r="E274" s="37" t="s">
        <v>818</v>
      </c>
      <c r="F274" s="74" t="s">
        <v>41</v>
      </c>
      <c r="G274" s="74" t="s">
        <v>40</v>
      </c>
      <c r="H274" s="63">
        <v>1000.0</v>
      </c>
      <c r="I274" s="63"/>
      <c r="J274" s="63">
        <f>SUMIFS('SỔ CHI TIẾT BÁN HÀNG'!$G$5:$G$2062,'SỔ CHI TIẾT BÁN HÀNG'!$C$5:$C$2062,'Đơn đặt'!F274,'SỔ CHI TIẾT BÁN HÀNG'!$L$5:$L$2062,'Đơn đặt'!C274)</f>
        <v>1000</v>
      </c>
      <c r="K274" s="63">
        <f t="shared" si="6"/>
        <v>0</v>
      </c>
      <c r="L274" s="63"/>
      <c r="M274" s="72">
        <f>IF(E274="Hàng SX",0,SUMIFS('SỔ CHI TIẾT BÁN HÀNG'!$Q$5:$Q$2863,'SỔ CHI TIẾT BÁN HÀNG'!$C$5:$C$2863,'Đơn đặt'!F274,'SỔ CHI TIẾT BÁN HÀNG'!$N$5:$N$2863,'Đơn đặt'!E274))</f>
        <v>1000</v>
      </c>
      <c r="N274" s="72">
        <f t="shared" si="4"/>
        <v>0</v>
      </c>
      <c r="O274" s="74"/>
      <c r="P274" s="74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hidden="1" customHeight="1">
      <c r="A275" s="51" t="s">
        <v>186</v>
      </c>
      <c r="B275" s="53">
        <v>46197.0</v>
      </c>
      <c r="C275" s="57" t="str">
        <f t="shared" si="2"/>
        <v>06-08/TS75-2026/TS-AVP/ĐĐHHH-CT00091</v>
      </c>
      <c r="D275" s="51" t="s">
        <v>817</v>
      </c>
      <c r="E275" s="37" t="s">
        <v>818</v>
      </c>
      <c r="F275" s="74" t="s">
        <v>414</v>
      </c>
      <c r="G275" s="74" t="s">
        <v>43</v>
      </c>
      <c r="H275" s="63">
        <v>600.0</v>
      </c>
      <c r="I275" s="63"/>
      <c r="J275" s="63">
        <f>SUMIFS('SỔ CHI TIẾT BÁN HÀNG'!$G$5:$G$2062,'SỔ CHI TIẾT BÁN HÀNG'!$C$5:$C$2062,'Đơn đặt'!F275,'SỔ CHI TIẾT BÁN HÀNG'!$L$5:$L$2062,'Đơn đặt'!C275)</f>
        <v>0</v>
      </c>
      <c r="K275" s="63">
        <f t="shared" si="6"/>
        <v>600</v>
      </c>
      <c r="L275" s="63"/>
      <c r="M275" s="72">
        <f>IF(E275="Hàng SX",0,SUMIFS('SỔ CHI TIẾT BÁN HÀNG'!$Q$5:$Q$2863,'SỔ CHI TIẾT BÁN HÀNG'!$C$5:$C$2863,'Đơn đặt'!F275,'SỔ CHI TIẾT BÁN HÀNG'!$N$5:$N$2863,'Đơn đặt'!E275))</f>
        <v>600</v>
      </c>
      <c r="N275" s="72">
        <f t="shared" si="4"/>
        <v>0</v>
      </c>
      <c r="O275" s="74"/>
      <c r="P275" s="74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hidden="1" customHeight="1">
      <c r="A276" s="51" t="s">
        <v>186</v>
      </c>
      <c r="B276" s="53">
        <v>46197.0</v>
      </c>
      <c r="C276" s="57" t="str">
        <f t="shared" si="2"/>
        <v>06-08/TS77-2026/TS-AVP/ĐĐHHH-CT00007</v>
      </c>
      <c r="D276" s="51" t="s">
        <v>817</v>
      </c>
      <c r="E276" s="37" t="s">
        <v>835</v>
      </c>
      <c r="F276" s="74" t="s">
        <v>48</v>
      </c>
      <c r="G276" s="74" t="s">
        <v>47</v>
      </c>
      <c r="H276" s="63">
        <v>4000.0</v>
      </c>
      <c r="I276" s="63"/>
      <c r="J276" s="63">
        <f>SUMIFS('SỔ CHI TIẾT BÁN HÀNG'!$G$5:$G$2062,'SỔ CHI TIẾT BÁN HÀNG'!$C$5:$C$2062,'Đơn đặt'!F276,'SỔ CHI TIẾT BÁN HÀNG'!$L$5:$L$2062,'Đơn đặt'!C276)</f>
        <v>5570</v>
      </c>
      <c r="K276" s="63">
        <f t="shared" si="6"/>
        <v>-1570</v>
      </c>
      <c r="L276" s="63"/>
      <c r="M276" s="72">
        <f>IF(E276="Hàng SX",0,SUMIFS('SỔ CHI TIẾT BÁN HÀNG'!$Q$5:$Q$2863,'SỔ CHI TIẾT BÁN HÀNG'!$C$5:$C$2863,'Đơn đặt'!F276,'SỔ CHI TIẾT BÁN HÀNG'!$N$5:$N$2863,'Đơn đặt'!E276))</f>
        <v>5570</v>
      </c>
      <c r="N276" s="72">
        <f t="shared" si="4"/>
        <v>-1570</v>
      </c>
      <c r="O276" s="74"/>
      <c r="P276" s="74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hidden="1" customHeight="1">
      <c r="A277" s="51" t="s">
        <v>186</v>
      </c>
      <c r="B277" s="53">
        <v>46197.0</v>
      </c>
      <c r="C277" s="57" t="str">
        <f t="shared" si="2"/>
        <v>06-08/TS78-2026/TS-AVP/ĐĐHHH-CT00008</v>
      </c>
      <c r="D277" s="51" t="s">
        <v>817</v>
      </c>
      <c r="E277" s="37" t="s">
        <v>838</v>
      </c>
      <c r="F277" s="74" t="s">
        <v>50</v>
      </c>
      <c r="G277" s="74" t="s">
        <v>49</v>
      </c>
      <c r="H277" s="63">
        <v>17000.0</v>
      </c>
      <c r="I277" s="63"/>
      <c r="J277" s="63">
        <f>SUMIFS('SỔ CHI TIẾT BÁN HÀNG'!$G$5:$G$2062,'SỔ CHI TIẾT BÁN HÀNG'!$C$5:$C$2062,'Đơn đặt'!F277,'SỔ CHI TIẾT BÁN HÀNG'!$L$5:$L$2062,'Đơn đặt'!C277)</f>
        <v>0</v>
      </c>
      <c r="K277" s="63">
        <f t="shared" si="6"/>
        <v>17000</v>
      </c>
      <c r="L277" s="63"/>
      <c r="M277" s="72">
        <f>IF(E277="Hàng SX",0,SUMIFS('SỔ CHI TIẾT BÁN HÀNG'!$Q$5:$Q$2863,'SỔ CHI TIẾT BÁN HÀNG'!$C$5:$C$2863,'Đơn đặt'!F277,'SỔ CHI TIẾT BÁN HÀNG'!$N$5:$N$2863,'Đơn đặt'!E277))</f>
        <v>0</v>
      </c>
      <c r="N277" s="72">
        <f t="shared" si="4"/>
        <v>17000</v>
      </c>
      <c r="O277" s="74"/>
      <c r="P277" s="74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hidden="1" customHeight="1">
      <c r="A278" s="51" t="s">
        <v>186</v>
      </c>
      <c r="B278" s="53">
        <v>46197.0</v>
      </c>
      <c r="C278" s="57" t="str">
        <f t="shared" si="2"/>
        <v>06-08/TS78-2026/TS-AVP/ĐĐHHH-CT00007</v>
      </c>
      <c r="D278" s="51" t="s">
        <v>817</v>
      </c>
      <c r="E278" s="37" t="s">
        <v>838</v>
      </c>
      <c r="F278" s="74" t="s">
        <v>48</v>
      </c>
      <c r="G278" s="74" t="s">
        <v>47</v>
      </c>
      <c r="H278" s="63">
        <v>86000.0</v>
      </c>
      <c r="I278" s="63"/>
      <c r="J278" s="63">
        <f>SUMIFS('SỔ CHI TIẾT BÁN HÀNG'!$G$5:$G$2062,'SỔ CHI TIẾT BÁN HÀNG'!$C$5:$C$2062,'Đơn đặt'!F278,'SỔ CHI TIẾT BÁN HÀNG'!$L$5:$L$2062,'Đơn đặt'!C278)</f>
        <v>13500</v>
      </c>
      <c r="K278" s="63">
        <f t="shared" si="6"/>
        <v>72500</v>
      </c>
      <c r="L278" s="63"/>
      <c r="M278" s="72">
        <f>IF(E278="Hàng SX",0,SUMIFS('SỔ CHI TIẾT BÁN HÀNG'!$Q$5:$Q$2863,'SỔ CHI TIẾT BÁN HÀNG'!$C$5:$C$2863,'Đơn đặt'!F278,'SỔ CHI TIẾT BÁN HÀNG'!$N$5:$N$2863,'Đơn đặt'!E278))</f>
        <v>13500</v>
      </c>
      <c r="N278" s="72">
        <f t="shared" si="4"/>
        <v>72500</v>
      </c>
      <c r="O278" s="74"/>
      <c r="P278" s="74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hidden="1" customHeight="1">
      <c r="A279" s="51" t="s">
        <v>186</v>
      </c>
      <c r="B279" s="53">
        <v>46197.0</v>
      </c>
      <c r="C279" s="57" t="str">
        <f t="shared" si="2"/>
        <v>06-08/TS76-2026/TS-AVP/ĐĐHHH-CT00072</v>
      </c>
      <c r="D279" s="51" t="s">
        <v>817</v>
      </c>
      <c r="E279" s="37" t="s">
        <v>842</v>
      </c>
      <c r="F279" s="74" t="s">
        <v>55</v>
      </c>
      <c r="G279" s="74" t="s">
        <v>53</v>
      </c>
      <c r="H279" s="63">
        <v>8000.0</v>
      </c>
      <c r="I279" s="63"/>
      <c r="J279" s="63">
        <f>SUMIFS('SỔ CHI TIẾT BÁN HÀNG'!$G$5:$G$2062,'SỔ CHI TIẾT BÁN HÀNG'!$C$5:$C$2062,'Đơn đặt'!F279,'SỔ CHI TIẾT BÁN HÀNG'!$L$5:$L$2062,'Đơn đặt'!C279)</f>
        <v>0</v>
      </c>
      <c r="K279" s="63">
        <f t="shared" si="6"/>
        <v>8000</v>
      </c>
      <c r="L279" s="63"/>
      <c r="M279" s="72">
        <f>IF(E279="Hàng SX",0,SUMIFS('SỔ CHI TIẾT BÁN HÀNG'!$Q$5:$Q$2863,'SỔ CHI TIẾT BÁN HÀNG'!$C$5:$C$2863,'Đơn đặt'!F279,'SỔ CHI TIẾT BÁN HÀNG'!$N$5:$N$2863,'Đơn đặt'!E279))</f>
        <v>0</v>
      </c>
      <c r="N279" s="72">
        <f t="shared" si="4"/>
        <v>8000</v>
      </c>
      <c r="O279" s="74"/>
      <c r="P279" s="74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hidden="1" customHeight="1">
      <c r="A280" s="51" t="s">
        <v>186</v>
      </c>
      <c r="B280" s="53">
        <v>46197.0</v>
      </c>
      <c r="C280" s="57" t="str">
        <f t="shared" si="2"/>
        <v>06-08/TS75-2026/TS-AVP/ĐĐHHH-CT00131</v>
      </c>
      <c r="D280" s="51" t="s">
        <v>817</v>
      </c>
      <c r="E280" s="37" t="s">
        <v>818</v>
      </c>
      <c r="F280" s="74" t="s">
        <v>59</v>
      </c>
      <c r="G280" s="74" t="s">
        <v>58</v>
      </c>
      <c r="H280" s="63">
        <v>31000.0</v>
      </c>
      <c r="I280" s="63"/>
      <c r="J280" s="63">
        <f>SUMIFS('SỔ CHI TIẾT BÁN HÀNG'!$G$5:$G$2062,'SỔ CHI TIẾT BÁN HÀNG'!$C$5:$C$2062,'Đơn đặt'!F280,'SỔ CHI TIẾT BÁN HÀNG'!$L$5:$L$2062,'Đơn đặt'!C280)</f>
        <v>0</v>
      </c>
      <c r="K280" s="63">
        <f t="shared" si="6"/>
        <v>31000</v>
      </c>
      <c r="L280" s="63"/>
      <c r="M280" s="72">
        <f>IF(E280="Hàng SX",0,SUMIFS('SỔ CHI TIẾT BÁN HÀNG'!$Q$5:$Q$2863,'SỔ CHI TIẾT BÁN HÀNG'!$C$5:$C$2863,'Đơn đặt'!F280,'SỔ CHI TIẾT BÁN HÀNG'!$N$5:$N$2863,'Đơn đặt'!E280))</f>
        <v>0</v>
      </c>
      <c r="N280" s="72">
        <f t="shared" si="4"/>
        <v>31000</v>
      </c>
      <c r="O280" s="74"/>
      <c r="P280" s="74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hidden="1" customHeight="1">
      <c r="A281" s="51" t="s">
        <v>186</v>
      </c>
      <c r="B281" s="53">
        <v>46202.0</v>
      </c>
      <c r="C281" s="57" t="str">
        <f t="shared" si="2"/>
        <v>07-13/TS80-2026/TS-AVP/ĐĐHTP-PE00004</v>
      </c>
      <c r="D281" s="51" t="s">
        <v>844</v>
      </c>
      <c r="E281" s="37" t="s">
        <v>845</v>
      </c>
      <c r="F281" s="74" t="s">
        <v>140</v>
      </c>
      <c r="G281" s="74" t="s">
        <v>4</v>
      </c>
      <c r="H281" s="63">
        <v>3000.0</v>
      </c>
      <c r="I281" s="63"/>
      <c r="J281" s="63">
        <f>SUMIFS('SỔ CHI TIẾT BÁN HÀNG'!$G$5:$G$2062,'SỔ CHI TIẾT BÁN HÀNG'!$C$5:$C$2062,'Đơn đặt'!F281,'SỔ CHI TIẾT BÁN HÀNG'!$L$5:$L$2062,'Đơn đặt'!C281)</f>
        <v>3000</v>
      </c>
      <c r="K281" s="63">
        <f t="shared" si="6"/>
        <v>0</v>
      </c>
      <c r="L281" s="103"/>
      <c r="M281" s="72">
        <f>IF(E281="Hàng SX",0,SUMIFS('SỔ CHI TIẾT BÁN HÀNG'!$Q$5:$Q$2863,'SỔ CHI TIẾT BÁN HÀNG'!$C$5:$C$2863,'Đơn đặt'!F281,'SỔ CHI TIẾT BÁN HÀNG'!$N$5:$N$2863,'Đơn đặt'!E281))</f>
        <v>3000</v>
      </c>
      <c r="N281" s="72">
        <f t="shared" si="4"/>
        <v>0</v>
      </c>
      <c r="O281" s="74"/>
      <c r="P281" s="74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hidden="1" customHeight="1">
      <c r="A282" s="51" t="s">
        <v>186</v>
      </c>
      <c r="B282" s="53">
        <v>46202.0</v>
      </c>
      <c r="C282" s="57" t="str">
        <f t="shared" si="2"/>
        <v>07-13/TS80-2026/TS-AVP/ĐĐHTP-PE00006</v>
      </c>
      <c r="D282" s="51" t="s">
        <v>844</v>
      </c>
      <c r="E282" s="37" t="s">
        <v>845</v>
      </c>
      <c r="F282" s="74" t="s">
        <v>1</v>
      </c>
      <c r="G282" s="74" t="s">
        <v>0</v>
      </c>
      <c r="H282" s="63">
        <v>1000.0</v>
      </c>
      <c r="I282" s="63"/>
      <c r="J282" s="63">
        <f>SUMIFS('SỔ CHI TIẾT BÁN HÀNG'!$G$5:$G$2062,'SỔ CHI TIẾT BÁN HÀNG'!$C$5:$C$2062,'Đơn đặt'!F282,'SỔ CHI TIẾT BÁN HÀNG'!$L$5:$L$2062,'Đơn đặt'!C282)</f>
        <v>0</v>
      </c>
      <c r="K282" s="63">
        <f t="shared" si="6"/>
        <v>1000</v>
      </c>
      <c r="L282" s="103"/>
      <c r="M282" s="72">
        <f>IF(E282="Hàng SX",0,SUMIFS('SỔ CHI TIẾT BÁN HÀNG'!$Q$5:$Q$2863,'SỔ CHI TIẾT BÁN HÀNG'!$C$5:$C$2863,'Đơn đặt'!F282,'SỔ CHI TIẾT BÁN HÀNG'!$N$5:$N$2863,'Đơn đặt'!E282))</f>
        <v>0</v>
      </c>
      <c r="N282" s="72">
        <f t="shared" si="4"/>
        <v>1000</v>
      </c>
      <c r="O282" s="74"/>
      <c r="P282" s="74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hidden="1" customHeight="1">
      <c r="A283" s="51" t="s">
        <v>186</v>
      </c>
      <c r="B283" s="53">
        <v>46202.0</v>
      </c>
      <c r="C283" s="57" t="str">
        <f t="shared" si="2"/>
        <v>07-13/TS80-2026/TS-AVP/ĐĐHTP-PE00001</v>
      </c>
      <c r="D283" s="51" t="s">
        <v>844</v>
      </c>
      <c r="E283" s="37" t="s">
        <v>845</v>
      </c>
      <c r="F283" s="74" t="s">
        <v>3</v>
      </c>
      <c r="G283" s="74" t="s">
        <v>2</v>
      </c>
      <c r="H283" s="63">
        <v>5000.0</v>
      </c>
      <c r="I283" s="63"/>
      <c r="J283" s="63">
        <f>SUMIFS('SỔ CHI TIẾT BÁN HÀNG'!$G$5:$G$2062,'SỔ CHI TIẾT BÁN HÀNG'!$C$5:$C$2062,'Đơn đặt'!F283,'SỔ CHI TIẾT BÁN HÀNG'!$L$5:$L$2062,'Đơn đặt'!C283)</f>
        <v>5000</v>
      </c>
      <c r="K283" s="63">
        <f t="shared" si="6"/>
        <v>0</v>
      </c>
      <c r="L283" s="103"/>
      <c r="M283" s="72">
        <f>IF(E283="Hàng SX",0,SUMIFS('SỔ CHI TIẾT BÁN HÀNG'!$Q$5:$Q$2863,'SỔ CHI TIẾT BÁN HÀNG'!$C$5:$C$2863,'Đơn đặt'!F283,'SỔ CHI TIẾT BÁN HÀNG'!$N$5:$N$2863,'Đơn đặt'!E283))</f>
        <v>5000</v>
      </c>
      <c r="N283" s="72">
        <f t="shared" si="4"/>
        <v>0</v>
      </c>
      <c r="O283" s="74"/>
      <c r="P283" s="74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hidden="1" customHeight="1">
      <c r="A284" s="51" t="s">
        <v>186</v>
      </c>
      <c r="B284" s="53">
        <v>46202.0</v>
      </c>
      <c r="C284" s="57" t="str">
        <f t="shared" si="2"/>
        <v>07-13/TS79-2026/TS-AVP/ĐĐHTP-PE00001</v>
      </c>
      <c r="D284" s="51" t="s">
        <v>844</v>
      </c>
      <c r="E284" s="37" t="s">
        <v>850</v>
      </c>
      <c r="F284" s="74" t="s">
        <v>3</v>
      </c>
      <c r="G284" s="74" t="s">
        <v>2</v>
      </c>
      <c r="H284" s="63">
        <v>10000.0</v>
      </c>
      <c r="I284" s="63"/>
      <c r="J284" s="63">
        <f>SUMIFS('SỔ CHI TIẾT BÁN HÀNG'!$G$5:$G$2062,'SỔ CHI TIẾT BÁN HÀNG'!$C$5:$C$2062,'Đơn đặt'!F284,'SỔ CHI TIẾT BÁN HÀNG'!$L$5:$L$2062,'Đơn đặt'!C284)</f>
        <v>5000</v>
      </c>
      <c r="K284" s="63">
        <f t="shared" si="6"/>
        <v>5000</v>
      </c>
      <c r="L284" s="103"/>
      <c r="M284" s="72">
        <f>IF(E284="Hàng SX",0,SUMIFS('SỔ CHI TIẾT BÁN HÀNG'!$Q$5:$Q$2863,'SỔ CHI TIẾT BÁN HÀNG'!$C$5:$C$2863,'Đơn đặt'!F284,'SỔ CHI TIẾT BÁN HÀNG'!$N$5:$N$2863,'Đơn đặt'!E284))</f>
        <v>10000</v>
      </c>
      <c r="N284" s="72">
        <f t="shared" si="4"/>
        <v>0</v>
      </c>
      <c r="O284" s="74"/>
      <c r="P284" s="74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hidden="1" customHeight="1">
      <c r="A285" s="51" t="s">
        <v>186</v>
      </c>
      <c r="B285" s="53">
        <v>46203.0</v>
      </c>
      <c r="C285" s="57" t="str">
        <f t="shared" si="2"/>
        <v>07-19/TS80-2026/TS-AVP/ĐĐHTP-PE00009</v>
      </c>
      <c r="D285" s="51" t="s">
        <v>853</v>
      </c>
      <c r="E285" s="37" t="s">
        <v>845</v>
      </c>
      <c r="F285" s="74" t="s">
        <v>295</v>
      </c>
      <c r="G285" s="74" t="s">
        <v>296</v>
      </c>
      <c r="H285" s="63">
        <v>1000.0</v>
      </c>
      <c r="I285" s="63"/>
      <c r="J285" s="63">
        <f>SUMIFS('SỔ CHI TIẾT BÁN HÀNG'!$G$5:$G$2062,'SỔ CHI TIẾT BÁN HÀNG'!$C$5:$C$2062,'Đơn đặt'!F285,'SỔ CHI TIẾT BÁN HÀNG'!$L$5:$L$2062,'Đơn đặt'!C285)</f>
        <v>1000</v>
      </c>
      <c r="K285" s="63">
        <f t="shared" si="6"/>
        <v>0</v>
      </c>
      <c r="L285" s="103"/>
      <c r="M285" s="72">
        <f>IF(E285="Hàng SX",0,SUMIFS('SỔ CHI TIẾT BÁN HÀNG'!$Q$5:$Q$2863,'SỔ CHI TIẾT BÁN HÀNG'!$C$5:$C$2863,'Đơn đặt'!F285,'SỔ CHI TIẾT BÁN HÀNG'!$N$5:$N$2863,'Đơn đặt'!E285))</f>
        <v>1000</v>
      </c>
      <c r="N285" s="72">
        <f t="shared" si="4"/>
        <v>0</v>
      </c>
      <c r="O285" s="74"/>
      <c r="P285" s="74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hidden="1" customHeight="1">
      <c r="A286" s="51" t="s">
        <v>186</v>
      </c>
      <c r="B286" s="53">
        <v>46204.0</v>
      </c>
      <c r="C286" s="57" t="str">
        <f t="shared" si="2"/>
        <v>07-02/TS81-2026/TS-AVP/ĐĐHHH-CT00064</v>
      </c>
      <c r="D286" s="104" t="s">
        <v>856</v>
      </c>
      <c r="E286" s="37" t="s">
        <v>857</v>
      </c>
      <c r="F286" s="74" t="s">
        <v>77</v>
      </c>
      <c r="G286" s="74" t="s">
        <v>858</v>
      </c>
      <c r="H286" s="63">
        <v>9680.0</v>
      </c>
      <c r="I286" s="63"/>
      <c r="J286" s="63">
        <f>SUMIFS('SỔ CHI TIẾT BÁN HÀNG'!$G$5:$G$2062,'SỔ CHI TIẾT BÁN HÀNG'!$C$5:$C$2062,'Đơn đặt'!F286,'SỔ CHI TIẾT BÁN HÀNG'!$L$5:$L$2062,'Đơn đặt'!C286)</f>
        <v>0</v>
      </c>
      <c r="K286" s="63">
        <f t="shared" si="6"/>
        <v>9680</v>
      </c>
      <c r="L286" s="103"/>
      <c r="M286" s="72">
        <f>IF(E286="Hàng SX",0,SUMIFS('SỔ CHI TIẾT BÁN HÀNG'!$Q$5:$Q$2863,'SỔ CHI TIẾT BÁN HÀNG'!$C$5:$C$2863,'Đơn đặt'!F286,'SỔ CHI TIẾT BÁN HÀNG'!$N$5:$N$2863,'Đơn đặt'!E286))</f>
        <v>0</v>
      </c>
      <c r="N286" s="72">
        <f t="shared" si="4"/>
        <v>9680</v>
      </c>
      <c r="O286" s="74"/>
      <c r="P286" s="74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hidden="1" customHeight="1">
      <c r="A287" s="51" t="s">
        <v>186</v>
      </c>
      <c r="B287" s="53">
        <v>46204.0</v>
      </c>
      <c r="C287" s="57" t="str">
        <f t="shared" si="2"/>
        <v>07-02/TS82-2026/TS-AVP/ĐĐHHH-CT00095</v>
      </c>
      <c r="D287" s="104" t="s">
        <v>856</v>
      </c>
      <c r="E287" s="37" t="s">
        <v>860</v>
      </c>
      <c r="F287" s="105" t="s">
        <v>196</v>
      </c>
      <c r="G287" s="74" t="s">
        <v>197</v>
      </c>
      <c r="H287" s="63">
        <v>3240.0</v>
      </c>
      <c r="I287" s="63"/>
      <c r="J287" s="63">
        <f>SUMIFS('SỔ CHI TIẾT BÁN HÀNG'!$G$5:$G$2062,'SỔ CHI TIẾT BÁN HÀNG'!$C$5:$C$2062,'Đơn đặt'!F287,'SỔ CHI TIẾT BÁN HÀNG'!$L$5:$L$2062,'Đơn đặt'!C287)</f>
        <v>3240</v>
      </c>
      <c r="K287" s="63">
        <f t="shared" si="6"/>
        <v>0</v>
      </c>
      <c r="L287" s="74"/>
      <c r="M287" s="72">
        <f>IF(E287="Hàng SX",0,SUMIFS('SỔ CHI TIẾT BÁN HÀNG'!$Q$5:$Q$2863,'SỔ CHI TIẾT BÁN HÀNG'!$C$5:$C$2863,'Đơn đặt'!F287,'SỔ CHI TIẾT BÁN HÀNG'!$N$5:$N$2863,'Đơn đặt'!E287))</f>
        <v>3240</v>
      </c>
      <c r="N287" s="72">
        <f t="shared" si="4"/>
        <v>0</v>
      </c>
      <c r="O287" s="74"/>
      <c r="P287" s="74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hidden="1" customHeight="1">
      <c r="A288" s="51" t="s">
        <v>123</v>
      </c>
      <c r="B288" s="53">
        <v>46169.0</v>
      </c>
      <c r="C288" s="57" t="str">
        <f t="shared" si="2"/>
        <v>05/TS/26Hàng SXTP-LG00004-TH</v>
      </c>
      <c r="D288" s="85" t="s">
        <v>862</v>
      </c>
      <c r="E288" s="37" t="s">
        <v>98</v>
      </c>
      <c r="F288" s="59" t="s">
        <v>125</v>
      </c>
      <c r="G288" s="61" t="s">
        <v>126</v>
      </c>
      <c r="H288" s="63">
        <v>5000.0</v>
      </c>
      <c r="I288" s="63">
        <f>H288*10%</f>
        <v>500</v>
      </c>
      <c r="J288" s="63">
        <f>SUMIFS('SỔ CHI TIẾT BÁN HÀNG'!$G$5:$G$2062,'SỔ CHI TIẾT BÁN HÀNG'!$C$5:$C$2062,'Đơn đặt'!F288,'SỔ CHI TIẾT BÁN HÀNG'!$L$5:$L$2062,'Đơn đặt'!C288)</f>
        <v>10488</v>
      </c>
      <c r="K288" s="63">
        <f t="shared" si="6"/>
        <v>-4988</v>
      </c>
      <c r="L288" s="86">
        <f t="shared" ref="L288:L324" si="7">+I288/H288</f>
        <v>0.1</v>
      </c>
      <c r="M288" s="72">
        <f>IF(E288="Hàng SX",0,SUMIFS('SỔ CHI TIẾT BÁN HÀNG'!$Q$5:$Q$2863,'SỔ CHI TIẾT BÁN HÀNG'!$C$5:$C$2863,'Đơn đặt'!F288,'SỔ CHI TIẾT BÁN HÀNG'!$N$5:$N$2863,'Đơn đặt'!E288))</f>
        <v>0</v>
      </c>
      <c r="N288" s="72">
        <f t="shared" si="4"/>
        <v>0</v>
      </c>
      <c r="O288" s="74"/>
      <c r="P288" s="74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hidden="1" customHeight="1">
      <c r="A289" s="51" t="s">
        <v>144</v>
      </c>
      <c r="B289" s="53">
        <v>46192.0</v>
      </c>
      <c r="C289" s="57" t="str">
        <f t="shared" si="2"/>
        <v>60026/THP/04HH-CT00037</v>
      </c>
      <c r="D289" s="51">
        <v>600.0</v>
      </c>
      <c r="E289" s="88" t="s">
        <v>866</v>
      </c>
      <c r="F289" s="59" t="s">
        <v>178</v>
      </c>
      <c r="G289" s="61" t="s">
        <v>179</v>
      </c>
      <c r="H289" s="63">
        <v>2000.0</v>
      </c>
      <c r="I289" s="63"/>
      <c r="J289" s="63">
        <f>SUMIFS('SỔ CHI TIẾT BÁN HÀNG'!$G$5:$G$2062,'SỔ CHI TIẾT BÁN HÀNG'!$C$5:$C$2062,'Đơn đặt'!F289,'SỔ CHI TIẾT BÁN HÀNG'!$L$5:$L$2062,'Đơn đặt'!C289)</f>
        <v>2000</v>
      </c>
      <c r="K289" s="63">
        <f t="shared" si="6"/>
        <v>0</v>
      </c>
      <c r="L289" s="86">
        <f t="shared" si="7"/>
        <v>0</v>
      </c>
      <c r="M289" s="72">
        <f>IF(E289="Hàng SX",0,SUMIFS('SỔ CHI TIẾT BÁN HÀNG'!$Q$5:$Q$2863,'SỔ CHI TIẾT BÁN HÀNG'!$C$5:$C$2863,'Đơn đặt'!F289,'SỔ CHI TIẾT BÁN HÀNG'!$N$5:$N$2863,'Đơn đặt'!E289))</f>
        <v>2000</v>
      </c>
      <c r="N289" s="72">
        <f t="shared" si="4"/>
        <v>0</v>
      </c>
      <c r="O289" s="74"/>
      <c r="P289" s="74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hidden="1" customHeight="1">
      <c r="A290" s="51" t="s">
        <v>186</v>
      </c>
      <c r="B290" s="53">
        <v>46210.0</v>
      </c>
      <c r="C290" s="57" t="str">
        <f t="shared" si="2"/>
        <v>07-04/TS 83-2026/TS-AVP/ĐĐHHH-CT00103</v>
      </c>
      <c r="D290" s="85" t="s">
        <v>869</v>
      </c>
      <c r="E290" s="37" t="s">
        <v>870</v>
      </c>
      <c r="F290" s="59" t="s">
        <v>275</v>
      </c>
      <c r="G290" s="61" t="s">
        <v>276</v>
      </c>
      <c r="H290" s="63">
        <v>620.0</v>
      </c>
      <c r="I290" s="63"/>
      <c r="J290" s="63">
        <f>SUMIFS('SỔ CHI TIẾT BÁN HÀNG'!$G$5:$G$2062,'SỔ CHI TIẾT BÁN HÀNG'!$C$5:$C$2062,'Đơn đặt'!F290,'SỔ CHI TIẾT BÁN HÀNG'!$L$5:$L$2062,'Đơn đặt'!C290)</f>
        <v>0</v>
      </c>
      <c r="K290" s="63">
        <f t="shared" si="6"/>
        <v>620</v>
      </c>
      <c r="L290" s="86">
        <f t="shared" si="7"/>
        <v>0</v>
      </c>
      <c r="M290" s="72"/>
      <c r="N290" s="72"/>
      <c r="O290" s="74"/>
      <c r="P290" s="74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hidden="1" customHeight="1">
      <c r="A291" s="51" t="s">
        <v>186</v>
      </c>
      <c r="B291" s="53">
        <v>46210.0</v>
      </c>
      <c r="C291" s="57" t="str">
        <f t="shared" si="2"/>
        <v>07-04/TS 83-2026/TS-AVP/ĐĐHHH-CT00104</v>
      </c>
      <c r="D291" s="85" t="s">
        <v>869</v>
      </c>
      <c r="E291" s="37" t="s">
        <v>870</v>
      </c>
      <c r="F291" s="59" t="s">
        <v>279</v>
      </c>
      <c r="G291" s="61" t="s">
        <v>280</v>
      </c>
      <c r="H291" s="63">
        <v>300.0</v>
      </c>
      <c r="I291" s="63"/>
      <c r="J291" s="63">
        <f>SUMIFS('SỔ CHI TIẾT BÁN HÀNG'!$G$5:$G$2062,'SỔ CHI TIẾT BÁN HÀNG'!$C$5:$C$2062,'Đơn đặt'!F291,'SỔ CHI TIẾT BÁN HÀNG'!$L$5:$L$2062,'Đơn đặt'!C291)</f>
        <v>300</v>
      </c>
      <c r="K291" s="63">
        <f t="shared" si="6"/>
        <v>0</v>
      </c>
      <c r="L291" s="86">
        <f t="shared" si="7"/>
        <v>0</v>
      </c>
      <c r="M291" s="72"/>
      <c r="N291" s="72"/>
      <c r="O291" s="74"/>
      <c r="P291" s="74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hidden="1" customHeight="1">
      <c r="A292" s="51" t="s">
        <v>186</v>
      </c>
      <c r="B292" s="53">
        <v>46210.0</v>
      </c>
      <c r="C292" s="57" t="str">
        <f t="shared" si="2"/>
        <v>07-05/TS 84-2026/TS-AVP/ĐĐHHH-CT00132</v>
      </c>
      <c r="D292" s="85" t="s">
        <v>876</v>
      </c>
      <c r="E292" s="37" t="s">
        <v>877</v>
      </c>
      <c r="F292" s="59" t="s">
        <v>492</v>
      </c>
      <c r="G292" s="61" t="s">
        <v>493</v>
      </c>
      <c r="H292" s="63">
        <v>588.0</v>
      </c>
      <c r="I292" s="63"/>
      <c r="J292" s="63">
        <f>SUMIFS('SỔ CHI TIẾT BÁN HÀNG'!$G$5:$G$2062,'SỔ CHI TIẾT BÁN HÀNG'!$C$5:$C$2062,'Đơn đặt'!F292,'SỔ CHI TIẾT BÁN HÀNG'!$L$5:$L$2062,'Đơn đặt'!C292)</f>
        <v>588</v>
      </c>
      <c r="K292" s="63">
        <f t="shared" si="6"/>
        <v>0</v>
      </c>
      <c r="L292" s="86">
        <f t="shared" si="7"/>
        <v>0</v>
      </c>
      <c r="M292" s="72"/>
      <c r="N292" s="72"/>
      <c r="O292" s="74"/>
      <c r="P292" s="74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hidden="1" customHeight="1">
      <c r="A293" s="51" t="s">
        <v>186</v>
      </c>
      <c r="B293" s="53">
        <v>46217.0</v>
      </c>
      <c r="C293" s="57" t="str">
        <f t="shared" si="2"/>
        <v>07-05/TS 85-2026/TS-AVP/ĐĐHHH-CT00132</v>
      </c>
      <c r="D293" s="85" t="s">
        <v>876</v>
      </c>
      <c r="E293" s="37" t="s">
        <v>878</v>
      </c>
      <c r="F293" s="59" t="s">
        <v>492</v>
      </c>
      <c r="G293" s="61" t="s">
        <v>493</v>
      </c>
      <c r="H293" s="63">
        <v>470.0</v>
      </c>
      <c r="I293" s="63"/>
      <c r="J293" s="63">
        <f>SUMIFS('SỔ CHI TIẾT BÁN HÀNG'!$G$5:$G$2062,'SỔ CHI TIẾT BÁN HÀNG'!$C$5:$C$2062,'Đơn đặt'!F293,'SỔ CHI TIẾT BÁN HÀNG'!$L$5:$L$2062,'Đơn đặt'!C293)</f>
        <v>0</v>
      </c>
      <c r="K293" s="63">
        <f t="shared" si="6"/>
        <v>470</v>
      </c>
      <c r="L293" s="86">
        <f t="shared" si="7"/>
        <v>0</v>
      </c>
      <c r="M293" s="72"/>
      <c r="N293" s="72"/>
      <c r="O293" s="74"/>
      <c r="P293" s="74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51" t="s">
        <v>186</v>
      </c>
      <c r="B294" s="53">
        <v>46218.0</v>
      </c>
      <c r="C294" s="57" t="str">
        <f t="shared" si="2"/>
        <v>07-07/TS 86-2026/TS-AVP/ĐĐHHH-CT00031</v>
      </c>
      <c r="D294" s="85" t="s">
        <v>811</v>
      </c>
      <c r="E294" s="37" t="s">
        <v>880</v>
      </c>
      <c r="F294" s="59" t="s">
        <v>206</v>
      </c>
      <c r="G294" s="61" t="s">
        <v>207</v>
      </c>
      <c r="H294" s="63">
        <v>27550.0</v>
      </c>
      <c r="I294" s="63"/>
      <c r="J294" s="63">
        <f>SUMIFS('SỔ CHI TIẾT BÁN HÀNG'!$G$5:$G$2062,'SỔ CHI TIẾT BÁN HÀNG'!$C$5:$C$2062,'Đơn đặt'!F294,'SỔ CHI TIẾT BÁN HÀNG'!$L$5:$L$2062,'Đơn đặt'!C294)</f>
        <v>0</v>
      </c>
      <c r="K294" s="63">
        <f t="shared" si="6"/>
        <v>27550</v>
      </c>
      <c r="L294" s="86">
        <f t="shared" si="7"/>
        <v>0</v>
      </c>
      <c r="M294" s="72"/>
      <c r="N294" s="72"/>
      <c r="O294" s="74"/>
      <c r="P294" s="74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51" t="s">
        <v>186</v>
      </c>
      <c r="B295" s="53">
        <v>46218.0</v>
      </c>
      <c r="C295" s="57" t="str">
        <f t="shared" si="2"/>
        <v>07-07/TS 86-2026/TS-AVP/ĐĐHHH-CT00054</v>
      </c>
      <c r="D295" s="85" t="s">
        <v>811</v>
      </c>
      <c r="E295" s="37" t="s">
        <v>880</v>
      </c>
      <c r="F295" s="59" t="s">
        <v>222</v>
      </c>
      <c r="G295" s="61" t="s">
        <v>882</v>
      </c>
      <c r="H295" s="63">
        <v>23000.0</v>
      </c>
      <c r="I295" s="63"/>
      <c r="J295" s="63">
        <f>SUMIFS('SỔ CHI TIẾT BÁN HÀNG'!$G$5:$G$2062,'SỔ CHI TIẾT BÁN HÀNG'!$C$5:$C$2062,'Đơn đặt'!F295,'SỔ CHI TIẾT BÁN HÀNG'!$L$5:$L$2062,'Đơn đặt'!C295)</f>
        <v>0</v>
      </c>
      <c r="K295" s="63">
        <f t="shared" si="6"/>
        <v>23000</v>
      </c>
      <c r="L295" s="86">
        <f t="shared" si="7"/>
        <v>0</v>
      </c>
      <c r="M295" s="72"/>
      <c r="N295" s="72"/>
      <c r="O295" s="74"/>
      <c r="P295" s="74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51" t="s">
        <v>186</v>
      </c>
      <c r="B296" s="53">
        <v>46218.0</v>
      </c>
      <c r="C296" s="57" t="str">
        <f t="shared" si="2"/>
        <v>07-07/TS 86-2026/TS-AVP/ĐĐHHH-CT00061</v>
      </c>
      <c r="D296" s="85" t="s">
        <v>811</v>
      </c>
      <c r="E296" s="37" t="s">
        <v>880</v>
      </c>
      <c r="F296" s="59" t="s">
        <v>272</v>
      </c>
      <c r="G296" s="61" t="s">
        <v>273</v>
      </c>
      <c r="H296" s="63">
        <v>9200.0</v>
      </c>
      <c r="I296" s="63"/>
      <c r="J296" s="63">
        <f>SUMIFS('SỔ CHI TIẾT BÁN HÀNG'!$G$5:$G$2062,'SỔ CHI TIẾT BÁN HÀNG'!$C$5:$C$2062,'Đơn đặt'!F296,'SỔ CHI TIẾT BÁN HÀNG'!$L$5:$L$2062,'Đơn đặt'!C296)</f>
        <v>0</v>
      </c>
      <c r="K296" s="63">
        <f t="shared" si="6"/>
        <v>9200</v>
      </c>
      <c r="L296" s="86">
        <f t="shared" si="7"/>
        <v>0</v>
      </c>
      <c r="M296" s="72"/>
      <c r="N296" s="72"/>
      <c r="O296" s="74"/>
      <c r="P296" s="74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51" t="s">
        <v>186</v>
      </c>
      <c r="B297" s="53">
        <v>46218.0</v>
      </c>
      <c r="C297" s="57" t="str">
        <f t="shared" si="2"/>
        <v>07-07/TS 86-2026/TS-AVP/ĐĐHHH-CT00046</v>
      </c>
      <c r="D297" s="85" t="s">
        <v>811</v>
      </c>
      <c r="E297" s="37" t="s">
        <v>880</v>
      </c>
      <c r="F297" s="59" t="s">
        <v>266</v>
      </c>
      <c r="G297" s="61" t="s">
        <v>516</v>
      </c>
      <c r="H297" s="63">
        <v>9200.0</v>
      </c>
      <c r="I297" s="63"/>
      <c r="J297" s="63">
        <f>SUMIFS('SỔ CHI TIẾT BÁN HÀNG'!$G$5:$G$2062,'SỔ CHI TIẾT BÁN HÀNG'!$C$5:$C$2062,'Đơn đặt'!F297,'SỔ CHI TIẾT BÁN HÀNG'!$L$5:$L$2062,'Đơn đặt'!C297)</f>
        <v>0</v>
      </c>
      <c r="K297" s="63">
        <f t="shared" si="6"/>
        <v>9200</v>
      </c>
      <c r="L297" s="86">
        <f t="shared" si="7"/>
        <v>0</v>
      </c>
      <c r="M297" s="72"/>
      <c r="N297" s="72"/>
      <c r="O297" s="74"/>
      <c r="P297" s="74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51" t="s">
        <v>186</v>
      </c>
      <c r="B298" s="53">
        <v>46218.0</v>
      </c>
      <c r="C298" s="57" t="str">
        <f t="shared" si="2"/>
        <v>07-07/TS 86-2026/TS-AVP/ĐĐHHH-CT00025</v>
      </c>
      <c r="D298" s="85" t="s">
        <v>811</v>
      </c>
      <c r="E298" s="37" t="s">
        <v>880</v>
      </c>
      <c r="F298" s="59" t="s">
        <v>119</v>
      </c>
      <c r="G298" s="61" t="s">
        <v>886</v>
      </c>
      <c r="H298" s="63">
        <v>36800.0</v>
      </c>
      <c r="I298" s="63"/>
      <c r="J298" s="63">
        <f>SUMIFS('SỔ CHI TIẾT BÁN HÀNG'!$G$5:$G$2062,'SỔ CHI TIẾT BÁN HÀNG'!$C$5:$C$2062,'Đơn đặt'!F298,'SỔ CHI TIẾT BÁN HÀNG'!$L$5:$L$2062,'Đơn đặt'!C298)</f>
        <v>0</v>
      </c>
      <c r="K298" s="63">
        <f t="shared" si="6"/>
        <v>36800</v>
      </c>
      <c r="L298" s="86">
        <f t="shared" si="7"/>
        <v>0</v>
      </c>
      <c r="M298" s="72"/>
      <c r="N298" s="72"/>
      <c r="O298" s="74"/>
      <c r="P298" s="74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hidden="1" customHeight="1">
      <c r="A299" s="51" t="s">
        <v>186</v>
      </c>
      <c r="B299" s="53">
        <v>46223.0</v>
      </c>
      <c r="C299" s="57" t="str">
        <f t="shared" si="2"/>
        <v>07-33/TS 87-2026/TS-AVP/ĐĐHTP-PE00009</v>
      </c>
      <c r="D299" s="85" t="s">
        <v>888</v>
      </c>
      <c r="E299" s="37" t="s">
        <v>889</v>
      </c>
      <c r="F299" s="59" t="s">
        <v>295</v>
      </c>
      <c r="G299" s="61" t="s">
        <v>296</v>
      </c>
      <c r="H299" s="63">
        <v>1000.0</v>
      </c>
      <c r="I299" s="63"/>
      <c r="J299" s="63">
        <f>SUMIFS('SỔ CHI TIẾT BÁN HÀNG'!$G$5:$G$2062,'SỔ CHI TIẾT BÁN HÀNG'!$C$5:$C$2062,'Đơn đặt'!F299,'SỔ CHI TIẾT BÁN HÀNG'!$L$5:$L$2062,'Đơn đặt'!C299)</f>
        <v>1000</v>
      </c>
      <c r="K299" s="63">
        <f t="shared" si="6"/>
        <v>0</v>
      </c>
      <c r="L299" s="86">
        <f t="shared" si="7"/>
        <v>0</v>
      </c>
      <c r="M299" s="72"/>
      <c r="N299" s="72"/>
      <c r="O299" s="74"/>
      <c r="P299" s="74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hidden="1" customHeight="1">
      <c r="A300" s="51" t="s">
        <v>186</v>
      </c>
      <c r="B300" s="53">
        <v>46223.0</v>
      </c>
      <c r="C300" s="57" t="str">
        <f t="shared" si="2"/>
        <v>07-33/TS 87-2026/TS-AVP/ĐĐHTP-PE00002</v>
      </c>
      <c r="D300" s="85" t="s">
        <v>888</v>
      </c>
      <c r="E300" s="37" t="s">
        <v>889</v>
      </c>
      <c r="F300" s="59" t="s">
        <v>299</v>
      </c>
      <c r="G300" s="61" t="s">
        <v>300</v>
      </c>
      <c r="H300" s="63">
        <v>1000.0</v>
      </c>
      <c r="I300" s="63"/>
      <c r="J300" s="63">
        <f>SUMIFS('SỔ CHI TIẾT BÁN HÀNG'!$G$5:$G$2062,'SỔ CHI TIẾT BÁN HÀNG'!$C$5:$C$2062,'Đơn đặt'!F300,'SỔ CHI TIẾT BÁN HÀNG'!$L$5:$L$2062,'Đơn đặt'!C300)</f>
        <v>0</v>
      </c>
      <c r="K300" s="63">
        <f t="shared" si="6"/>
        <v>1000</v>
      </c>
      <c r="L300" s="86">
        <f t="shared" si="7"/>
        <v>0</v>
      </c>
      <c r="M300" s="72"/>
      <c r="N300" s="72"/>
      <c r="O300" s="74"/>
      <c r="P300" s="74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hidden="1" customHeight="1">
      <c r="A301" s="51" t="s">
        <v>186</v>
      </c>
      <c r="B301" s="53">
        <v>46223.0</v>
      </c>
      <c r="C301" s="57" t="str">
        <f t="shared" si="2"/>
        <v>07-11/TS 88-2026/TS-AVP/ĐĐHHH-CT00064</v>
      </c>
      <c r="D301" s="85" t="s">
        <v>893</v>
      </c>
      <c r="E301" s="37" t="s">
        <v>894</v>
      </c>
      <c r="F301" s="59" t="s">
        <v>77</v>
      </c>
      <c r="G301" s="61" t="s">
        <v>858</v>
      </c>
      <c r="H301" s="63">
        <v>12310.0</v>
      </c>
      <c r="I301" s="63"/>
      <c r="J301" s="63">
        <f>SUMIFS('SỔ CHI TIẾT BÁN HÀNG'!$G$5:$G$2062,'SỔ CHI TIẾT BÁN HÀNG'!$C$5:$C$2062,'Đơn đặt'!F301,'SỔ CHI TIẾT BÁN HÀNG'!$L$5:$L$2062,'Đơn đặt'!C301)</f>
        <v>1000</v>
      </c>
      <c r="K301" s="63">
        <f t="shared" si="6"/>
        <v>11310</v>
      </c>
      <c r="L301" s="86">
        <f t="shared" si="7"/>
        <v>0</v>
      </c>
      <c r="M301" s="72"/>
      <c r="N301" s="72"/>
      <c r="O301" s="74"/>
      <c r="P301" s="74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hidden="1" customHeight="1">
      <c r="A302" s="51" t="s">
        <v>186</v>
      </c>
      <c r="B302" s="53">
        <v>46226.0</v>
      </c>
      <c r="C302" s="57" t="str">
        <f t="shared" si="2"/>
        <v>08-07/TS-LP 89-2026/TS-AVP/ĐĐHHH-NT00013</v>
      </c>
      <c r="D302" s="85" t="s">
        <v>896</v>
      </c>
      <c r="E302" s="37" t="s">
        <v>897</v>
      </c>
      <c r="F302" s="59" t="str">
        <f>VLOOKUP(G302,Sheet1!E:F,2,0)</f>
        <v>HH-NT00013</v>
      </c>
      <c r="G302" s="61" t="s">
        <v>5</v>
      </c>
      <c r="H302" s="63">
        <v>1200000.0</v>
      </c>
      <c r="I302" s="63"/>
      <c r="J302" s="63">
        <f>SUMIFS('SỔ CHI TIẾT BÁN HÀNG'!$G$5:$G$2062,'SỔ CHI TIẾT BÁN HÀNG'!$C$5:$C$2062,'Đơn đặt'!F302,'SỔ CHI TIẾT BÁN HÀNG'!$L$5:$L$2062,'Đơn đặt'!C302)</f>
        <v>0</v>
      </c>
      <c r="K302" s="63">
        <f t="shared" si="6"/>
        <v>1200000</v>
      </c>
      <c r="L302" s="86">
        <f t="shared" si="7"/>
        <v>0</v>
      </c>
      <c r="M302" s="72"/>
      <c r="N302" s="72"/>
      <c r="O302" s="74"/>
      <c r="P302" s="74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hidden="1" customHeight="1">
      <c r="A303" s="51" t="s">
        <v>186</v>
      </c>
      <c r="B303" s="53">
        <v>46226.0</v>
      </c>
      <c r="C303" s="57" t="str">
        <f t="shared" si="2"/>
        <v>08-07/TS-LP 89-2026/TS-AVP/ĐĐHHH-NT00011</v>
      </c>
      <c r="D303" s="85" t="s">
        <v>896</v>
      </c>
      <c r="E303" s="37" t="s">
        <v>897</v>
      </c>
      <c r="F303" s="59" t="str">
        <f>VLOOKUP(G303,Sheet1!E:F,2,0)</f>
        <v>HH-NT00011</v>
      </c>
      <c r="G303" s="61" t="s">
        <v>7</v>
      </c>
      <c r="H303" s="63">
        <v>1000000.0</v>
      </c>
      <c r="I303" s="63"/>
      <c r="J303" s="63">
        <f>SUMIFS('SỔ CHI TIẾT BÁN HÀNG'!$G$5:$G$2062,'SỔ CHI TIẾT BÁN HÀNG'!$C$5:$C$2062,'Đơn đặt'!F303,'SỔ CHI TIẾT BÁN HÀNG'!$L$5:$L$2062,'Đơn đặt'!C303)</f>
        <v>0</v>
      </c>
      <c r="K303" s="63">
        <f t="shared" si="6"/>
        <v>1000000</v>
      </c>
      <c r="L303" s="86">
        <f t="shared" si="7"/>
        <v>0</v>
      </c>
      <c r="M303" s="72"/>
      <c r="N303" s="72"/>
      <c r="O303" s="74"/>
      <c r="P303" s="74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hidden="1" customHeight="1">
      <c r="A304" s="51" t="s">
        <v>186</v>
      </c>
      <c r="B304" s="53">
        <v>46225.0</v>
      </c>
      <c r="C304" s="57" t="str">
        <f t="shared" si="2"/>
        <v>07-12/TS 90-2026/TS-AVP/ĐĐHHH-CT00095</v>
      </c>
      <c r="D304" s="85" t="s">
        <v>901</v>
      </c>
      <c r="E304" s="37" t="s">
        <v>902</v>
      </c>
      <c r="F304" s="59" t="s">
        <v>196</v>
      </c>
      <c r="G304" s="61" t="s">
        <v>197</v>
      </c>
      <c r="H304" s="63">
        <v>2130.0</v>
      </c>
      <c r="I304" s="63"/>
      <c r="J304" s="63">
        <f>SUMIFS('SỔ CHI TIẾT BÁN HÀNG'!$G$5:$G$2062,'SỔ CHI TIẾT BÁN HÀNG'!$C$5:$C$2062,'Đơn đặt'!F304,'SỔ CHI TIẾT BÁN HÀNG'!$L$5:$L$2062,'Đơn đặt'!C304)</f>
        <v>0</v>
      </c>
      <c r="K304" s="63">
        <f t="shared" si="6"/>
        <v>2130</v>
      </c>
      <c r="L304" s="86">
        <f t="shared" si="7"/>
        <v>0</v>
      </c>
      <c r="M304" s="72"/>
      <c r="N304" s="72"/>
      <c r="O304" s="74"/>
      <c r="P304" s="74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hidden="1" customHeight="1">
      <c r="A305" s="51" t="s">
        <v>186</v>
      </c>
      <c r="B305" s="53">
        <v>46226.0</v>
      </c>
      <c r="C305" s="57" t="str">
        <f t="shared" si="2"/>
        <v>07-14/TS 91-2026/TS-AVP/ĐĐHHH-CT00028</v>
      </c>
      <c r="D305" s="85" t="s">
        <v>904</v>
      </c>
      <c r="E305" s="37" t="s">
        <v>905</v>
      </c>
      <c r="F305" s="59" t="str">
        <f>VLOOKUP(G305,Sheet1!E:F,2,0)</f>
        <v>HH-CT00028</v>
      </c>
      <c r="G305" s="61" t="s">
        <v>19</v>
      </c>
      <c r="H305" s="63">
        <v>2400.0</v>
      </c>
      <c r="I305" s="63"/>
      <c r="J305" s="63">
        <f>SUMIFS('SỔ CHI TIẾT BÁN HÀNG'!$G$5:$G$2062,'SỔ CHI TIẾT BÁN HÀNG'!$C$5:$C$2062,'Đơn đặt'!F305,'SỔ CHI TIẾT BÁN HÀNG'!$L$5:$L$2062,'Đơn đặt'!C305)</f>
        <v>0</v>
      </c>
      <c r="K305" s="63">
        <f t="shared" si="6"/>
        <v>2400</v>
      </c>
      <c r="L305" s="86">
        <f t="shared" si="7"/>
        <v>0</v>
      </c>
      <c r="M305" s="72"/>
      <c r="N305" s="72"/>
      <c r="O305" s="74"/>
      <c r="P305" s="74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hidden="1" customHeight="1">
      <c r="A306" s="51" t="s">
        <v>186</v>
      </c>
      <c r="B306" s="53">
        <v>46226.0</v>
      </c>
      <c r="C306" s="57" t="str">
        <f t="shared" si="2"/>
        <v>07-14/TS 91-2026/TS-AVP/ĐĐHHH-CT00006</v>
      </c>
      <c r="D306" s="85" t="s">
        <v>904</v>
      </c>
      <c r="E306" s="37" t="s">
        <v>905</v>
      </c>
      <c r="F306" s="59" t="str">
        <f>VLOOKUP(G306,Sheet1!E:F,2,0)</f>
        <v>HH-CT00006</v>
      </c>
      <c r="G306" s="61" t="s">
        <v>34</v>
      </c>
      <c r="H306" s="63">
        <v>1500.0</v>
      </c>
      <c r="I306" s="63"/>
      <c r="J306" s="63">
        <f>SUMIFS('SỔ CHI TIẾT BÁN HÀNG'!$G$5:$G$2062,'SỔ CHI TIẾT BÁN HÀNG'!$C$5:$C$2062,'Đơn đặt'!F306,'SỔ CHI TIẾT BÁN HÀNG'!$L$5:$L$2062,'Đơn đặt'!C306)</f>
        <v>0</v>
      </c>
      <c r="K306" s="63">
        <f t="shared" si="6"/>
        <v>1500</v>
      </c>
      <c r="L306" s="86">
        <f t="shared" si="7"/>
        <v>0</v>
      </c>
      <c r="M306" s="72"/>
      <c r="N306" s="72"/>
      <c r="O306" s="74"/>
      <c r="P306" s="74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hidden="1" customHeight="1">
      <c r="A307" s="51" t="s">
        <v>186</v>
      </c>
      <c r="B307" s="53">
        <v>46226.0</v>
      </c>
      <c r="C307" s="57" t="str">
        <f t="shared" si="2"/>
        <v>07-14/TS 91-2026/TS-AVP/ĐĐHHH-CT00027</v>
      </c>
      <c r="D307" s="85" t="s">
        <v>904</v>
      </c>
      <c r="E307" s="37" t="s">
        <v>905</v>
      </c>
      <c r="F307" s="59" t="s">
        <v>316</v>
      </c>
      <c r="G307" s="61" t="s">
        <v>909</v>
      </c>
      <c r="H307" s="63">
        <v>180.0</v>
      </c>
      <c r="I307" s="63"/>
      <c r="J307" s="63">
        <f>SUMIFS('SỔ CHI TIẾT BÁN HÀNG'!$G$5:$G$2062,'SỔ CHI TIẾT BÁN HÀNG'!$C$5:$C$2062,'Đơn đặt'!F307,'SỔ CHI TIẾT BÁN HÀNG'!$L$5:$L$2062,'Đơn đặt'!C307)</f>
        <v>180</v>
      </c>
      <c r="K307" s="63">
        <f t="shared" si="6"/>
        <v>0</v>
      </c>
      <c r="L307" s="86">
        <f t="shared" si="7"/>
        <v>0</v>
      </c>
      <c r="M307" s="72"/>
      <c r="N307" s="72"/>
      <c r="O307" s="74"/>
      <c r="P307" s="74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hidden="1" customHeight="1">
      <c r="A308" s="51" t="s">
        <v>186</v>
      </c>
      <c r="B308" s="53">
        <v>46226.0</v>
      </c>
      <c r="C308" s="57" t="str">
        <f t="shared" si="2"/>
        <v>07-14/TS 92-2026/TS-AVP/ĐĐHHH-CT00007</v>
      </c>
      <c r="D308" s="85" t="s">
        <v>904</v>
      </c>
      <c r="E308" s="37" t="s">
        <v>910</v>
      </c>
      <c r="F308" s="59" t="str">
        <f>VLOOKUP(G308,Sheet1!E:F,2,0)</f>
        <v>HH-CT00007</v>
      </c>
      <c r="G308" s="61" t="s">
        <v>47</v>
      </c>
      <c r="H308" s="63">
        <v>92000.0</v>
      </c>
      <c r="I308" s="63"/>
      <c r="J308" s="63">
        <f>SUMIFS('SỔ CHI TIẾT BÁN HÀNG'!$G$5:$G$2062,'SỔ CHI TIẾT BÁN HÀNG'!$C$5:$C$2062,'Đơn đặt'!F308,'SỔ CHI TIẾT BÁN HÀNG'!$L$5:$L$2062,'Đơn đặt'!C308)</f>
        <v>0</v>
      </c>
      <c r="K308" s="63">
        <f t="shared" si="6"/>
        <v>92000</v>
      </c>
      <c r="L308" s="86">
        <f t="shared" si="7"/>
        <v>0</v>
      </c>
      <c r="M308" s="72"/>
      <c r="N308" s="72"/>
      <c r="O308" s="74"/>
      <c r="P308" s="74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hidden="1" customHeight="1">
      <c r="A309" s="51" t="s">
        <v>186</v>
      </c>
      <c r="B309" s="53">
        <v>46226.0</v>
      </c>
      <c r="C309" s="57" t="str">
        <f t="shared" si="2"/>
        <v>07-14/TS 92-2026/TS-AVP/ĐĐHHH-CT00008</v>
      </c>
      <c r="D309" s="85" t="s">
        <v>904</v>
      </c>
      <c r="E309" s="37" t="s">
        <v>910</v>
      </c>
      <c r="F309" s="59" t="str">
        <f>VLOOKUP(G309,Sheet1!E:F,2,0)</f>
        <v>HH-CT00008</v>
      </c>
      <c r="G309" s="61" t="s">
        <v>49</v>
      </c>
      <c r="H309" s="63">
        <v>23000.0</v>
      </c>
      <c r="I309" s="63"/>
      <c r="J309" s="63">
        <f>SUMIFS('SỔ CHI TIẾT BÁN HÀNG'!$G$5:$G$2062,'SỔ CHI TIẾT BÁN HÀNG'!$C$5:$C$2062,'Đơn đặt'!F309,'SỔ CHI TIẾT BÁN HÀNG'!$L$5:$L$2062,'Đơn đặt'!C309)</f>
        <v>0</v>
      </c>
      <c r="K309" s="63">
        <f t="shared" si="6"/>
        <v>23000</v>
      </c>
      <c r="L309" s="86">
        <f t="shared" si="7"/>
        <v>0</v>
      </c>
      <c r="M309" s="72"/>
      <c r="N309" s="72"/>
      <c r="O309" s="74"/>
      <c r="P309" s="74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hidden="1" customHeight="1">
      <c r="A310" s="51" t="s">
        <v>186</v>
      </c>
      <c r="B310" s="53">
        <v>46226.0</v>
      </c>
      <c r="C310" s="57" t="str">
        <f t="shared" si="2"/>
        <v>07-14/TS 91-2026/TS-AVP/ĐĐHHH-CT00131</v>
      </c>
      <c r="D310" s="85" t="s">
        <v>904</v>
      </c>
      <c r="E310" s="37" t="s">
        <v>905</v>
      </c>
      <c r="F310" s="59" t="str">
        <f>VLOOKUP(G310,Sheet1!E:F,2,0)</f>
        <v>HH-CT00131</v>
      </c>
      <c r="G310" s="61" t="s">
        <v>58</v>
      </c>
      <c r="H310" s="63">
        <v>40000.0</v>
      </c>
      <c r="I310" s="63"/>
      <c r="J310" s="63">
        <f>SUMIFS('SỔ CHI TIẾT BÁN HÀNG'!$G$5:$G$2062,'SỔ CHI TIẾT BÁN HÀNG'!$C$5:$C$2062,'Đơn đặt'!F310,'SỔ CHI TIẾT BÁN HÀNG'!$L$5:$L$2062,'Đơn đặt'!C310)</f>
        <v>0</v>
      </c>
      <c r="K310" s="63">
        <f t="shared" si="6"/>
        <v>40000</v>
      </c>
      <c r="L310" s="86">
        <f t="shared" si="7"/>
        <v>0</v>
      </c>
      <c r="M310" s="72"/>
      <c r="N310" s="72"/>
      <c r="O310" s="74"/>
      <c r="P310" s="74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hidden="1" customHeight="1">
      <c r="A311" s="51" t="s">
        <v>186</v>
      </c>
      <c r="B311" s="53">
        <v>46226.0</v>
      </c>
      <c r="C311" s="57" t="str">
        <f t="shared" si="2"/>
        <v>07-14/TS 92-2026/TS-AVP/ĐĐHHH-CT00052</v>
      </c>
      <c r="D311" s="85" t="s">
        <v>904</v>
      </c>
      <c r="E311" s="37" t="s">
        <v>910</v>
      </c>
      <c r="F311" s="59" t="s">
        <v>436</v>
      </c>
      <c r="G311" s="61" t="s">
        <v>437</v>
      </c>
      <c r="H311" s="63">
        <v>200.0</v>
      </c>
      <c r="I311" s="63"/>
      <c r="J311" s="63">
        <f>SUMIFS('SỔ CHI TIẾT BÁN HÀNG'!$G$5:$G$2062,'SỔ CHI TIẾT BÁN HÀNG'!$C$5:$C$2062,'Đơn đặt'!F311,'SỔ CHI TIẾT BÁN HÀNG'!$L$5:$L$2062,'Đơn đặt'!C311)</f>
        <v>200</v>
      </c>
      <c r="K311" s="63">
        <f t="shared" si="6"/>
        <v>0</v>
      </c>
      <c r="L311" s="86">
        <f t="shared" si="7"/>
        <v>0</v>
      </c>
      <c r="M311" s="72"/>
      <c r="N311" s="72"/>
      <c r="O311" s="74"/>
      <c r="P311" s="74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hidden="1" customHeight="1">
      <c r="A312" s="51" t="s">
        <v>186</v>
      </c>
      <c r="B312" s="53">
        <v>46226.0</v>
      </c>
      <c r="C312" s="57" t="str">
        <f t="shared" si="2"/>
        <v>07-14/TS 91-2026/TS-AVP/ĐĐHHH-CT00036</v>
      </c>
      <c r="D312" s="85" t="s">
        <v>904</v>
      </c>
      <c r="E312" s="37" t="s">
        <v>905</v>
      </c>
      <c r="F312" s="59" t="str">
        <f>VLOOKUP(G312,Sheet1!E:F,2,0)</f>
        <v>HH-CT00036</v>
      </c>
      <c r="G312" s="61" t="s">
        <v>13</v>
      </c>
      <c r="H312" s="63">
        <v>12000.0</v>
      </c>
      <c r="I312" s="63"/>
      <c r="J312" s="63">
        <f>SUMIFS('SỔ CHI TIẾT BÁN HÀNG'!$G$5:$G$2062,'SỔ CHI TIẾT BÁN HÀNG'!$C$5:$C$2062,'Đơn đặt'!F312,'SỔ CHI TIẾT BÁN HÀNG'!$L$5:$L$2062,'Đơn đặt'!C312)</f>
        <v>0</v>
      </c>
      <c r="K312" s="63">
        <f t="shared" si="6"/>
        <v>12000</v>
      </c>
      <c r="L312" s="86">
        <f t="shared" si="7"/>
        <v>0</v>
      </c>
      <c r="M312" s="72"/>
      <c r="N312" s="72"/>
      <c r="O312" s="74"/>
      <c r="P312" s="74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hidden="1" customHeight="1">
      <c r="A313" s="51" t="s">
        <v>186</v>
      </c>
      <c r="B313" s="53">
        <v>46226.0</v>
      </c>
      <c r="C313" s="57" t="str">
        <f t="shared" si="2"/>
        <v>07-14/TS 93-2026/TS-AVP/ĐĐHHH-CT00072</v>
      </c>
      <c r="D313" s="85" t="s">
        <v>904</v>
      </c>
      <c r="E313" s="37" t="s">
        <v>919</v>
      </c>
      <c r="F313" s="59" t="str">
        <f>VLOOKUP(G313,Sheet1!E:F,2,0)</f>
        <v>HH-CT00072</v>
      </c>
      <c r="G313" s="61" t="s">
        <v>53</v>
      </c>
      <c r="H313" s="63">
        <v>6000.0</v>
      </c>
      <c r="I313" s="63"/>
      <c r="J313" s="63">
        <f>SUMIFS('SỔ CHI TIẾT BÁN HÀNG'!$G$5:$G$2062,'SỔ CHI TIẾT BÁN HÀNG'!$C$5:$C$2062,'Đơn đặt'!F313,'SỔ CHI TIẾT BÁN HÀNG'!$L$5:$L$2062,'Đơn đặt'!C313)</f>
        <v>0</v>
      </c>
      <c r="K313" s="63">
        <f t="shared" si="6"/>
        <v>6000</v>
      </c>
      <c r="L313" s="86">
        <f t="shared" si="7"/>
        <v>0</v>
      </c>
      <c r="M313" s="72"/>
      <c r="N313" s="72"/>
      <c r="O313" s="74"/>
      <c r="P313" s="74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hidden="1" customHeight="1">
      <c r="A314" s="51" t="s">
        <v>186</v>
      </c>
      <c r="B314" s="53">
        <v>46226.0</v>
      </c>
      <c r="C314" s="57" t="str">
        <f t="shared" si="2"/>
        <v>07-14/TS 91-2026/TS-AVP/ĐĐHHH-CT00078</v>
      </c>
      <c r="D314" s="85" t="s">
        <v>904</v>
      </c>
      <c r="E314" s="37" t="s">
        <v>905</v>
      </c>
      <c r="F314" s="59" t="str">
        <f>VLOOKUP(G314,Sheet1!E:F,2,0)</f>
        <v>HH-CT00078</v>
      </c>
      <c r="G314" s="61" t="s">
        <v>40</v>
      </c>
      <c r="H314" s="63">
        <v>500.0</v>
      </c>
      <c r="I314" s="63"/>
      <c r="J314" s="63">
        <f>SUMIFS('SỔ CHI TIẾT BÁN HÀNG'!$G$5:$G$2062,'SỔ CHI TIẾT BÁN HÀNG'!$C$5:$C$2062,'Đơn đặt'!F314,'SỔ CHI TIẾT BÁN HÀNG'!$L$5:$L$2062,'Đơn đặt'!C314)</f>
        <v>0</v>
      </c>
      <c r="K314" s="63">
        <f t="shared" si="6"/>
        <v>500</v>
      </c>
      <c r="L314" s="86">
        <f t="shared" si="7"/>
        <v>0</v>
      </c>
      <c r="M314" s="72"/>
      <c r="N314" s="72"/>
      <c r="O314" s="74"/>
      <c r="P314" s="74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hidden="1" customHeight="1">
      <c r="A315" s="51" t="s">
        <v>186</v>
      </c>
      <c r="B315" s="53">
        <v>46226.0</v>
      </c>
      <c r="C315" s="57" t="str">
        <f t="shared" si="2"/>
        <v>07-14/TS 91-2026/TS-AVP/ĐĐHHH-CT00075</v>
      </c>
      <c r="D315" s="85" t="s">
        <v>904</v>
      </c>
      <c r="E315" s="37" t="s">
        <v>905</v>
      </c>
      <c r="F315" s="59" t="s">
        <v>244</v>
      </c>
      <c r="G315" s="61" t="s">
        <v>245</v>
      </c>
      <c r="H315" s="63">
        <v>1900.0</v>
      </c>
      <c r="I315" s="63"/>
      <c r="J315" s="63">
        <f>SUMIFS('SỔ CHI TIẾT BÁN HÀNG'!$G$5:$G$2062,'SỔ CHI TIẾT BÁN HÀNG'!$C$5:$C$2062,'Đơn đặt'!F315,'SỔ CHI TIẾT BÁN HÀNG'!$L$5:$L$2062,'Đơn đặt'!C315)</f>
        <v>0</v>
      </c>
      <c r="K315" s="63">
        <f t="shared" si="6"/>
        <v>1900</v>
      </c>
      <c r="L315" s="86">
        <f t="shared" si="7"/>
        <v>0</v>
      </c>
      <c r="M315" s="72"/>
      <c r="N315" s="72"/>
      <c r="O315" s="74"/>
      <c r="P315" s="74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hidden="1" customHeight="1">
      <c r="A316" s="51" t="s">
        <v>186</v>
      </c>
      <c r="B316" s="53">
        <v>46226.0</v>
      </c>
      <c r="C316" s="57" t="str">
        <f t="shared" si="2"/>
        <v>07-14/TS 91-2026/TS-AVP/ĐĐHHH-CT00073</v>
      </c>
      <c r="D316" s="85" t="s">
        <v>904</v>
      </c>
      <c r="E316" s="37" t="s">
        <v>905</v>
      </c>
      <c r="F316" s="59" t="s">
        <v>402</v>
      </c>
      <c r="G316" s="61" t="s">
        <v>403</v>
      </c>
      <c r="H316" s="63">
        <v>1280.0</v>
      </c>
      <c r="I316" s="63"/>
      <c r="J316" s="63">
        <f>SUMIFS('SỔ CHI TIẾT BÁN HÀNG'!$G$5:$G$2062,'SỔ CHI TIẾT BÁN HÀNG'!$C$5:$C$2062,'Đơn đặt'!F316,'SỔ CHI TIẾT BÁN HÀNG'!$L$5:$L$2062,'Đơn đặt'!C316)</f>
        <v>1280</v>
      </c>
      <c r="K316" s="63">
        <f t="shared" si="6"/>
        <v>0</v>
      </c>
      <c r="L316" s="86">
        <f t="shared" si="7"/>
        <v>0</v>
      </c>
      <c r="M316" s="72"/>
      <c r="N316" s="72"/>
      <c r="O316" s="74"/>
      <c r="P316" s="74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hidden="1" customHeight="1">
      <c r="A317" s="51" t="s">
        <v>186</v>
      </c>
      <c r="B317" s="53">
        <v>46226.0</v>
      </c>
      <c r="C317" s="57" t="str">
        <f t="shared" si="2"/>
        <v>07-14/TS 91-2026/TS-AVP/ĐĐHHH-CT00077</v>
      </c>
      <c r="D317" s="85" t="s">
        <v>904</v>
      </c>
      <c r="E317" s="37" t="s">
        <v>905</v>
      </c>
      <c r="F317" s="59" t="s">
        <v>329</v>
      </c>
      <c r="G317" s="61" t="s">
        <v>461</v>
      </c>
      <c r="H317" s="63">
        <v>300.0</v>
      </c>
      <c r="I317" s="63"/>
      <c r="J317" s="63">
        <f>SUMIFS('SỔ CHI TIẾT BÁN HÀNG'!$G$5:$G$2062,'SỔ CHI TIẾT BÁN HÀNG'!$C$5:$C$2062,'Đơn đặt'!F317,'SỔ CHI TIẾT BÁN HÀNG'!$L$5:$L$2062,'Đơn đặt'!C317)</f>
        <v>0</v>
      </c>
      <c r="K317" s="63">
        <f t="shared" si="6"/>
        <v>300</v>
      </c>
      <c r="L317" s="86">
        <f t="shared" si="7"/>
        <v>0</v>
      </c>
      <c r="M317" s="72"/>
      <c r="N317" s="72"/>
      <c r="O317" s="74"/>
      <c r="P317" s="74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hidden="1" customHeight="1">
      <c r="A318" s="51" t="s">
        <v>186</v>
      </c>
      <c r="B318" s="53">
        <v>46226.0</v>
      </c>
      <c r="C318" s="57" t="str">
        <f t="shared" si="2"/>
        <v>07-14/TS 91-2026/TS-AVP/ĐĐHHH-CT00081</v>
      </c>
      <c r="D318" s="85" t="s">
        <v>904</v>
      </c>
      <c r="E318" s="37" t="s">
        <v>905</v>
      </c>
      <c r="F318" s="59" t="str">
        <f>VLOOKUP(G318,Sheet1!E:F,2,0)</f>
        <v>HH-CT00081</v>
      </c>
      <c r="G318" s="61" t="s">
        <v>16</v>
      </c>
      <c r="H318" s="63">
        <v>850.0</v>
      </c>
      <c r="I318" s="63"/>
      <c r="J318" s="63">
        <f>SUMIFS('SỔ CHI TIẾT BÁN HÀNG'!$G$5:$G$2062,'SỔ CHI TIẾT BÁN HÀNG'!$C$5:$C$2062,'Đơn đặt'!F318,'SỔ CHI TIẾT BÁN HÀNG'!$L$5:$L$2062,'Đơn đặt'!C318)</f>
        <v>0</v>
      </c>
      <c r="K318" s="63">
        <f t="shared" si="6"/>
        <v>850</v>
      </c>
      <c r="L318" s="86">
        <f t="shared" si="7"/>
        <v>0</v>
      </c>
      <c r="M318" s="72"/>
      <c r="N318" s="72"/>
      <c r="O318" s="74"/>
      <c r="P318" s="74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hidden="1" customHeight="1">
      <c r="A319" s="51" t="s">
        <v>186</v>
      </c>
      <c r="B319" s="53">
        <v>46226.0</v>
      </c>
      <c r="C319" s="57" t="str">
        <f t="shared" si="2"/>
        <v>07-14/TS 91-2026/TS-AVP/ĐĐHHH-CT00002</v>
      </c>
      <c r="D319" s="85" t="s">
        <v>904</v>
      </c>
      <c r="E319" s="37" t="s">
        <v>905</v>
      </c>
      <c r="F319" s="59" t="s">
        <v>423</v>
      </c>
      <c r="G319" s="61" t="s">
        <v>424</v>
      </c>
      <c r="H319" s="63">
        <v>150.0</v>
      </c>
      <c r="I319" s="63"/>
      <c r="J319" s="63">
        <f>SUMIFS('SỔ CHI TIẾT BÁN HÀNG'!$G$5:$G$2062,'SỔ CHI TIẾT BÁN HÀNG'!$C$5:$C$2062,'Đơn đặt'!F319,'SỔ CHI TIẾT BÁN HÀNG'!$L$5:$L$2062,'Đơn đặt'!C319)</f>
        <v>150</v>
      </c>
      <c r="K319" s="63">
        <f t="shared" si="6"/>
        <v>0</v>
      </c>
      <c r="L319" s="86">
        <f t="shared" si="7"/>
        <v>0</v>
      </c>
      <c r="M319" s="72"/>
      <c r="N319" s="72"/>
      <c r="O319" s="74"/>
      <c r="P319" s="74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hidden="1" customHeight="1">
      <c r="A320" s="51" t="s">
        <v>186</v>
      </c>
      <c r="B320" s="53">
        <v>46233.0</v>
      </c>
      <c r="C320" s="57" t="str">
        <f t="shared" si="2"/>
        <v>08-14/TS 94-2026/TS-AVP/ĐĐHTP-PE00001</v>
      </c>
      <c r="D320" s="85" t="s">
        <v>929</v>
      </c>
      <c r="E320" s="37" t="s">
        <v>930</v>
      </c>
      <c r="F320" s="59" t="str">
        <f>VLOOKUP(G320,Sheet1!E:F,2,0)</f>
        <v>TP-PE00001</v>
      </c>
      <c r="G320" s="61" t="s">
        <v>4</v>
      </c>
      <c r="H320" s="63">
        <v>7000.0</v>
      </c>
      <c r="I320" s="63"/>
      <c r="J320" s="63">
        <f>SUMIFS('SỔ CHI TIẾT BÁN HÀNG'!$G$5:$G$2062,'SỔ CHI TIẾT BÁN HÀNG'!$C$5:$C$2062,'Đơn đặt'!F320,'SỔ CHI TIẾT BÁN HÀNG'!$L$5:$L$2062,'Đơn đặt'!C320)</f>
        <v>0</v>
      </c>
      <c r="K320" s="63">
        <f t="shared" si="6"/>
        <v>7000</v>
      </c>
      <c r="L320" s="86">
        <f t="shared" si="7"/>
        <v>0</v>
      </c>
      <c r="M320" s="72"/>
      <c r="N320" s="72"/>
      <c r="O320" s="74"/>
      <c r="P320" s="74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hidden="1" customHeight="1">
      <c r="A321" s="51" t="s">
        <v>186</v>
      </c>
      <c r="B321" s="53">
        <v>46233.0</v>
      </c>
      <c r="C321" s="57" t="str">
        <f t="shared" si="2"/>
        <v>08-14/TS 94-2026/TS-AVP/ĐĐHTP-PE00009</v>
      </c>
      <c r="D321" s="85" t="s">
        <v>929</v>
      </c>
      <c r="E321" s="37" t="s">
        <v>930</v>
      </c>
      <c r="F321" s="59" t="s">
        <v>295</v>
      </c>
      <c r="G321" s="61" t="s">
        <v>932</v>
      </c>
      <c r="H321" s="63">
        <v>1000.0</v>
      </c>
      <c r="I321" s="63"/>
      <c r="J321" s="63">
        <f>SUMIFS('SỔ CHI TIẾT BÁN HÀNG'!$G$5:$G$2062,'SỔ CHI TIẾT BÁN HÀNG'!$C$5:$C$2062,'Đơn đặt'!F321,'SỔ CHI TIẾT BÁN HÀNG'!$L$5:$L$2062,'Đơn đặt'!C321)</f>
        <v>0</v>
      </c>
      <c r="K321" s="63">
        <f t="shared" si="6"/>
        <v>1000</v>
      </c>
      <c r="L321" s="86">
        <f t="shared" si="7"/>
        <v>0</v>
      </c>
      <c r="M321" s="72"/>
      <c r="N321" s="72"/>
      <c r="O321" s="74"/>
      <c r="P321" s="74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hidden="1" customHeight="1">
      <c r="A322" s="51" t="s">
        <v>186</v>
      </c>
      <c r="B322" s="53">
        <v>46233.0</v>
      </c>
      <c r="C322" s="57" t="str">
        <f t="shared" si="2"/>
        <v>08-14/TS 94-2026/TS-AVP/ĐĐHTP-PE00006</v>
      </c>
      <c r="D322" s="85" t="s">
        <v>929</v>
      </c>
      <c r="E322" s="37" t="s">
        <v>930</v>
      </c>
      <c r="F322" s="59" t="str">
        <f>VLOOKUP(G322,Sheet1!E:F,2,0)</f>
        <v>TP-PE00006</v>
      </c>
      <c r="G322" s="61" t="s">
        <v>0</v>
      </c>
      <c r="H322" s="63">
        <v>1000.0</v>
      </c>
      <c r="I322" s="63"/>
      <c r="J322" s="63">
        <f>SUMIFS('SỔ CHI TIẾT BÁN HÀNG'!$G$5:$G$2062,'SỔ CHI TIẾT BÁN HÀNG'!$C$5:$C$2062,'Đơn đặt'!F322,'SỔ CHI TIẾT BÁN HÀNG'!$L$5:$L$2062,'Đơn đặt'!C322)</f>
        <v>0</v>
      </c>
      <c r="K322" s="63">
        <f t="shared" si="6"/>
        <v>1000</v>
      </c>
      <c r="L322" s="86">
        <f t="shared" si="7"/>
        <v>0</v>
      </c>
      <c r="M322" s="72"/>
      <c r="N322" s="72"/>
      <c r="O322" s="74"/>
      <c r="P322" s="74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hidden="1" customHeight="1">
      <c r="A323" s="51" t="s">
        <v>186</v>
      </c>
      <c r="B323" s="53">
        <v>46233.0</v>
      </c>
      <c r="C323" s="57" t="str">
        <f t="shared" si="2"/>
        <v>08-14/TS 94-2026/TS-AVP/ĐĐH</v>
      </c>
      <c r="D323" s="85" t="s">
        <v>929</v>
      </c>
      <c r="E323" s="37" t="s">
        <v>930</v>
      </c>
      <c r="F323" s="59"/>
      <c r="G323" s="61" t="s">
        <v>300</v>
      </c>
      <c r="H323" s="63">
        <v>1000.0</v>
      </c>
      <c r="I323" s="63"/>
      <c r="J323" s="63">
        <f>SUMIFS('SỔ CHI TIẾT BÁN HÀNG'!$G$5:$G$2062,'SỔ CHI TIẾT BÁN HÀNG'!$C$5:$C$2062,'Đơn đặt'!F323,'SỔ CHI TIẾT BÁN HÀNG'!$L$5:$L$2062,'Đơn đặt'!C323)</f>
        <v>0</v>
      </c>
      <c r="K323" s="63">
        <f t="shared" si="6"/>
        <v>1000</v>
      </c>
      <c r="L323" s="86">
        <f t="shared" si="7"/>
        <v>0</v>
      </c>
      <c r="M323" s="72"/>
      <c r="N323" s="72"/>
      <c r="O323" s="74"/>
      <c r="P323" s="74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hidden="1" customHeight="1">
      <c r="A324" s="51" t="s">
        <v>186</v>
      </c>
      <c r="B324" s="53">
        <v>46233.0</v>
      </c>
      <c r="C324" s="57" t="str">
        <f t="shared" si="2"/>
        <v>08-14/TS 94-2026/TS-AVP/ĐĐHTP-PE00001</v>
      </c>
      <c r="D324" s="85" t="s">
        <v>929</v>
      </c>
      <c r="E324" s="37" t="s">
        <v>930</v>
      </c>
      <c r="F324" s="59" t="str">
        <f>VLOOKUP(G324,Sheet1!E:F,2,0)</f>
        <v>TP-PE00001</v>
      </c>
      <c r="G324" s="61" t="s">
        <v>2</v>
      </c>
      <c r="H324" s="63">
        <v>16000.0</v>
      </c>
      <c r="I324" s="63"/>
      <c r="J324" s="63">
        <f>SUMIFS('SỔ CHI TIẾT BÁN HÀNG'!$G$5:$G$2062,'SỔ CHI TIẾT BÁN HÀNG'!$C$5:$C$2062,'Đơn đặt'!F324,'SỔ CHI TIẾT BÁN HÀNG'!$L$5:$L$2062,'Đơn đặt'!C324)</f>
        <v>0</v>
      </c>
      <c r="K324" s="63">
        <f t="shared" si="6"/>
        <v>16000</v>
      </c>
      <c r="L324" s="86">
        <f t="shared" si="7"/>
        <v>0</v>
      </c>
      <c r="M324" s="72"/>
      <c r="N324" s="72"/>
      <c r="O324" s="74"/>
      <c r="P324" s="74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51"/>
      <c r="B325" s="53"/>
      <c r="C325" s="57"/>
      <c r="D325" s="51"/>
      <c r="E325" s="37"/>
      <c r="F325" s="59"/>
      <c r="G325" s="61"/>
      <c r="H325" s="63"/>
      <c r="I325" s="63"/>
      <c r="J325" s="63"/>
      <c r="K325" s="63"/>
      <c r="L325" s="86"/>
      <c r="M325" s="72"/>
      <c r="N325" s="72"/>
      <c r="O325" s="74"/>
      <c r="P325" s="74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51"/>
      <c r="B326" s="53"/>
      <c r="C326" s="57"/>
      <c r="D326" s="51"/>
      <c r="E326" s="37"/>
      <c r="F326" s="59"/>
      <c r="G326" s="61"/>
      <c r="H326" s="63"/>
      <c r="I326" s="63"/>
      <c r="J326" s="63"/>
      <c r="K326" s="63"/>
      <c r="L326" s="86"/>
      <c r="M326" s="72"/>
      <c r="N326" s="72"/>
      <c r="O326" s="74"/>
      <c r="P326" s="74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51"/>
      <c r="B327" s="53"/>
      <c r="C327" s="57"/>
      <c r="D327" s="51"/>
      <c r="E327" s="37"/>
      <c r="F327" s="59"/>
      <c r="G327" s="61"/>
      <c r="H327" s="63"/>
      <c r="I327" s="63"/>
      <c r="J327" s="63"/>
      <c r="K327" s="63"/>
      <c r="L327" s="86"/>
      <c r="M327" s="72"/>
      <c r="N327" s="72"/>
      <c r="O327" s="74"/>
      <c r="P327" s="74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51"/>
      <c r="B328" s="53"/>
      <c r="C328" s="57"/>
      <c r="D328" s="51"/>
      <c r="E328" s="37"/>
      <c r="F328" s="59"/>
      <c r="G328" s="61"/>
      <c r="H328" s="63"/>
      <c r="I328" s="63"/>
      <c r="J328" s="63"/>
      <c r="K328" s="63"/>
      <c r="L328" s="86"/>
      <c r="M328" s="72"/>
      <c r="N328" s="72"/>
      <c r="O328" s="74"/>
      <c r="P328" s="74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51"/>
      <c r="B329" s="53"/>
      <c r="C329" s="57"/>
      <c r="D329" s="51"/>
      <c r="E329" s="37"/>
      <c r="F329" s="59"/>
      <c r="G329" s="61"/>
      <c r="H329" s="63"/>
      <c r="I329" s="63"/>
      <c r="J329" s="63"/>
      <c r="K329" s="63"/>
      <c r="L329" s="86"/>
      <c r="M329" s="72"/>
      <c r="N329" s="72"/>
      <c r="O329" s="74"/>
      <c r="P329" s="74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51"/>
      <c r="B330" s="53"/>
      <c r="C330" s="57"/>
      <c r="D330" s="51"/>
      <c r="E330" s="37"/>
      <c r="F330" s="59"/>
      <c r="G330" s="61"/>
      <c r="H330" s="63"/>
      <c r="I330" s="63"/>
      <c r="J330" s="63"/>
      <c r="K330" s="63"/>
      <c r="L330" s="86"/>
      <c r="M330" s="72"/>
      <c r="N330" s="72"/>
      <c r="O330" s="74"/>
      <c r="P330" s="74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51"/>
      <c r="B331" s="53"/>
      <c r="C331" s="57"/>
      <c r="D331" s="51"/>
      <c r="E331" s="37"/>
      <c r="F331" s="59"/>
      <c r="G331" s="61"/>
      <c r="H331" s="63"/>
      <c r="I331" s="63"/>
      <c r="J331" s="63"/>
      <c r="K331" s="63"/>
      <c r="L331" s="86"/>
      <c r="M331" s="72"/>
      <c r="N331" s="72"/>
      <c r="O331" s="74"/>
      <c r="P331" s="74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51"/>
      <c r="B332" s="53"/>
      <c r="C332" s="57"/>
      <c r="D332" s="51"/>
      <c r="E332" s="37"/>
      <c r="F332" s="59"/>
      <c r="G332" s="61"/>
      <c r="H332" s="63"/>
      <c r="I332" s="63"/>
      <c r="J332" s="63"/>
      <c r="K332" s="63"/>
      <c r="L332" s="86"/>
      <c r="M332" s="72"/>
      <c r="N332" s="72"/>
      <c r="O332" s="74"/>
      <c r="P332" s="74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51"/>
      <c r="B333" s="53"/>
      <c r="C333" s="57"/>
      <c r="D333" s="51"/>
      <c r="E333" s="37"/>
      <c r="F333" s="59"/>
      <c r="G333" s="61"/>
      <c r="H333" s="63"/>
      <c r="I333" s="63"/>
      <c r="J333" s="63"/>
      <c r="K333" s="63"/>
      <c r="L333" s="86"/>
      <c r="M333" s="72"/>
      <c r="N333" s="72"/>
      <c r="O333" s="74"/>
      <c r="P333" s="74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51"/>
      <c r="B334" s="53"/>
      <c r="C334" s="57"/>
      <c r="D334" s="51"/>
      <c r="E334" s="37"/>
      <c r="F334" s="59"/>
      <c r="G334" s="61"/>
      <c r="H334" s="63"/>
      <c r="I334" s="63"/>
      <c r="J334" s="63"/>
      <c r="K334" s="63"/>
      <c r="L334" s="86"/>
      <c r="M334" s="72"/>
      <c r="N334" s="72"/>
      <c r="O334" s="74"/>
      <c r="P334" s="74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51"/>
      <c r="B335" s="53"/>
      <c r="C335" s="57"/>
      <c r="D335" s="51"/>
      <c r="E335" s="37"/>
      <c r="F335" s="59"/>
      <c r="G335" s="61"/>
      <c r="H335" s="63"/>
      <c r="I335" s="63"/>
      <c r="J335" s="63"/>
      <c r="K335" s="63"/>
      <c r="L335" s="86"/>
      <c r="M335" s="72"/>
      <c r="N335" s="72"/>
      <c r="O335" s="74"/>
      <c r="P335" s="74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51"/>
      <c r="B336" s="53"/>
      <c r="C336" s="57"/>
      <c r="D336" s="51"/>
      <c r="E336" s="37"/>
      <c r="F336" s="59"/>
      <c r="G336" s="61"/>
      <c r="H336" s="63"/>
      <c r="I336" s="63"/>
      <c r="J336" s="63"/>
      <c r="K336" s="63"/>
      <c r="L336" s="86"/>
      <c r="M336" s="72"/>
      <c r="N336" s="72"/>
      <c r="O336" s="74"/>
      <c r="P336" s="74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51"/>
      <c r="B337" s="53"/>
      <c r="C337" s="57"/>
      <c r="D337" s="51"/>
      <c r="E337" s="37"/>
      <c r="F337" s="59"/>
      <c r="G337" s="61"/>
      <c r="H337" s="63"/>
      <c r="I337" s="63"/>
      <c r="J337" s="63"/>
      <c r="K337" s="63"/>
      <c r="L337" s="86"/>
      <c r="M337" s="72"/>
      <c r="N337" s="72"/>
      <c r="O337" s="74"/>
      <c r="P337" s="74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4"/>
      <c r="C338" s="5"/>
      <c r="D338" s="2"/>
      <c r="E338" s="5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4"/>
      <c r="C339" s="5"/>
      <c r="D339" s="2"/>
      <c r="E339" s="5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4"/>
      <c r="C340" s="5"/>
      <c r="D340" s="2"/>
      <c r="E340" s="5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4"/>
      <c r="C341" s="5"/>
      <c r="D341" s="2"/>
      <c r="E341" s="5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4"/>
      <c r="C342" s="5"/>
      <c r="D342" s="2"/>
      <c r="E342" s="5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4"/>
      <c r="C343" s="5"/>
      <c r="D343" s="2"/>
      <c r="E343" s="5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4"/>
      <c r="C344" s="5"/>
      <c r="D344" s="2"/>
      <c r="E344" s="5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4"/>
      <c r="C345" s="5"/>
      <c r="D345" s="2"/>
      <c r="E345" s="5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4"/>
      <c r="C346" s="5"/>
      <c r="D346" s="2"/>
      <c r="E346" s="5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4"/>
      <c r="C347" s="5"/>
      <c r="D347" s="2"/>
      <c r="E347" s="5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4"/>
      <c r="C348" s="5"/>
      <c r="D348" s="2"/>
      <c r="E348" s="5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4"/>
      <c r="C349" s="5"/>
      <c r="D349" s="2"/>
      <c r="E349" s="5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4"/>
      <c r="C350" s="5"/>
      <c r="D350" s="2"/>
      <c r="E350" s="5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4"/>
      <c r="C351" s="5"/>
      <c r="D351" s="2"/>
      <c r="E351" s="5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4"/>
      <c r="C352" s="5"/>
      <c r="D352" s="2"/>
      <c r="E352" s="5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4"/>
      <c r="C353" s="5"/>
      <c r="D353" s="2"/>
      <c r="E353" s="5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4"/>
      <c r="C354" s="5"/>
      <c r="D354" s="2"/>
      <c r="E354" s="5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4"/>
      <c r="C355" s="5"/>
      <c r="D355" s="2"/>
      <c r="E355" s="5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4"/>
      <c r="C356" s="5"/>
      <c r="D356" s="2"/>
      <c r="E356" s="5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4"/>
      <c r="C357" s="5"/>
      <c r="D357" s="2"/>
      <c r="E357" s="5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4"/>
      <c r="C358" s="5"/>
      <c r="D358" s="2"/>
      <c r="E358" s="5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4"/>
      <c r="C359" s="5"/>
      <c r="D359" s="2"/>
      <c r="E359" s="5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4"/>
      <c r="C360" s="5"/>
      <c r="D360" s="2"/>
      <c r="E360" s="5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4"/>
      <c r="C361" s="5"/>
      <c r="D361" s="2"/>
      <c r="E361" s="5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4"/>
      <c r="C362" s="5"/>
      <c r="D362" s="2"/>
      <c r="E362" s="5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4"/>
      <c r="C363" s="5"/>
      <c r="D363" s="2"/>
      <c r="E363" s="5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4"/>
      <c r="C364" s="5"/>
      <c r="D364" s="2"/>
      <c r="E364" s="5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4"/>
      <c r="C365" s="5"/>
      <c r="D365" s="2"/>
      <c r="E365" s="5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4"/>
      <c r="C366" s="5"/>
      <c r="D366" s="2"/>
      <c r="E366" s="5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4"/>
      <c r="C367" s="5"/>
      <c r="D367" s="2"/>
      <c r="E367" s="5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4"/>
      <c r="C368" s="5"/>
      <c r="D368" s="2"/>
      <c r="E368" s="5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4"/>
      <c r="C369" s="5"/>
      <c r="D369" s="2"/>
      <c r="E369" s="5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4"/>
      <c r="C370" s="5"/>
      <c r="D370" s="2"/>
      <c r="E370" s="5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4"/>
      <c r="C371" s="5"/>
      <c r="D371" s="2"/>
      <c r="E371" s="5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4"/>
      <c r="C372" s="5"/>
      <c r="D372" s="2"/>
      <c r="E372" s="5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4"/>
      <c r="C373" s="5"/>
      <c r="D373" s="2"/>
      <c r="E373" s="5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4"/>
      <c r="C374" s="5"/>
      <c r="D374" s="2"/>
      <c r="E374" s="5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4"/>
      <c r="C375" s="5"/>
      <c r="D375" s="2"/>
      <c r="E375" s="5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4"/>
      <c r="C376" s="5"/>
      <c r="D376" s="2"/>
      <c r="E376" s="5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4"/>
      <c r="C377" s="5"/>
      <c r="D377" s="2"/>
      <c r="E377" s="5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4"/>
      <c r="C378" s="5"/>
      <c r="D378" s="2"/>
      <c r="E378" s="5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4"/>
      <c r="C379" s="5"/>
      <c r="D379" s="2"/>
      <c r="E379" s="5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4"/>
      <c r="C380" s="5"/>
      <c r="D380" s="2"/>
      <c r="E380" s="5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4"/>
      <c r="C381" s="5"/>
      <c r="D381" s="2"/>
      <c r="E381" s="5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4"/>
      <c r="C382" s="5"/>
      <c r="D382" s="2"/>
      <c r="E382" s="5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4"/>
      <c r="C383" s="5"/>
      <c r="D383" s="2"/>
      <c r="E383" s="5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4"/>
      <c r="C384" s="5"/>
      <c r="D384" s="2"/>
      <c r="E384" s="5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4"/>
      <c r="C385" s="5"/>
      <c r="D385" s="2"/>
      <c r="E385" s="5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4"/>
      <c r="C386" s="5"/>
      <c r="D386" s="2"/>
      <c r="E386" s="5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4"/>
      <c r="C387" s="5"/>
      <c r="D387" s="2"/>
      <c r="E387" s="5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4"/>
      <c r="C388" s="5"/>
      <c r="D388" s="2"/>
      <c r="E388" s="5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4"/>
      <c r="C389" s="5"/>
      <c r="D389" s="2"/>
      <c r="E389" s="5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4"/>
      <c r="C390" s="5"/>
      <c r="D390" s="2"/>
      <c r="E390" s="5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4"/>
      <c r="C391" s="5"/>
      <c r="D391" s="2"/>
      <c r="E391" s="5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4"/>
      <c r="C392" s="5"/>
      <c r="D392" s="2"/>
      <c r="E392" s="5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4"/>
      <c r="C393" s="5"/>
      <c r="D393" s="2"/>
      <c r="E393" s="5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4"/>
      <c r="C394" s="5"/>
      <c r="D394" s="2"/>
      <c r="E394" s="5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4"/>
      <c r="C395" s="5"/>
      <c r="D395" s="2"/>
      <c r="E395" s="5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4"/>
      <c r="C396" s="5"/>
      <c r="D396" s="2"/>
      <c r="E396" s="5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4"/>
      <c r="C397" s="5"/>
      <c r="D397" s="2"/>
      <c r="E397" s="5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4"/>
      <c r="C398" s="5"/>
      <c r="D398" s="2"/>
      <c r="E398" s="5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4"/>
      <c r="C399" s="5"/>
      <c r="D399" s="2"/>
      <c r="E399" s="5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4"/>
      <c r="C400" s="5"/>
      <c r="D400" s="2"/>
      <c r="E400" s="5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4"/>
      <c r="C401" s="5"/>
      <c r="D401" s="2"/>
      <c r="E401" s="5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4"/>
      <c r="C402" s="5"/>
      <c r="D402" s="2"/>
      <c r="E402" s="5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4"/>
      <c r="C403" s="5"/>
      <c r="D403" s="2"/>
      <c r="E403" s="5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4"/>
      <c r="C404" s="5"/>
      <c r="D404" s="2"/>
      <c r="E404" s="5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4"/>
      <c r="C405" s="5"/>
      <c r="D405" s="2"/>
      <c r="E405" s="5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4"/>
      <c r="C406" s="5"/>
      <c r="D406" s="2"/>
      <c r="E406" s="5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4"/>
      <c r="C407" s="5"/>
      <c r="D407" s="2"/>
      <c r="E407" s="5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4"/>
      <c r="C408" s="5"/>
      <c r="D408" s="2"/>
      <c r="E408" s="5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4"/>
      <c r="C409" s="5"/>
      <c r="D409" s="2"/>
      <c r="E409" s="5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4"/>
      <c r="C410" s="5"/>
      <c r="D410" s="2"/>
      <c r="E410" s="5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4"/>
      <c r="C411" s="5"/>
      <c r="D411" s="2"/>
      <c r="E411" s="5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4"/>
      <c r="C412" s="5"/>
      <c r="D412" s="2"/>
      <c r="E412" s="5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4"/>
      <c r="C413" s="5"/>
      <c r="D413" s="2"/>
      <c r="E413" s="5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4"/>
      <c r="C414" s="5"/>
      <c r="D414" s="2"/>
      <c r="E414" s="5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4"/>
      <c r="C415" s="5"/>
      <c r="D415" s="2"/>
      <c r="E415" s="5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4"/>
      <c r="C416" s="5"/>
      <c r="D416" s="2"/>
      <c r="E416" s="5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4"/>
      <c r="C417" s="5"/>
      <c r="D417" s="2"/>
      <c r="E417" s="5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4"/>
      <c r="C418" s="5"/>
      <c r="D418" s="2"/>
      <c r="E418" s="5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4"/>
      <c r="C419" s="5"/>
      <c r="D419" s="2"/>
      <c r="E419" s="5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4"/>
      <c r="C420" s="5"/>
      <c r="D420" s="2"/>
      <c r="E420" s="5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4"/>
      <c r="C421" s="5"/>
      <c r="D421" s="2"/>
      <c r="E421" s="5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4"/>
      <c r="C422" s="5"/>
      <c r="D422" s="2"/>
      <c r="E422" s="5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4"/>
      <c r="C423" s="5"/>
      <c r="D423" s="2"/>
      <c r="E423" s="5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4"/>
      <c r="C424" s="5"/>
      <c r="D424" s="2"/>
      <c r="E424" s="5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4"/>
      <c r="C425" s="5"/>
      <c r="D425" s="2"/>
      <c r="E425" s="5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4"/>
      <c r="C426" s="5"/>
      <c r="D426" s="2"/>
      <c r="E426" s="5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4"/>
      <c r="C427" s="5"/>
      <c r="D427" s="2"/>
      <c r="E427" s="5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4"/>
      <c r="C428" s="5"/>
      <c r="D428" s="2"/>
      <c r="E428" s="5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4"/>
      <c r="C429" s="5"/>
      <c r="D429" s="2"/>
      <c r="E429" s="5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4"/>
      <c r="C430" s="5"/>
      <c r="D430" s="2"/>
      <c r="E430" s="5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4"/>
      <c r="C431" s="5"/>
      <c r="D431" s="2"/>
      <c r="E431" s="5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4"/>
      <c r="C432" s="5"/>
      <c r="D432" s="2"/>
      <c r="E432" s="5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4"/>
      <c r="C433" s="5"/>
      <c r="D433" s="2"/>
      <c r="E433" s="5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4"/>
      <c r="C434" s="5"/>
      <c r="D434" s="2"/>
      <c r="E434" s="5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4"/>
      <c r="C435" s="5"/>
      <c r="D435" s="2"/>
      <c r="E435" s="5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4"/>
      <c r="C436" s="5"/>
      <c r="D436" s="2"/>
      <c r="E436" s="5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4"/>
      <c r="C437" s="5"/>
      <c r="D437" s="2"/>
      <c r="E437" s="5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4"/>
      <c r="C438" s="5"/>
      <c r="D438" s="2"/>
      <c r="E438" s="5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4"/>
      <c r="C439" s="5"/>
      <c r="D439" s="2"/>
      <c r="E439" s="5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4"/>
      <c r="C440" s="5"/>
      <c r="D440" s="2"/>
      <c r="E440" s="5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4"/>
      <c r="C441" s="5"/>
      <c r="D441" s="2"/>
      <c r="E441" s="5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4"/>
      <c r="C442" s="5"/>
      <c r="D442" s="2"/>
      <c r="E442" s="5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4"/>
      <c r="C443" s="5"/>
      <c r="D443" s="2"/>
      <c r="E443" s="5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4"/>
      <c r="C444" s="5"/>
      <c r="D444" s="2"/>
      <c r="E444" s="5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4"/>
      <c r="C445" s="5"/>
      <c r="D445" s="2"/>
      <c r="E445" s="5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4"/>
      <c r="C446" s="5"/>
      <c r="D446" s="2"/>
      <c r="E446" s="5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4"/>
      <c r="C447" s="5"/>
      <c r="D447" s="2"/>
      <c r="E447" s="5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4"/>
      <c r="C448" s="5"/>
      <c r="D448" s="2"/>
      <c r="E448" s="5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4"/>
      <c r="C449" s="5"/>
      <c r="D449" s="2"/>
      <c r="E449" s="5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4"/>
      <c r="C450" s="5"/>
      <c r="D450" s="2"/>
      <c r="E450" s="5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4"/>
      <c r="C451" s="5"/>
      <c r="D451" s="2"/>
      <c r="E451" s="5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4"/>
      <c r="C452" s="5"/>
      <c r="D452" s="2"/>
      <c r="E452" s="5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4"/>
      <c r="C453" s="5"/>
      <c r="D453" s="2"/>
      <c r="E453" s="5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4"/>
      <c r="C454" s="5"/>
      <c r="D454" s="2"/>
      <c r="E454" s="5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4"/>
      <c r="C455" s="5"/>
      <c r="D455" s="2"/>
      <c r="E455" s="5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4"/>
      <c r="C456" s="5"/>
      <c r="D456" s="2"/>
      <c r="E456" s="5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4"/>
      <c r="C457" s="5"/>
      <c r="D457" s="2"/>
      <c r="E457" s="5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4"/>
      <c r="C458" s="5"/>
      <c r="D458" s="2"/>
      <c r="E458" s="5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4"/>
      <c r="C459" s="5"/>
      <c r="D459" s="2"/>
      <c r="E459" s="5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4"/>
      <c r="C460" s="5"/>
      <c r="D460" s="2"/>
      <c r="E460" s="5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4"/>
      <c r="C461" s="5"/>
      <c r="D461" s="2"/>
      <c r="E461" s="5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4"/>
      <c r="C462" s="5"/>
      <c r="D462" s="2"/>
      <c r="E462" s="5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4"/>
      <c r="C463" s="5"/>
      <c r="D463" s="2"/>
      <c r="E463" s="5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4"/>
      <c r="C464" s="5"/>
      <c r="D464" s="2"/>
      <c r="E464" s="5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4"/>
      <c r="C465" s="5"/>
      <c r="D465" s="2"/>
      <c r="E465" s="5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4"/>
      <c r="C466" s="5"/>
      <c r="D466" s="2"/>
      <c r="E466" s="5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4"/>
      <c r="C467" s="5"/>
      <c r="D467" s="2"/>
      <c r="E467" s="5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4"/>
      <c r="C468" s="5"/>
      <c r="D468" s="2"/>
      <c r="E468" s="5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4"/>
      <c r="C469" s="5"/>
      <c r="D469" s="2"/>
      <c r="E469" s="5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4"/>
      <c r="C470" s="5"/>
      <c r="D470" s="2"/>
      <c r="E470" s="5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4"/>
      <c r="C471" s="5"/>
      <c r="D471" s="2"/>
      <c r="E471" s="5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4"/>
      <c r="C472" s="5"/>
      <c r="D472" s="2"/>
      <c r="E472" s="5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4"/>
      <c r="C473" s="5"/>
      <c r="D473" s="2"/>
      <c r="E473" s="5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4"/>
      <c r="C474" s="5"/>
      <c r="D474" s="2"/>
      <c r="E474" s="5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4"/>
      <c r="C475" s="5"/>
      <c r="D475" s="2"/>
      <c r="E475" s="5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4"/>
      <c r="C476" s="5"/>
      <c r="D476" s="2"/>
      <c r="E476" s="5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4"/>
      <c r="C477" s="5"/>
      <c r="D477" s="2"/>
      <c r="E477" s="5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4"/>
      <c r="C478" s="5"/>
      <c r="D478" s="2"/>
      <c r="E478" s="5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4"/>
      <c r="C479" s="5"/>
      <c r="D479" s="2"/>
      <c r="E479" s="5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4"/>
      <c r="C480" s="5"/>
      <c r="D480" s="2"/>
      <c r="E480" s="5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4"/>
      <c r="C481" s="5"/>
      <c r="D481" s="2"/>
      <c r="E481" s="5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4"/>
      <c r="C482" s="5"/>
      <c r="D482" s="2"/>
      <c r="E482" s="5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4"/>
      <c r="C483" s="5"/>
      <c r="D483" s="2"/>
      <c r="E483" s="5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4"/>
      <c r="C484" s="5"/>
      <c r="D484" s="2"/>
      <c r="E484" s="5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4"/>
      <c r="C485" s="5"/>
      <c r="D485" s="2"/>
      <c r="E485" s="5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4"/>
      <c r="C486" s="5"/>
      <c r="D486" s="2"/>
      <c r="E486" s="5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4"/>
      <c r="C487" s="5"/>
      <c r="D487" s="2"/>
      <c r="E487" s="5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4"/>
      <c r="C488" s="5"/>
      <c r="D488" s="2"/>
      <c r="E488" s="5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4"/>
      <c r="C489" s="5"/>
      <c r="D489" s="2"/>
      <c r="E489" s="5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4"/>
      <c r="C490" s="5"/>
      <c r="D490" s="2"/>
      <c r="E490" s="5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4"/>
      <c r="C491" s="5"/>
      <c r="D491" s="2"/>
      <c r="E491" s="5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4"/>
      <c r="C492" s="5"/>
      <c r="D492" s="2"/>
      <c r="E492" s="5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4"/>
      <c r="C493" s="5"/>
      <c r="D493" s="2"/>
      <c r="E493" s="5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4"/>
      <c r="C494" s="5"/>
      <c r="D494" s="2"/>
      <c r="E494" s="5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4"/>
      <c r="C495" s="5"/>
      <c r="D495" s="2"/>
      <c r="E495" s="5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4"/>
      <c r="C496" s="5"/>
      <c r="D496" s="2"/>
      <c r="E496" s="5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4"/>
      <c r="C497" s="5"/>
      <c r="D497" s="2"/>
      <c r="E497" s="5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4"/>
      <c r="C498" s="5"/>
      <c r="D498" s="2"/>
      <c r="E498" s="5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4"/>
      <c r="C499" s="5"/>
      <c r="D499" s="2"/>
      <c r="E499" s="5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4"/>
      <c r="C500" s="5"/>
      <c r="D500" s="2"/>
      <c r="E500" s="5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4"/>
      <c r="C501" s="5"/>
      <c r="D501" s="2"/>
      <c r="E501" s="5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4"/>
      <c r="C502" s="5"/>
      <c r="D502" s="2"/>
      <c r="E502" s="5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4"/>
      <c r="C503" s="5"/>
      <c r="D503" s="2"/>
      <c r="E503" s="5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4"/>
      <c r="C504" s="5"/>
      <c r="D504" s="2"/>
      <c r="E504" s="5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4"/>
      <c r="C505" s="5"/>
      <c r="D505" s="2"/>
      <c r="E505" s="5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4"/>
      <c r="C506" s="5"/>
      <c r="D506" s="2"/>
      <c r="E506" s="5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4"/>
      <c r="C507" s="5"/>
      <c r="D507" s="2"/>
      <c r="E507" s="5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4"/>
      <c r="C508" s="5"/>
      <c r="D508" s="2"/>
      <c r="E508" s="5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4"/>
      <c r="C509" s="5"/>
      <c r="D509" s="2"/>
      <c r="E509" s="5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4"/>
      <c r="C510" s="5"/>
      <c r="D510" s="2"/>
      <c r="E510" s="5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4"/>
      <c r="C511" s="5"/>
      <c r="D511" s="2"/>
      <c r="E511" s="5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4"/>
      <c r="C512" s="5"/>
      <c r="D512" s="2"/>
      <c r="E512" s="5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4"/>
      <c r="C513" s="5"/>
      <c r="D513" s="2"/>
      <c r="E513" s="5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4"/>
      <c r="C514" s="5"/>
      <c r="D514" s="2"/>
      <c r="E514" s="5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4"/>
      <c r="C515" s="5"/>
      <c r="D515" s="2"/>
      <c r="E515" s="5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4"/>
      <c r="C516" s="5"/>
      <c r="D516" s="2"/>
      <c r="E516" s="5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4"/>
      <c r="C517" s="5"/>
      <c r="D517" s="2"/>
      <c r="E517" s="5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4"/>
      <c r="C518" s="5"/>
      <c r="D518" s="2"/>
      <c r="E518" s="5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4"/>
      <c r="C519" s="5"/>
      <c r="D519" s="2"/>
      <c r="E519" s="5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4"/>
      <c r="C520" s="5"/>
      <c r="D520" s="2"/>
      <c r="E520" s="5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4"/>
      <c r="C521" s="5"/>
      <c r="D521" s="2"/>
      <c r="E521" s="5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4"/>
      <c r="C522" s="5"/>
      <c r="D522" s="2"/>
      <c r="E522" s="5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4"/>
      <c r="C523" s="5"/>
      <c r="D523" s="2"/>
      <c r="E523" s="5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4"/>
      <c r="C524" s="5"/>
      <c r="D524" s="2"/>
      <c r="E524" s="5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4"/>
      <c r="C525" s="5"/>
      <c r="D525" s="2"/>
      <c r="E525" s="5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4"/>
      <c r="C526" s="5"/>
      <c r="D526" s="2"/>
      <c r="E526" s="5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4"/>
      <c r="C527" s="5"/>
      <c r="D527" s="2"/>
      <c r="E527" s="5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4"/>
      <c r="C528" s="5"/>
      <c r="D528" s="2"/>
      <c r="E528" s="5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4"/>
      <c r="C529" s="5"/>
      <c r="D529" s="2"/>
      <c r="E529" s="5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4"/>
      <c r="C530" s="5"/>
      <c r="D530" s="2"/>
      <c r="E530" s="5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4"/>
      <c r="C531" s="5"/>
      <c r="D531" s="2"/>
      <c r="E531" s="5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4"/>
      <c r="C532" s="5"/>
      <c r="D532" s="2"/>
      <c r="E532" s="5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4"/>
      <c r="C533" s="5"/>
      <c r="D533" s="2"/>
      <c r="E533" s="5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4"/>
      <c r="C534" s="5"/>
      <c r="D534" s="2"/>
      <c r="E534" s="5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4"/>
      <c r="C535" s="5"/>
      <c r="D535" s="2"/>
      <c r="E535" s="5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4"/>
      <c r="C536" s="5"/>
      <c r="D536" s="2"/>
      <c r="E536" s="5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4"/>
      <c r="C537" s="5"/>
      <c r="D537" s="2"/>
      <c r="E537" s="5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4"/>
      <c r="C538" s="5"/>
      <c r="D538" s="2"/>
      <c r="E538" s="5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4"/>
      <c r="C539" s="5"/>
      <c r="D539" s="2"/>
      <c r="E539" s="5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4"/>
      <c r="C540" s="5"/>
      <c r="D540" s="2"/>
      <c r="E540" s="5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4"/>
      <c r="C541" s="5"/>
      <c r="D541" s="2"/>
      <c r="E541" s="5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4"/>
      <c r="C542" s="5"/>
      <c r="D542" s="2"/>
      <c r="E542" s="5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4"/>
      <c r="C543" s="5"/>
      <c r="D543" s="2"/>
      <c r="E543" s="5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4"/>
      <c r="C544" s="5"/>
      <c r="D544" s="2"/>
      <c r="E544" s="5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4"/>
      <c r="C545" s="5"/>
      <c r="D545" s="2"/>
      <c r="E545" s="5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4"/>
      <c r="C546" s="5"/>
      <c r="D546" s="2"/>
      <c r="E546" s="5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4"/>
      <c r="C547" s="5"/>
      <c r="D547" s="2"/>
      <c r="E547" s="5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4"/>
      <c r="C548" s="5"/>
      <c r="D548" s="2"/>
      <c r="E548" s="5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4"/>
      <c r="C549" s="5"/>
      <c r="D549" s="2"/>
      <c r="E549" s="5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4"/>
      <c r="C550" s="5"/>
      <c r="D550" s="2"/>
      <c r="E550" s="5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4"/>
      <c r="C551" s="5"/>
      <c r="D551" s="2"/>
      <c r="E551" s="5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4"/>
      <c r="C552" s="5"/>
      <c r="D552" s="2"/>
      <c r="E552" s="5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4"/>
      <c r="C553" s="5"/>
      <c r="D553" s="2"/>
      <c r="E553" s="5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4"/>
      <c r="C554" s="5"/>
      <c r="D554" s="2"/>
      <c r="E554" s="5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4"/>
      <c r="C555" s="5"/>
      <c r="D555" s="2"/>
      <c r="E555" s="5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4"/>
      <c r="C556" s="5"/>
      <c r="D556" s="2"/>
      <c r="E556" s="5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4"/>
      <c r="C557" s="5"/>
      <c r="D557" s="2"/>
      <c r="E557" s="5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4"/>
      <c r="C558" s="5"/>
      <c r="D558" s="2"/>
      <c r="E558" s="5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4"/>
      <c r="C559" s="5"/>
      <c r="D559" s="2"/>
      <c r="E559" s="5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4"/>
      <c r="C560" s="5"/>
      <c r="D560" s="2"/>
      <c r="E560" s="5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4"/>
      <c r="C561" s="5"/>
      <c r="D561" s="2"/>
      <c r="E561" s="5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4"/>
      <c r="C562" s="5"/>
      <c r="D562" s="2"/>
      <c r="E562" s="5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4"/>
      <c r="C563" s="5"/>
      <c r="D563" s="2"/>
      <c r="E563" s="5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4"/>
      <c r="C564" s="5"/>
      <c r="D564" s="2"/>
      <c r="E564" s="5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4"/>
      <c r="C565" s="5"/>
      <c r="D565" s="2"/>
      <c r="E565" s="5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4"/>
      <c r="C566" s="5"/>
      <c r="D566" s="2"/>
      <c r="E566" s="5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4"/>
      <c r="C567" s="5"/>
      <c r="D567" s="2"/>
      <c r="E567" s="5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4"/>
      <c r="C568" s="5"/>
      <c r="D568" s="2"/>
      <c r="E568" s="5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4"/>
      <c r="C569" s="5"/>
      <c r="D569" s="2"/>
      <c r="E569" s="5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4"/>
      <c r="C570" s="5"/>
      <c r="D570" s="2"/>
      <c r="E570" s="5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4"/>
      <c r="C571" s="5"/>
      <c r="D571" s="2"/>
      <c r="E571" s="5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4"/>
      <c r="C572" s="5"/>
      <c r="D572" s="2"/>
      <c r="E572" s="5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4"/>
      <c r="C573" s="5"/>
      <c r="D573" s="2"/>
      <c r="E573" s="5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4"/>
      <c r="C574" s="5"/>
      <c r="D574" s="2"/>
      <c r="E574" s="5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4"/>
      <c r="C575" s="5"/>
      <c r="D575" s="2"/>
      <c r="E575" s="5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4"/>
      <c r="C576" s="5"/>
      <c r="D576" s="2"/>
      <c r="E576" s="5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4"/>
      <c r="C577" s="5"/>
      <c r="D577" s="2"/>
      <c r="E577" s="5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4"/>
      <c r="C578" s="5"/>
      <c r="D578" s="2"/>
      <c r="E578" s="5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4"/>
      <c r="C579" s="5"/>
      <c r="D579" s="2"/>
      <c r="E579" s="5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4"/>
      <c r="C580" s="5"/>
      <c r="D580" s="2"/>
      <c r="E580" s="5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4"/>
      <c r="C581" s="5"/>
      <c r="D581" s="2"/>
      <c r="E581" s="5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4"/>
      <c r="C582" s="5"/>
      <c r="D582" s="2"/>
      <c r="E582" s="5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4"/>
      <c r="C583" s="5"/>
      <c r="D583" s="2"/>
      <c r="E583" s="5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4"/>
      <c r="C584" s="5"/>
      <c r="D584" s="2"/>
      <c r="E584" s="5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4"/>
      <c r="C585" s="5"/>
      <c r="D585" s="2"/>
      <c r="E585" s="5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4"/>
      <c r="C586" s="5"/>
      <c r="D586" s="2"/>
      <c r="E586" s="5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4"/>
      <c r="C587" s="5"/>
      <c r="D587" s="2"/>
      <c r="E587" s="5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4"/>
      <c r="C588" s="5"/>
      <c r="D588" s="2"/>
      <c r="E588" s="5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4"/>
      <c r="C589" s="5"/>
      <c r="D589" s="2"/>
      <c r="E589" s="5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4"/>
      <c r="C590" s="5"/>
      <c r="D590" s="2"/>
      <c r="E590" s="5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4"/>
      <c r="C591" s="5"/>
      <c r="D591" s="2"/>
      <c r="E591" s="5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4"/>
      <c r="C592" s="5"/>
      <c r="D592" s="2"/>
      <c r="E592" s="5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4"/>
      <c r="C593" s="5"/>
      <c r="D593" s="2"/>
      <c r="E593" s="5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4"/>
      <c r="C594" s="5"/>
      <c r="D594" s="2"/>
      <c r="E594" s="5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4"/>
      <c r="C595" s="5"/>
      <c r="D595" s="2"/>
      <c r="E595" s="5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4"/>
      <c r="C596" s="5"/>
      <c r="D596" s="2"/>
      <c r="E596" s="5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4"/>
      <c r="C597" s="5"/>
      <c r="D597" s="2"/>
      <c r="E597" s="5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4"/>
      <c r="C598" s="5"/>
      <c r="D598" s="2"/>
      <c r="E598" s="5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4"/>
      <c r="C599" s="5"/>
      <c r="D599" s="2"/>
      <c r="E599" s="5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4"/>
      <c r="C600" s="5"/>
      <c r="D600" s="2"/>
      <c r="E600" s="5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4"/>
      <c r="C601" s="5"/>
      <c r="D601" s="2"/>
      <c r="E601" s="5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4"/>
      <c r="C602" s="5"/>
      <c r="D602" s="2"/>
      <c r="E602" s="5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4"/>
      <c r="C603" s="5"/>
      <c r="D603" s="2"/>
      <c r="E603" s="5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4"/>
      <c r="C604" s="5"/>
      <c r="D604" s="2"/>
      <c r="E604" s="5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4"/>
      <c r="C605" s="5"/>
      <c r="D605" s="2"/>
      <c r="E605" s="5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4"/>
      <c r="C606" s="5"/>
      <c r="D606" s="2"/>
      <c r="E606" s="5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4"/>
      <c r="C607" s="5"/>
      <c r="D607" s="2"/>
      <c r="E607" s="5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4"/>
      <c r="C608" s="5"/>
      <c r="D608" s="2"/>
      <c r="E608" s="5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4"/>
      <c r="C609" s="5"/>
      <c r="D609" s="2"/>
      <c r="E609" s="5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4"/>
      <c r="C610" s="5"/>
      <c r="D610" s="2"/>
      <c r="E610" s="5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4"/>
      <c r="C611" s="5"/>
      <c r="D611" s="2"/>
      <c r="E611" s="5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4"/>
      <c r="C612" s="5"/>
      <c r="D612" s="2"/>
      <c r="E612" s="5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4"/>
      <c r="C613" s="5"/>
      <c r="D613" s="2"/>
      <c r="E613" s="5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4"/>
      <c r="C614" s="5"/>
      <c r="D614" s="2"/>
      <c r="E614" s="5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4"/>
      <c r="C615" s="5"/>
      <c r="D615" s="2"/>
      <c r="E615" s="5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4"/>
      <c r="C616" s="5"/>
      <c r="D616" s="2"/>
      <c r="E616" s="5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4"/>
      <c r="C617" s="5"/>
      <c r="D617" s="2"/>
      <c r="E617" s="5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4"/>
      <c r="C618" s="5"/>
      <c r="D618" s="2"/>
      <c r="E618" s="5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4"/>
      <c r="C619" s="5"/>
      <c r="D619" s="2"/>
      <c r="E619" s="5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4"/>
      <c r="C620" s="5"/>
      <c r="D620" s="2"/>
      <c r="E620" s="5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4"/>
      <c r="C621" s="5"/>
      <c r="D621" s="2"/>
      <c r="E621" s="5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4"/>
      <c r="C622" s="5"/>
      <c r="D622" s="2"/>
      <c r="E622" s="5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4"/>
      <c r="C623" s="5"/>
      <c r="D623" s="2"/>
      <c r="E623" s="5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4"/>
      <c r="C624" s="5"/>
      <c r="D624" s="2"/>
      <c r="E624" s="5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4"/>
      <c r="C625" s="5"/>
      <c r="D625" s="2"/>
      <c r="E625" s="5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4"/>
      <c r="C626" s="5"/>
      <c r="D626" s="2"/>
      <c r="E626" s="5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4"/>
      <c r="C627" s="5"/>
      <c r="D627" s="2"/>
      <c r="E627" s="5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4"/>
      <c r="C628" s="5"/>
      <c r="D628" s="2"/>
      <c r="E628" s="5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4"/>
      <c r="C629" s="5"/>
      <c r="D629" s="2"/>
      <c r="E629" s="5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4"/>
      <c r="C630" s="5"/>
      <c r="D630" s="2"/>
      <c r="E630" s="5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4"/>
      <c r="C631" s="5"/>
      <c r="D631" s="2"/>
      <c r="E631" s="5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4"/>
      <c r="C632" s="5"/>
      <c r="D632" s="2"/>
      <c r="E632" s="5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4"/>
      <c r="C633" s="5"/>
      <c r="D633" s="2"/>
      <c r="E633" s="5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4"/>
      <c r="C634" s="5"/>
      <c r="D634" s="2"/>
      <c r="E634" s="5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4"/>
      <c r="C635" s="5"/>
      <c r="D635" s="2"/>
      <c r="E635" s="5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4"/>
      <c r="C636" s="5"/>
      <c r="D636" s="2"/>
      <c r="E636" s="5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4"/>
      <c r="C637" s="5"/>
      <c r="D637" s="2"/>
      <c r="E637" s="5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4"/>
      <c r="C638" s="5"/>
      <c r="D638" s="2"/>
      <c r="E638" s="5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4"/>
      <c r="C639" s="5"/>
      <c r="D639" s="2"/>
      <c r="E639" s="5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4"/>
      <c r="C640" s="5"/>
      <c r="D640" s="2"/>
      <c r="E640" s="5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4"/>
      <c r="C641" s="5"/>
      <c r="D641" s="2"/>
      <c r="E641" s="5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4"/>
      <c r="C642" s="5"/>
      <c r="D642" s="2"/>
      <c r="E642" s="5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4"/>
      <c r="C643" s="5"/>
      <c r="D643" s="2"/>
      <c r="E643" s="5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4"/>
      <c r="C644" s="5"/>
      <c r="D644" s="2"/>
      <c r="E644" s="5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4"/>
      <c r="C645" s="5"/>
      <c r="D645" s="2"/>
      <c r="E645" s="5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4"/>
      <c r="C646" s="5"/>
      <c r="D646" s="2"/>
      <c r="E646" s="5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4"/>
      <c r="C647" s="5"/>
      <c r="D647" s="2"/>
      <c r="E647" s="5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4"/>
      <c r="C648" s="5"/>
      <c r="D648" s="2"/>
      <c r="E648" s="5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4"/>
      <c r="C649" s="5"/>
      <c r="D649" s="2"/>
      <c r="E649" s="5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4"/>
      <c r="C650" s="5"/>
      <c r="D650" s="2"/>
      <c r="E650" s="5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4"/>
      <c r="C651" s="5"/>
      <c r="D651" s="2"/>
      <c r="E651" s="5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4"/>
      <c r="C652" s="5"/>
      <c r="D652" s="2"/>
      <c r="E652" s="5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4"/>
      <c r="C653" s="5"/>
      <c r="D653" s="2"/>
      <c r="E653" s="5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4"/>
      <c r="C654" s="5"/>
      <c r="D654" s="2"/>
      <c r="E654" s="5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4"/>
      <c r="C655" s="5"/>
      <c r="D655" s="2"/>
      <c r="E655" s="5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4"/>
      <c r="C656" s="5"/>
      <c r="D656" s="2"/>
      <c r="E656" s="5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4"/>
      <c r="C657" s="5"/>
      <c r="D657" s="2"/>
      <c r="E657" s="5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4"/>
      <c r="C658" s="5"/>
      <c r="D658" s="2"/>
      <c r="E658" s="5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4"/>
      <c r="C659" s="5"/>
      <c r="D659" s="2"/>
      <c r="E659" s="5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4"/>
      <c r="C660" s="5"/>
      <c r="D660" s="2"/>
      <c r="E660" s="5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4"/>
      <c r="C661" s="5"/>
      <c r="D661" s="2"/>
      <c r="E661" s="5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4"/>
      <c r="C662" s="5"/>
      <c r="D662" s="2"/>
      <c r="E662" s="5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4"/>
      <c r="C663" s="5"/>
      <c r="D663" s="2"/>
      <c r="E663" s="5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4"/>
      <c r="C664" s="5"/>
      <c r="D664" s="2"/>
      <c r="E664" s="5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4"/>
      <c r="C665" s="5"/>
      <c r="D665" s="2"/>
      <c r="E665" s="5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4"/>
      <c r="C666" s="5"/>
      <c r="D666" s="2"/>
      <c r="E666" s="5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4"/>
      <c r="C667" s="5"/>
      <c r="D667" s="2"/>
      <c r="E667" s="5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4"/>
      <c r="C668" s="5"/>
      <c r="D668" s="2"/>
      <c r="E668" s="5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4"/>
      <c r="C669" s="5"/>
      <c r="D669" s="2"/>
      <c r="E669" s="5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4"/>
      <c r="C670" s="5"/>
      <c r="D670" s="2"/>
      <c r="E670" s="5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4"/>
      <c r="C671" s="5"/>
      <c r="D671" s="2"/>
      <c r="E671" s="5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4"/>
      <c r="C672" s="5"/>
      <c r="D672" s="2"/>
      <c r="E672" s="5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4"/>
      <c r="C673" s="5"/>
      <c r="D673" s="2"/>
      <c r="E673" s="5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4"/>
      <c r="C674" s="5"/>
      <c r="D674" s="2"/>
      <c r="E674" s="5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4"/>
      <c r="C675" s="5"/>
      <c r="D675" s="2"/>
      <c r="E675" s="5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4"/>
      <c r="C676" s="5"/>
      <c r="D676" s="2"/>
      <c r="E676" s="5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4"/>
      <c r="C677" s="5"/>
      <c r="D677" s="2"/>
      <c r="E677" s="5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4"/>
      <c r="C678" s="5"/>
      <c r="D678" s="2"/>
      <c r="E678" s="5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4"/>
      <c r="C679" s="5"/>
      <c r="D679" s="2"/>
      <c r="E679" s="5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4"/>
      <c r="C680" s="5"/>
      <c r="D680" s="2"/>
      <c r="E680" s="5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4"/>
      <c r="C681" s="5"/>
      <c r="D681" s="2"/>
      <c r="E681" s="5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4"/>
      <c r="C682" s="5"/>
      <c r="D682" s="2"/>
      <c r="E682" s="5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4"/>
      <c r="C683" s="5"/>
      <c r="D683" s="2"/>
      <c r="E683" s="5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4"/>
      <c r="C684" s="5"/>
      <c r="D684" s="2"/>
      <c r="E684" s="5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4"/>
      <c r="C685" s="5"/>
      <c r="D685" s="2"/>
      <c r="E685" s="5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4"/>
      <c r="C686" s="5"/>
      <c r="D686" s="2"/>
      <c r="E686" s="5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4"/>
      <c r="C687" s="5"/>
      <c r="D687" s="2"/>
      <c r="E687" s="5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4"/>
      <c r="C688" s="5"/>
      <c r="D688" s="2"/>
      <c r="E688" s="5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4"/>
      <c r="C689" s="5"/>
      <c r="D689" s="2"/>
      <c r="E689" s="5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4"/>
      <c r="C690" s="5"/>
      <c r="D690" s="2"/>
      <c r="E690" s="5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4"/>
      <c r="C691" s="5"/>
      <c r="D691" s="2"/>
      <c r="E691" s="5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4"/>
      <c r="C692" s="5"/>
      <c r="D692" s="2"/>
      <c r="E692" s="5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4"/>
      <c r="C693" s="5"/>
      <c r="D693" s="2"/>
      <c r="E693" s="5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4"/>
      <c r="C694" s="5"/>
      <c r="D694" s="2"/>
      <c r="E694" s="5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4"/>
      <c r="C695" s="5"/>
      <c r="D695" s="2"/>
      <c r="E695" s="5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4"/>
      <c r="C696" s="5"/>
      <c r="D696" s="2"/>
      <c r="E696" s="5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4"/>
      <c r="C697" s="5"/>
      <c r="D697" s="2"/>
      <c r="E697" s="5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4"/>
      <c r="C698" s="5"/>
      <c r="D698" s="2"/>
      <c r="E698" s="5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4"/>
      <c r="C699" s="5"/>
      <c r="D699" s="2"/>
      <c r="E699" s="5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4"/>
      <c r="C700" s="5"/>
      <c r="D700" s="2"/>
      <c r="E700" s="5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4"/>
      <c r="C701" s="5"/>
      <c r="D701" s="2"/>
      <c r="E701" s="5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4"/>
      <c r="C702" s="5"/>
      <c r="D702" s="2"/>
      <c r="E702" s="5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4"/>
      <c r="C703" s="5"/>
      <c r="D703" s="2"/>
      <c r="E703" s="5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4"/>
      <c r="C704" s="5"/>
      <c r="D704" s="2"/>
      <c r="E704" s="5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4"/>
      <c r="C705" s="5"/>
      <c r="D705" s="2"/>
      <c r="E705" s="5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4"/>
      <c r="C706" s="5"/>
      <c r="D706" s="2"/>
      <c r="E706" s="5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4"/>
      <c r="C707" s="5"/>
      <c r="D707" s="2"/>
      <c r="E707" s="5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4"/>
      <c r="C708" s="5"/>
      <c r="D708" s="2"/>
      <c r="E708" s="5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4"/>
      <c r="C709" s="5"/>
      <c r="D709" s="2"/>
      <c r="E709" s="5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4"/>
      <c r="C710" s="5"/>
      <c r="D710" s="2"/>
      <c r="E710" s="5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4"/>
      <c r="C711" s="5"/>
      <c r="D711" s="2"/>
      <c r="E711" s="5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4"/>
      <c r="C712" s="5"/>
      <c r="D712" s="2"/>
      <c r="E712" s="5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4"/>
      <c r="C713" s="5"/>
      <c r="D713" s="2"/>
      <c r="E713" s="5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4"/>
      <c r="C714" s="5"/>
      <c r="D714" s="2"/>
      <c r="E714" s="5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4"/>
      <c r="C715" s="5"/>
      <c r="D715" s="2"/>
      <c r="E715" s="5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4"/>
      <c r="C716" s="5"/>
      <c r="D716" s="2"/>
      <c r="E716" s="5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4"/>
      <c r="C717" s="5"/>
      <c r="D717" s="2"/>
      <c r="E717" s="5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4"/>
      <c r="C718" s="5"/>
      <c r="D718" s="2"/>
      <c r="E718" s="5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4"/>
      <c r="C719" s="5"/>
      <c r="D719" s="2"/>
      <c r="E719" s="5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4"/>
      <c r="C720" s="5"/>
      <c r="D720" s="2"/>
      <c r="E720" s="5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4"/>
      <c r="C721" s="5"/>
      <c r="D721" s="2"/>
      <c r="E721" s="5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4"/>
      <c r="C722" s="5"/>
      <c r="D722" s="2"/>
      <c r="E722" s="5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4"/>
      <c r="C723" s="5"/>
      <c r="D723" s="2"/>
      <c r="E723" s="5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4"/>
      <c r="C724" s="5"/>
      <c r="D724" s="2"/>
      <c r="E724" s="5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4"/>
      <c r="C725" s="5"/>
      <c r="D725" s="2"/>
      <c r="E725" s="5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4"/>
      <c r="C726" s="5"/>
      <c r="D726" s="2"/>
      <c r="E726" s="5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4"/>
      <c r="C727" s="5"/>
      <c r="D727" s="2"/>
      <c r="E727" s="5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4"/>
      <c r="C728" s="5"/>
      <c r="D728" s="2"/>
      <c r="E728" s="5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4"/>
      <c r="C729" s="5"/>
      <c r="D729" s="2"/>
      <c r="E729" s="5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4"/>
      <c r="C730" s="5"/>
      <c r="D730" s="2"/>
      <c r="E730" s="5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4"/>
      <c r="C731" s="5"/>
      <c r="D731" s="2"/>
      <c r="E731" s="5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4"/>
      <c r="C732" s="5"/>
      <c r="D732" s="2"/>
      <c r="E732" s="5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4"/>
      <c r="C733" s="5"/>
      <c r="D733" s="2"/>
      <c r="E733" s="5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4"/>
      <c r="C734" s="5"/>
      <c r="D734" s="2"/>
      <c r="E734" s="5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4"/>
      <c r="C735" s="5"/>
      <c r="D735" s="2"/>
      <c r="E735" s="5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4"/>
      <c r="C736" s="5"/>
      <c r="D736" s="2"/>
      <c r="E736" s="5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4"/>
      <c r="C737" s="5"/>
      <c r="D737" s="2"/>
      <c r="E737" s="5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4"/>
      <c r="C738" s="5"/>
      <c r="D738" s="2"/>
      <c r="E738" s="5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4"/>
      <c r="C739" s="5"/>
      <c r="D739" s="2"/>
      <c r="E739" s="5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4"/>
      <c r="C740" s="5"/>
      <c r="D740" s="2"/>
      <c r="E740" s="5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4"/>
      <c r="C741" s="5"/>
      <c r="D741" s="2"/>
      <c r="E741" s="5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4"/>
      <c r="C742" s="5"/>
      <c r="D742" s="2"/>
      <c r="E742" s="5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4"/>
      <c r="C743" s="5"/>
      <c r="D743" s="2"/>
      <c r="E743" s="5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4"/>
      <c r="C744" s="5"/>
      <c r="D744" s="2"/>
      <c r="E744" s="5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4"/>
      <c r="C745" s="5"/>
      <c r="D745" s="2"/>
      <c r="E745" s="5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4"/>
      <c r="C746" s="5"/>
      <c r="D746" s="2"/>
      <c r="E746" s="5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4"/>
      <c r="C747" s="5"/>
      <c r="D747" s="2"/>
      <c r="E747" s="5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4"/>
      <c r="C748" s="5"/>
      <c r="D748" s="2"/>
      <c r="E748" s="5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4"/>
      <c r="C749" s="5"/>
      <c r="D749" s="2"/>
      <c r="E749" s="5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4"/>
      <c r="C750" s="5"/>
      <c r="D750" s="2"/>
      <c r="E750" s="5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4"/>
      <c r="C751" s="5"/>
      <c r="D751" s="2"/>
      <c r="E751" s="5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4"/>
      <c r="C752" s="5"/>
      <c r="D752" s="2"/>
      <c r="E752" s="5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4"/>
      <c r="C753" s="5"/>
      <c r="D753" s="2"/>
      <c r="E753" s="5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4"/>
      <c r="C754" s="5"/>
      <c r="D754" s="2"/>
      <c r="E754" s="5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4"/>
      <c r="C755" s="5"/>
      <c r="D755" s="2"/>
      <c r="E755" s="5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4"/>
      <c r="C756" s="5"/>
      <c r="D756" s="2"/>
      <c r="E756" s="5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4"/>
      <c r="C757" s="5"/>
      <c r="D757" s="2"/>
      <c r="E757" s="5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4"/>
      <c r="C758" s="5"/>
      <c r="D758" s="2"/>
      <c r="E758" s="5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4"/>
      <c r="C759" s="5"/>
      <c r="D759" s="2"/>
      <c r="E759" s="5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4"/>
      <c r="C760" s="5"/>
      <c r="D760" s="2"/>
      <c r="E760" s="5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4"/>
      <c r="C761" s="5"/>
      <c r="D761" s="2"/>
      <c r="E761" s="5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4"/>
      <c r="C762" s="5"/>
      <c r="D762" s="2"/>
      <c r="E762" s="5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4"/>
      <c r="C763" s="5"/>
      <c r="D763" s="2"/>
      <c r="E763" s="5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4"/>
      <c r="C764" s="5"/>
      <c r="D764" s="2"/>
      <c r="E764" s="5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4"/>
      <c r="C765" s="5"/>
      <c r="D765" s="2"/>
      <c r="E765" s="5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4"/>
      <c r="C766" s="5"/>
      <c r="D766" s="2"/>
      <c r="E766" s="5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4"/>
      <c r="C767" s="5"/>
      <c r="D767" s="2"/>
      <c r="E767" s="5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4"/>
      <c r="C768" s="5"/>
      <c r="D768" s="2"/>
      <c r="E768" s="5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4"/>
      <c r="C769" s="5"/>
      <c r="D769" s="2"/>
      <c r="E769" s="5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4"/>
      <c r="C770" s="5"/>
      <c r="D770" s="2"/>
      <c r="E770" s="5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4"/>
      <c r="C771" s="5"/>
      <c r="D771" s="2"/>
      <c r="E771" s="5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4"/>
      <c r="C772" s="5"/>
      <c r="D772" s="2"/>
      <c r="E772" s="5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4"/>
      <c r="C773" s="5"/>
      <c r="D773" s="2"/>
      <c r="E773" s="5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4"/>
      <c r="C774" s="5"/>
      <c r="D774" s="2"/>
      <c r="E774" s="5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4"/>
      <c r="C775" s="5"/>
      <c r="D775" s="2"/>
      <c r="E775" s="5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4"/>
      <c r="C776" s="5"/>
      <c r="D776" s="2"/>
      <c r="E776" s="5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4"/>
      <c r="C777" s="5"/>
      <c r="D777" s="2"/>
      <c r="E777" s="5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4"/>
      <c r="C778" s="5"/>
      <c r="D778" s="2"/>
      <c r="E778" s="5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4"/>
      <c r="C779" s="5"/>
      <c r="D779" s="2"/>
      <c r="E779" s="5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4"/>
      <c r="C780" s="5"/>
      <c r="D780" s="2"/>
      <c r="E780" s="5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4"/>
      <c r="C781" s="5"/>
      <c r="D781" s="2"/>
      <c r="E781" s="5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4"/>
      <c r="C782" s="5"/>
      <c r="D782" s="2"/>
      <c r="E782" s="5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4"/>
      <c r="C783" s="5"/>
      <c r="D783" s="2"/>
      <c r="E783" s="5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4"/>
      <c r="C784" s="5"/>
      <c r="D784" s="2"/>
      <c r="E784" s="5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4"/>
      <c r="C785" s="5"/>
      <c r="D785" s="2"/>
      <c r="E785" s="5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4"/>
      <c r="C786" s="5"/>
      <c r="D786" s="2"/>
      <c r="E786" s="5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4"/>
      <c r="C787" s="5"/>
      <c r="D787" s="2"/>
      <c r="E787" s="5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4"/>
      <c r="C788" s="5"/>
      <c r="D788" s="2"/>
      <c r="E788" s="5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4"/>
      <c r="C789" s="5"/>
      <c r="D789" s="2"/>
      <c r="E789" s="5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4"/>
      <c r="C790" s="5"/>
      <c r="D790" s="2"/>
      <c r="E790" s="5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4"/>
      <c r="C791" s="5"/>
      <c r="D791" s="2"/>
      <c r="E791" s="5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4"/>
      <c r="C792" s="5"/>
      <c r="D792" s="2"/>
      <c r="E792" s="5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4"/>
      <c r="C793" s="5"/>
      <c r="D793" s="2"/>
      <c r="E793" s="5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4"/>
      <c r="C794" s="5"/>
      <c r="D794" s="2"/>
      <c r="E794" s="5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4"/>
      <c r="C795" s="5"/>
      <c r="D795" s="2"/>
      <c r="E795" s="5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4"/>
      <c r="C796" s="5"/>
      <c r="D796" s="2"/>
      <c r="E796" s="5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4"/>
      <c r="C797" s="5"/>
      <c r="D797" s="2"/>
      <c r="E797" s="5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4"/>
      <c r="C798" s="5"/>
      <c r="D798" s="2"/>
      <c r="E798" s="5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4"/>
      <c r="C799" s="5"/>
      <c r="D799" s="2"/>
      <c r="E799" s="5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4"/>
      <c r="C800" s="5"/>
      <c r="D800" s="2"/>
      <c r="E800" s="5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4"/>
      <c r="C801" s="5"/>
      <c r="D801" s="2"/>
      <c r="E801" s="5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4"/>
      <c r="C802" s="5"/>
      <c r="D802" s="2"/>
      <c r="E802" s="5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4"/>
      <c r="C803" s="5"/>
      <c r="D803" s="2"/>
      <c r="E803" s="5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4"/>
      <c r="C804" s="5"/>
      <c r="D804" s="2"/>
      <c r="E804" s="5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4"/>
      <c r="C805" s="5"/>
      <c r="D805" s="2"/>
      <c r="E805" s="5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4"/>
      <c r="C806" s="5"/>
      <c r="D806" s="2"/>
      <c r="E806" s="5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4"/>
      <c r="C807" s="5"/>
      <c r="D807" s="2"/>
      <c r="E807" s="5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4"/>
      <c r="C808" s="5"/>
      <c r="D808" s="2"/>
      <c r="E808" s="5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4"/>
      <c r="C809" s="5"/>
      <c r="D809" s="2"/>
      <c r="E809" s="5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4"/>
      <c r="C810" s="5"/>
      <c r="D810" s="2"/>
      <c r="E810" s="5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4"/>
      <c r="C811" s="5"/>
      <c r="D811" s="2"/>
      <c r="E811" s="5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4"/>
      <c r="C812" s="5"/>
      <c r="D812" s="2"/>
      <c r="E812" s="5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4"/>
      <c r="C813" s="5"/>
      <c r="D813" s="2"/>
      <c r="E813" s="5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4"/>
      <c r="C814" s="5"/>
      <c r="D814" s="2"/>
      <c r="E814" s="5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4"/>
      <c r="C815" s="5"/>
      <c r="D815" s="2"/>
      <c r="E815" s="5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4"/>
      <c r="C816" s="5"/>
      <c r="D816" s="2"/>
      <c r="E816" s="5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4"/>
      <c r="C817" s="5"/>
      <c r="D817" s="2"/>
      <c r="E817" s="5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4"/>
      <c r="C818" s="5"/>
      <c r="D818" s="2"/>
      <c r="E818" s="5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4"/>
      <c r="C819" s="5"/>
      <c r="D819" s="2"/>
      <c r="E819" s="5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4"/>
      <c r="C820" s="5"/>
      <c r="D820" s="2"/>
      <c r="E820" s="5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4"/>
      <c r="C821" s="5"/>
      <c r="D821" s="2"/>
      <c r="E821" s="5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4"/>
      <c r="C822" s="5"/>
      <c r="D822" s="2"/>
      <c r="E822" s="5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4"/>
      <c r="C823" s="5"/>
      <c r="D823" s="2"/>
      <c r="E823" s="5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4"/>
      <c r="C824" s="5"/>
      <c r="D824" s="2"/>
      <c r="E824" s="5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4"/>
      <c r="C825" s="5"/>
      <c r="D825" s="2"/>
      <c r="E825" s="5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4"/>
      <c r="C826" s="5"/>
      <c r="D826" s="2"/>
      <c r="E826" s="5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4"/>
      <c r="C827" s="5"/>
      <c r="D827" s="2"/>
      <c r="E827" s="5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4"/>
      <c r="C828" s="5"/>
      <c r="D828" s="2"/>
      <c r="E828" s="5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4"/>
      <c r="C829" s="5"/>
      <c r="D829" s="2"/>
      <c r="E829" s="5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4"/>
      <c r="C830" s="5"/>
      <c r="D830" s="2"/>
      <c r="E830" s="5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4"/>
      <c r="C831" s="5"/>
      <c r="D831" s="2"/>
      <c r="E831" s="5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4"/>
      <c r="C832" s="5"/>
      <c r="D832" s="2"/>
      <c r="E832" s="5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4"/>
      <c r="C833" s="5"/>
      <c r="D833" s="2"/>
      <c r="E833" s="5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4"/>
      <c r="C834" s="5"/>
      <c r="D834" s="2"/>
      <c r="E834" s="5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4"/>
      <c r="C835" s="5"/>
      <c r="D835" s="2"/>
      <c r="E835" s="5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4"/>
      <c r="C836" s="5"/>
      <c r="D836" s="2"/>
      <c r="E836" s="5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4"/>
      <c r="C837" s="5"/>
      <c r="D837" s="2"/>
      <c r="E837" s="5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4"/>
      <c r="C838" s="5"/>
      <c r="D838" s="2"/>
      <c r="E838" s="5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4"/>
      <c r="C839" s="5"/>
      <c r="D839" s="2"/>
      <c r="E839" s="5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4"/>
      <c r="C840" s="5"/>
      <c r="D840" s="2"/>
      <c r="E840" s="5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4"/>
      <c r="C841" s="5"/>
      <c r="D841" s="2"/>
      <c r="E841" s="5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4"/>
      <c r="C842" s="5"/>
      <c r="D842" s="2"/>
      <c r="E842" s="5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4"/>
      <c r="C843" s="5"/>
      <c r="D843" s="2"/>
      <c r="E843" s="5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4"/>
      <c r="C844" s="5"/>
      <c r="D844" s="2"/>
      <c r="E844" s="5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4"/>
      <c r="C845" s="5"/>
      <c r="D845" s="2"/>
      <c r="E845" s="5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4"/>
      <c r="C846" s="5"/>
      <c r="D846" s="2"/>
      <c r="E846" s="5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4"/>
      <c r="C847" s="5"/>
      <c r="D847" s="2"/>
      <c r="E847" s="5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4"/>
      <c r="C848" s="5"/>
      <c r="D848" s="2"/>
      <c r="E848" s="5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4"/>
      <c r="C849" s="5"/>
      <c r="D849" s="2"/>
      <c r="E849" s="5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4"/>
      <c r="C850" s="5"/>
      <c r="D850" s="2"/>
      <c r="E850" s="5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4"/>
      <c r="C851" s="5"/>
      <c r="D851" s="2"/>
      <c r="E851" s="5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4"/>
      <c r="C852" s="5"/>
      <c r="D852" s="2"/>
      <c r="E852" s="5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4"/>
      <c r="C853" s="5"/>
      <c r="D853" s="2"/>
      <c r="E853" s="5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4"/>
      <c r="C854" s="5"/>
      <c r="D854" s="2"/>
      <c r="E854" s="5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4"/>
      <c r="C855" s="5"/>
      <c r="D855" s="2"/>
      <c r="E855" s="5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4"/>
      <c r="C856" s="5"/>
      <c r="D856" s="2"/>
      <c r="E856" s="5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4"/>
      <c r="C857" s="5"/>
      <c r="D857" s="2"/>
      <c r="E857" s="5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4"/>
      <c r="C858" s="5"/>
      <c r="D858" s="2"/>
      <c r="E858" s="5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4"/>
      <c r="C859" s="5"/>
      <c r="D859" s="2"/>
      <c r="E859" s="5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4"/>
      <c r="C860" s="5"/>
      <c r="D860" s="2"/>
      <c r="E860" s="5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4"/>
      <c r="C861" s="5"/>
      <c r="D861" s="2"/>
      <c r="E861" s="5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4"/>
      <c r="C862" s="5"/>
      <c r="D862" s="2"/>
      <c r="E862" s="5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4"/>
      <c r="C863" s="5"/>
      <c r="D863" s="2"/>
      <c r="E863" s="5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4"/>
      <c r="C864" s="5"/>
      <c r="D864" s="2"/>
      <c r="E864" s="5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4"/>
      <c r="C865" s="5"/>
      <c r="D865" s="2"/>
      <c r="E865" s="5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4"/>
      <c r="C866" s="5"/>
      <c r="D866" s="2"/>
      <c r="E866" s="5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4"/>
      <c r="C867" s="5"/>
      <c r="D867" s="2"/>
      <c r="E867" s="5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4"/>
      <c r="C868" s="5"/>
      <c r="D868" s="2"/>
      <c r="E868" s="5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4"/>
      <c r="C869" s="5"/>
      <c r="D869" s="2"/>
      <c r="E869" s="5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4"/>
      <c r="C870" s="5"/>
      <c r="D870" s="2"/>
      <c r="E870" s="5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4"/>
      <c r="C871" s="5"/>
      <c r="D871" s="2"/>
      <c r="E871" s="5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4"/>
      <c r="C872" s="5"/>
      <c r="D872" s="2"/>
      <c r="E872" s="5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4"/>
      <c r="C873" s="5"/>
      <c r="D873" s="2"/>
      <c r="E873" s="5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4"/>
      <c r="C874" s="5"/>
      <c r="D874" s="2"/>
      <c r="E874" s="5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4"/>
      <c r="C875" s="5"/>
      <c r="D875" s="2"/>
      <c r="E875" s="5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4"/>
      <c r="C876" s="5"/>
      <c r="D876" s="2"/>
      <c r="E876" s="5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4"/>
      <c r="C877" s="5"/>
      <c r="D877" s="2"/>
      <c r="E877" s="5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4"/>
      <c r="C878" s="5"/>
      <c r="D878" s="2"/>
      <c r="E878" s="5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4"/>
      <c r="C879" s="5"/>
      <c r="D879" s="2"/>
      <c r="E879" s="5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4"/>
      <c r="C880" s="5"/>
      <c r="D880" s="2"/>
      <c r="E880" s="5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4"/>
      <c r="C881" s="5"/>
      <c r="D881" s="2"/>
      <c r="E881" s="5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4"/>
      <c r="C882" s="5"/>
      <c r="D882" s="2"/>
      <c r="E882" s="5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4"/>
      <c r="C883" s="5"/>
      <c r="D883" s="2"/>
      <c r="E883" s="5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4"/>
      <c r="C884" s="5"/>
      <c r="D884" s="2"/>
      <c r="E884" s="5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4"/>
      <c r="C885" s="5"/>
      <c r="D885" s="2"/>
      <c r="E885" s="5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4"/>
      <c r="C886" s="5"/>
      <c r="D886" s="2"/>
      <c r="E886" s="5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4"/>
      <c r="C887" s="5"/>
      <c r="D887" s="2"/>
      <c r="E887" s="5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4"/>
      <c r="C888" s="5"/>
      <c r="D888" s="2"/>
      <c r="E888" s="5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4"/>
      <c r="C889" s="5"/>
      <c r="D889" s="2"/>
      <c r="E889" s="5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4"/>
      <c r="C890" s="5"/>
      <c r="D890" s="2"/>
      <c r="E890" s="5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4"/>
      <c r="C891" s="5"/>
      <c r="D891" s="2"/>
      <c r="E891" s="5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4"/>
      <c r="C892" s="5"/>
      <c r="D892" s="2"/>
      <c r="E892" s="5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4"/>
      <c r="C893" s="5"/>
      <c r="D893" s="2"/>
      <c r="E893" s="5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4"/>
      <c r="C894" s="5"/>
      <c r="D894" s="2"/>
      <c r="E894" s="5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4"/>
      <c r="C895" s="5"/>
      <c r="D895" s="2"/>
      <c r="E895" s="5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4"/>
      <c r="C896" s="5"/>
      <c r="D896" s="2"/>
      <c r="E896" s="5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4"/>
      <c r="C897" s="5"/>
      <c r="D897" s="2"/>
      <c r="E897" s="5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4"/>
      <c r="C898" s="5"/>
      <c r="D898" s="2"/>
      <c r="E898" s="5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4"/>
      <c r="C899" s="5"/>
      <c r="D899" s="2"/>
      <c r="E899" s="5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4"/>
      <c r="C900" s="5"/>
      <c r="D900" s="2"/>
      <c r="E900" s="5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4"/>
      <c r="C901" s="5"/>
      <c r="D901" s="2"/>
      <c r="E901" s="5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4"/>
      <c r="C902" s="5"/>
      <c r="D902" s="2"/>
      <c r="E902" s="5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4"/>
      <c r="C903" s="5"/>
      <c r="D903" s="2"/>
      <c r="E903" s="5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4"/>
      <c r="C904" s="5"/>
      <c r="D904" s="2"/>
      <c r="E904" s="5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4"/>
      <c r="C905" s="5"/>
      <c r="D905" s="2"/>
      <c r="E905" s="5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4"/>
      <c r="C906" s="5"/>
      <c r="D906" s="2"/>
      <c r="E906" s="5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4"/>
      <c r="C907" s="5"/>
      <c r="D907" s="2"/>
      <c r="E907" s="5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4"/>
      <c r="C908" s="5"/>
      <c r="D908" s="2"/>
      <c r="E908" s="5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4"/>
      <c r="C909" s="5"/>
      <c r="D909" s="2"/>
      <c r="E909" s="5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4"/>
      <c r="C910" s="5"/>
      <c r="D910" s="2"/>
      <c r="E910" s="5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4"/>
      <c r="C911" s="5"/>
      <c r="D911" s="2"/>
      <c r="E911" s="5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4"/>
      <c r="C912" s="5"/>
      <c r="D912" s="2"/>
      <c r="E912" s="5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4"/>
      <c r="C913" s="5"/>
      <c r="D913" s="2"/>
      <c r="E913" s="5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4"/>
      <c r="C914" s="5"/>
      <c r="D914" s="2"/>
      <c r="E914" s="5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4"/>
      <c r="C915" s="5"/>
      <c r="D915" s="2"/>
      <c r="E915" s="5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4"/>
      <c r="C916" s="5"/>
      <c r="D916" s="2"/>
      <c r="E916" s="5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4"/>
      <c r="C917" s="5"/>
      <c r="D917" s="2"/>
      <c r="E917" s="5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4"/>
      <c r="C918" s="5"/>
      <c r="D918" s="2"/>
      <c r="E918" s="5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4"/>
      <c r="C919" s="5"/>
      <c r="D919" s="2"/>
      <c r="E919" s="5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4"/>
      <c r="C920" s="5"/>
      <c r="D920" s="2"/>
      <c r="E920" s="5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4"/>
      <c r="C921" s="5"/>
      <c r="D921" s="2"/>
      <c r="E921" s="5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4"/>
      <c r="C922" s="5"/>
      <c r="D922" s="2"/>
      <c r="E922" s="5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4"/>
      <c r="C923" s="5"/>
      <c r="D923" s="2"/>
      <c r="E923" s="5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4"/>
      <c r="C924" s="5"/>
      <c r="D924" s="2"/>
      <c r="E924" s="5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4"/>
      <c r="C925" s="5"/>
      <c r="D925" s="2"/>
      <c r="E925" s="5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4"/>
      <c r="C926" s="5"/>
      <c r="D926" s="2"/>
      <c r="E926" s="5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4"/>
      <c r="C927" s="5"/>
      <c r="D927" s="2"/>
      <c r="E927" s="5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4"/>
      <c r="C928" s="5"/>
      <c r="D928" s="2"/>
      <c r="E928" s="5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4"/>
      <c r="C929" s="5"/>
      <c r="D929" s="2"/>
      <c r="E929" s="5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4"/>
      <c r="C930" s="5"/>
      <c r="D930" s="2"/>
      <c r="E930" s="5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4"/>
      <c r="C931" s="5"/>
      <c r="D931" s="2"/>
      <c r="E931" s="5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4"/>
      <c r="C932" s="5"/>
      <c r="D932" s="2"/>
      <c r="E932" s="5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4"/>
      <c r="C933" s="5"/>
      <c r="D933" s="2"/>
      <c r="E933" s="5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4"/>
      <c r="C934" s="5"/>
      <c r="D934" s="2"/>
      <c r="E934" s="5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4"/>
      <c r="C935" s="5"/>
      <c r="D935" s="2"/>
      <c r="E935" s="5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4"/>
      <c r="C936" s="5"/>
      <c r="D936" s="2"/>
      <c r="E936" s="5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4"/>
      <c r="C937" s="5"/>
      <c r="D937" s="2"/>
      <c r="E937" s="5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4"/>
      <c r="C938" s="5"/>
      <c r="D938" s="2"/>
      <c r="E938" s="5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4"/>
      <c r="C939" s="5"/>
      <c r="D939" s="2"/>
      <c r="E939" s="5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4"/>
      <c r="C940" s="5"/>
      <c r="D940" s="2"/>
      <c r="E940" s="5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4"/>
      <c r="C941" s="5"/>
      <c r="D941" s="2"/>
      <c r="E941" s="5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4"/>
      <c r="C942" s="5"/>
      <c r="D942" s="2"/>
      <c r="E942" s="5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4"/>
      <c r="C943" s="5"/>
      <c r="D943" s="2"/>
      <c r="E943" s="5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4"/>
      <c r="C944" s="5"/>
      <c r="D944" s="2"/>
      <c r="E944" s="5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4"/>
      <c r="C945" s="5"/>
      <c r="D945" s="2"/>
      <c r="E945" s="5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4"/>
      <c r="C946" s="5"/>
      <c r="D946" s="2"/>
      <c r="E946" s="5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4"/>
      <c r="C947" s="5"/>
      <c r="D947" s="2"/>
      <c r="E947" s="5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4"/>
      <c r="C948" s="5"/>
      <c r="D948" s="2"/>
      <c r="E948" s="5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4"/>
      <c r="C949" s="5"/>
      <c r="D949" s="2"/>
      <c r="E949" s="5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4"/>
      <c r="C950" s="5"/>
      <c r="D950" s="2"/>
      <c r="E950" s="5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4"/>
      <c r="C951" s="5"/>
      <c r="D951" s="2"/>
      <c r="E951" s="5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4"/>
      <c r="C952" s="5"/>
      <c r="D952" s="2"/>
      <c r="E952" s="5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4"/>
      <c r="C953" s="5"/>
      <c r="D953" s="2"/>
      <c r="E953" s="5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4"/>
      <c r="C954" s="5"/>
      <c r="D954" s="2"/>
      <c r="E954" s="5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4"/>
      <c r="C955" s="5"/>
      <c r="D955" s="2"/>
      <c r="E955" s="5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4"/>
      <c r="C956" s="5"/>
      <c r="D956" s="2"/>
      <c r="E956" s="5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4"/>
      <c r="C957" s="5"/>
      <c r="D957" s="2"/>
      <c r="E957" s="5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4"/>
      <c r="C958" s="5"/>
      <c r="D958" s="2"/>
      <c r="E958" s="5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4"/>
      <c r="C959" s="5"/>
      <c r="D959" s="2"/>
      <c r="E959" s="5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4"/>
      <c r="C960" s="5"/>
      <c r="D960" s="2"/>
      <c r="E960" s="5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4"/>
      <c r="C961" s="5"/>
      <c r="D961" s="2"/>
      <c r="E961" s="5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4"/>
      <c r="C962" s="5"/>
      <c r="D962" s="2"/>
      <c r="E962" s="5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4"/>
      <c r="C963" s="5"/>
      <c r="D963" s="2"/>
      <c r="E963" s="5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4"/>
      <c r="C964" s="5"/>
      <c r="D964" s="2"/>
      <c r="E964" s="5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4"/>
      <c r="C965" s="5"/>
      <c r="D965" s="2"/>
      <c r="E965" s="5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4"/>
      <c r="C966" s="5"/>
      <c r="D966" s="2"/>
      <c r="E966" s="5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4"/>
      <c r="C967" s="5"/>
      <c r="D967" s="2"/>
      <c r="E967" s="5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4"/>
      <c r="C968" s="5"/>
      <c r="D968" s="2"/>
      <c r="E968" s="5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4"/>
      <c r="C969" s="5"/>
      <c r="D969" s="2"/>
      <c r="E969" s="5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4"/>
      <c r="C970" s="5"/>
      <c r="D970" s="2"/>
      <c r="E970" s="5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4"/>
      <c r="C971" s="5"/>
      <c r="D971" s="2"/>
      <c r="E971" s="5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4"/>
      <c r="C972" s="5"/>
      <c r="D972" s="2"/>
      <c r="E972" s="5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4"/>
      <c r="C973" s="5"/>
      <c r="D973" s="2"/>
      <c r="E973" s="5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4"/>
      <c r="C974" s="5"/>
      <c r="D974" s="2"/>
      <c r="E974" s="5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4"/>
      <c r="C975" s="5"/>
      <c r="D975" s="2"/>
      <c r="E975" s="5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4"/>
      <c r="C976" s="5"/>
      <c r="D976" s="2"/>
      <c r="E976" s="5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4"/>
      <c r="C977" s="5"/>
      <c r="D977" s="2"/>
      <c r="E977" s="5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4"/>
      <c r="C978" s="5"/>
      <c r="D978" s="2"/>
      <c r="E978" s="5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4"/>
      <c r="C979" s="5"/>
      <c r="D979" s="2"/>
      <c r="E979" s="5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4"/>
      <c r="C980" s="5"/>
      <c r="D980" s="2"/>
      <c r="E980" s="5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4"/>
      <c r="C981" s="5"/>
      <c r="D981" s="2"/>
      <c r="E981" s="5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4"/>
      <c r="C982" s="5"/>
      <c r="D982" s="2"/>
      <c r="E982" s="5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4"/>
      <c r="C983" s="5"/>
      <c r="D983" s="2"/>
      <c r="E983" s="5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4"/>
      <c r="C984" s="5"/>
      <c r="D984" s="2"/>
      <c r="E984" s="5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4"/>
      <c r="C985" s="5"/>
      <c r="D985" s="2"/>
      <c r="E985" s="5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4"/>
      <c r="C986" s="5"/>
      <c r="D986" s="2"/>
      <c r="E986" s="5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4"/>
      <c r="C987" s="5"/>
      <c r="D987" s="2"/>
      <c r="E987" s="5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4"/>
      <c r="C988" s="5"/>
      <c r="D988" s="2"/>
      <c r="E988" s="5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4"/>
      <c r="C989" s="5"/>
      <c r="D989" s="2"/>
      <c r="E989" s="5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4"/>
      <c r="C990" s="5"/>
      <c r="D990" s="2"/>
      <c r="E990" s="5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4"/>
      <c r="C991" s="5"/>
      <c r="D991" s="2"/>
      <c r="E991" s="5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4"/>
      <c r="C992" s="5"/>
      <c r="D992" s="2"/>
      <c r="E992" s="5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4"/>
      <c r="C993" s="5"/>
      <c r="D993" s="2"/>
      <c r="E993" s="5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4"/>
      <c r="C994" s="5"/>
      <c r="D994" s="2"/>
      <c r="E994" s="5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4"/>
      <c r="C995" s="5"/>
      <c r="D995" s="2"/>
      <c r="E995" s="5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4"/>
      <c r="C996" s="5"/>
      <c r="D996" s="2"/>
      <c r="E996" s="5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4"/>
      <c r="C997" s="5"/>
      <c r="D997" s="2"/>
      <c r="E997" s="5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4"/>
      <c r="C998" s="5"/>
      <c r="D998" s="2"/>
      <c r="E998" s="5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4"/>
      <c r="C999" s="5"/>
      <c r="D999" s="2"/>
      <c r="E999" s="5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4"/>
      <c r="C1000" s="5"/>
      <c r="D1000" s="2"/>
      <c r="E1000" s="5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3:$P$324">
    <filterColumn colId="3">
      <filters>
        <filter val="07-07/TS"/>
      </filters>
    </filterColumn>
  </autoFilter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8.63"/>
    <col customWidth="1" min="5" max="5" width="45.38"/>
    <col customWidth="1" min="6" max="6" width="14.0"/>
    <col customWidth="1" min="7" max="8" width="8.63"/>
    <col customWidth="1" min="9" max="9" width="9.13"/>
    <col customWidth="1" min="10" max="26" width="8.63"/>
  </cols>
  <sheetData>
    <row r="1">
      <c r="E1" s="1"/>
    </row>
    <row r="2">
      <c r="E2" s="1"/>
    </row>
    <row r="3">
      <c r="E3" s="1"/>
    </row>
    <row r="4">
      <c r="E4" s="1"/>
    </row>
    <row r="5">
      <c r="E5" s="1"/>
    </row>
    <row r="6">
      <c r="E6" s="1"/>
    </row>
    <row r="7">
      <c r="E7" s="1"/>
    </row>
    <row r="8">
      <c r="E8" s="1"/>
    </row>
    <row r="9">
      <c r="E9" s="1"/>
    </row>
    <row r="10">
      <c r="A10" s="2"/>
      <c r="B10" s="2"/>
      <c r="C10" s="2"/>
      <c r="D10" s="2"/>
      <c r="E10" s="5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5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E12" s="1"/>
    </row>
    <row r="13">
      <c r="E13" s="1"/>
    </row>
    <row r="14">
      <c r="E14" s="1"/>
    </row>
    <row r="15">
      <c r="E15" s="17" t="s">
        <v>0</v>
      </c>
      <c r="F15" s="20" t="s">
        <v>1</v>
      </c>
    </row>
    <row r="16">
      <c r="E16" s="17" t="s">
        <v>2</v>
      </c>
      <c r="F16" s="22" t="s">
        <v>3</v>
      </c>
    </row>
    <row r="17">
      <c r="E17" s="17" t="s">
        <v>4</v>
      </c>
      <c r="F17" s="22" t="s">
        <v>3</v>
      </c>
    </row>
    <row r="18">
      <c r="E18" s="17" t="s">
        <v>5</v>
      </c>
      <c r="F18" s="22" t="s">
        <v>6</v>
      </c>
    </row>
    <row r="19">
      <c r="E19" s="17" t="s">
        <v>7</v>
      </c>
      <c r="F19" s="22" t="s">
        <v>9</v>
      </c>
    </row>
    <row r="20">
      <c r="E20" s="17" t="s">
        <v>10</v>
      </c>
      <c r="F20" s="22" t="s">
        <v>11</v>
      </c>
    </row>
    <row r="21" ht="15.75" customHeight="1">
      <c r="E21" s="17" t="s">
        <v>13</v>
      </c>
      <c r="F21" s="22" t="s">
        <v>14</v>
      </c>
    </row>
    <row r="22" ht="15.75" customHeight="1">
      <c r="E22" s="17" t="s">
        <v>16</v>
      </c>
      <c r="F22" s="22" t="s">
        <v>17</v>
      </c>
    </row>
    <row r="23" ht="15.75" customHeight="1">
      <c r="E23" s="17" t="s">
        <v>19</v>
      </c>
      <c r="F23" s="22" t="s">
        <v>21</v>
      </c>
    </row>
    <row r="24" ht="15.75" customHeight="1">
      <c r="E24" s="17" t="s">
        <v>25</v>
      </c>
      <c r="F24" s="22" t="s">
        <v>26</v>
      </c>
    </row>
    <row r="25" ht="15.75" customHeight="1">
      <c r="E25" s="17" t="s">
        <v>28</v>
      </c>
      <c r="F25" s="22" t="s">
        <v>29</v>
      </c>
    </row>
    <row r="26" ht="15.75" customHeight="1">
      <c r="E26" s="17" t="s">
        <v>34</v>
      </c>
      <c r="F26" s="22" t="s">
        <v>35</v>
      </c>
    </row>
    <row r="27" ht="15.75" customHeight="1">
      <c r="E27" s="37" t="s">
        <v>36</v>
      </c>
      <c r="F27" s="22" t="s">
        <v>38</v>
      </c>
    </row>
    <row r="28" ht="15.75" customHeight="1">
      <c r="E28" s="37" t="s">
        <v>40</v>
      </c>
      <c r="F28" s="22" t="s">
        <v>41</v>
      </c>
    </row>
    <row r="29" ht="15.75" customHeight="1">
      <c r="E29" s="43" t="s">
        <v>43</v>
      </c>
      <c r="F29" s="22" t="e">
        <v>#N/A</v>
      </c>
    </row>
    <row r="30" ht="15.75" customHeight="1">
      <c r="E30" s="43" t="s">
        <v>47</v>
      </c>
      <c r="F30" s="22" t="s">
        <v>48</v>
      </c>
    </row>
    <row r="31" ht="15.75" customHeight="1">
      <c r="E31" s="43" t="s">
        <v>49</v>
      </c>
      <c r="F31" s="22" t="s">
        <v>50</v>
      </c>
    </row>
    <row r="32" ht="15.75" customHeight="1">
      <c r="E32" s="43" t="s">
        <v>53</v>
      </c>
      <c r="F32" s="22" t="s">
        <v>55</v>
      </c>
    </row>
    <row r="33" ht="15.75" customHeight="1">
      <c r="E33" s="43" t="s">
        <v>58</v>
      </c>
      <c r="F33" s="22" t="s">
        <v>59</v>
      </c>
    </row>
    <row r="34" ht="15.75" customHeight="1">
      <c r="E34" s="1"/>
    </row>
    <row r="35" ht="15.75" customHeight="1">
      <c r="E35" s="1"/>
    </row>
    <row r="36" ht="15.75" customHeight="1">
      <c r="E36" s="1"/>
    </row>
    <row r="37" ht="15.75" customHeight="1">
      <c r="E37" s="1"/>
    </row>
    <row r="38" ht="15.75" customHeight="1">
      <c r="E38" s="1"/>
    </row>
    <row r="39" ht="15.75" customHeight="1">
      <c r="E39" s="1"/>
    </row>
    <row r="40" ht="15.75" customHeight="1">
      <c r="E40" s="1"/>
    </row>
    <row r="41" ht="15.75" customHeight="1">
      <c r="E41" s="1"/>
    </row>
    <row r="42" ht="15.75" customHeight="1">
      <c r="E42" s="1"/>
    </row>
    <row r="43" ht="15.75" customHeight="1">
      <c r="E43" s="1"/>
    </row>
    <row r="44" ht="15.75" customHeight="1">
      <c r="E44" s="1"/>
    </row>
    <row r="45" ht="15.75" customHeight="1">
      <c r="E45" s="1"/>
    </row>
    <row r="46" ht="15.75" customHeight="1">
      <c r="E46" s="1"/>
    </row>
    <row r="47" ht="15.75" customHeight="1">
      <c r="E47" s="1"/>
    </row>
    <row r="48" ht="15.75" customHeight="1">
      <c r="E48" s="1"/>
    </row>
    <row r="49" ht="15.75" customHeight="1">
      <c r="E49" s="1"/>
    </row>
    <row r="50" ht="15.75" customHeight="1">
      <c r="E50" s="1"/>
    </row>
    <row r="51" ht="15.75" customHeight="1">
      <c r="E51" s="1"/>
    </row>
    <row r="52" ht="15.75" customHeight="1">
      <c r="E52" s="1"/>
    </row>
    <row r="53" ht="15.75" customHeight="1">
      <c r="E53" s="1"/>
    </row>
    <row r="54" ht="15.75" customHeight="1">
      <c r="E54" s="1"/>
    </row>
    <row r="55" ht="15.75" customHeight="1">
      <c r="E55" s="1"/>
    </row>
    <row r="56" ht="15.75" customHeight="1">
      <c r="E56" s="1"/>
    </row>
    <row r="57" ht="15.75" customHeight="1">
      <c r="E57" s="1"/>
    </row>
    <row r="58" ht="15.75" customHeight="1">
      <c r="E58" s="1"/>
    </row>
    <row r="59" ht="15.75" customHeight="1">
      <c r="E59" s="1"/>
    </row>
    <row r="60" ht="15.75" customHeight="1">
      <c r="E60" s="1"/>
    </row>
    <row r="61" ht="15.75" customHeight="1">
      <c r="E61" s="1"/>
    </row>
    <row r="62" ht="15.75" customHeight="1">
      <c r="E62" s="1"/>
    </row>
    <row r="63" ht="15.75" customHeight="1">
      <c r="E63" s="1"/>
    </row>
    <row r="64" ht="15.75" customHeight="1">
      <c r="E64" s="1"/>
    </row>
    <row r="65" ht="15.75" customHeight="1">
      <c r="E65" s="1"/>
    </row>
    <row r="66" ht="15.75" customHeight="1">
      <c r="E66" s="1"/>
    </row>
    <row r="67" ht="15.75" customHeight="1">
      <c r="E67" s="1"/>
    </row>
    <row r="68" ht="15.75" customHeight="1">
      <c r="E68" s="1"/>
    </row>
    <row r="69" ht="15.75" customHeight="1">
      <c r="E69" s="1"/>
    </row>
    <row r="70" ht="15.75" customHeight="1">
      <c r="E70" s="1"/>
    </row>
    <row r="71" ht="15.75" customHeight="1">
      <c r="E71" s="1"/>
    </row>
    <row r="72" ht="15.75" customHeight="1">
      <c r="E72" s="1"/>
    </row>
    <row r="73" ht="15.75" customHeight="1">
      <c r="E73" s="1"/>
    </row>
    <row r="74" ht="15.75" customHeight="1">
      <c r="E74" s="1"/>
    </row>
    <row r="75" ht="15.75" customHeight="1">
      <c r="E75" s="1"/>
    </row>
    <row r="76" ht="15.75" customHeight="1">
      <c r="E76" s="1"/>
    </row>
    <row r="77" ht="15.75" customHeight="1">
      <c r="E77" s="1"/>
    </row>
    <row r="78" ht="15.75" customHeight="1">
      <c r="E78" s="1"/>
    </row>
    <row r="79" ht="15.75" customHeight="1">
      <c r="E79" s="1"/>
    </row>
    <row r="80" ht="15.75" customHeight="1">
      <c r="E80" s="1"/>
    </row>
    <row r="81" ht="15.75" customHeight="1">
      <c r="E81" s="1"/>
    </row>
    <row r="82" ht="15.75" customHeight="1">
      <c r="A82" s="69"/>
      <c r="B82" s="69"/>
      <c r="C82" s="69"/>
      <c r="D82" s="69"/>
      <c r="E82" s="71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 ht="15.75" customHeight="1">
      <c r="E83" s="1"/>
    </row>
    <row r="84" ht="15.75" customHeight="1">
      <c r="E84" s="1"/>
    </row>
    <row r="85" ht="15.75" customHeight="1">
      <c r="A85" s="73"/>
      <c r="B85" s="73"/>
      <c r="C85" s="73"/>
      <c r="D85" s="73"/>
      <c r="E85" s="75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</row>
    <row r="86" ht="15.75" customHeight="1">
      <c r="E86" s="1"/>
    </row>
    <row r="87" ht="15.75" customHeight="1">
      <c r="E87" s="1"/>
    </row>
    <row r="88" ht="15.75" customHeight="1">
      <c r="E88" s="1"/>
    </row>
    <row r="89" ht="15.75" customHeight="1">
      <c r="E89" s="1"/>
    </row>
    <row r="90" ht="15.75" customHeight="1">
      <c r="E90" s="1"/>
    </row>
    <row r="91" ht="15.75" customHeight="1">
      <c r="E91" s="1"/>
    </row>
    <row r="92" ht="15.75" customHeight="1">
      <c r="E92" s="1"/>
    </row>
    <row r="93" ht="15.75" customHeight="1">
      <c r="E93" s="1"/>
    </row>
    <row r="94" ht="15.75" customHeight="1">
      <c r="E94" s="1"/>
    </row>
    <row r="95" ht="15.75" customHeight="1">
      <c r="E95" s="1"/>
    </row>
    <row r="96" ht="15.75" customHeight="1">
      <c r="E96" s="1"/>
    </row>
    <row r="97" ht="15.75" customHeight="1">
      <c r="E97" s="1"/>
    </row>
    <row r="98" ht="15.75" customHeight="1">
      <c r="E98" s="1"/>
    </row>
    <row r="99" ht="15.75" customHeight="1">
      <c r="E99" s="1"/>
    </row>
    <row r="100" ht="15.75" customHeight="1">
      <c r="E100" s="1"/>
    </row>
    <row r="101" ht="15.75" customHeight="1">
      <c r="E101" s="1"/>
    </row>
    <row r="102" ht="15.75" customHeight="1">
      <c r="E102" s="1"/>
    </row>
    <row r="103" ht="15.75" customHeight="1">
      <c r="E103" s="1"/>
    </row>
    <row r="104" ht="15.75" customHeight="1">
      <c r="E104" s="1"/>
    </row>
    <row r="105" ht="15.75" customHeight="1">
      <c r="E105" s="1"/>
    </row>
    <row r="106" ht="15.75" customHeight="1">
      <c r="E106" s="1"/>
    </row>
    <row r="107" ht="15.75" customHeight="1">
      <c r="E107" s="1"/>
    </row>
    <row r="108" ht="15.75" customHeight="1">
      <c r="E108" s="1"/>
    </row>
    <row r="109" ht="15.75" customHeight="1">
      <c r="E109" s="1"/>
    </row>
    <row r="110" ht="15.75" customHeight="1">
      <c r="E110" s="1"/>
    </row>
    <row r="111" ht="15.75" customHeight="1">
      <c r="E111" s="1"/>
    </row>
    <row r="112" ht="15.75" customHeight="1">
      <c r="E112" s="1"/>
    </row>
    <row r="113" ht="15.75" customHeight="1">
      <c r="E113" s="1"/>
    </row>
    <row r="114" ht="15.75" customHeight="1">
      <c r="E114" s="1"/>
    </row>
    <row r="115" ht="15.75" customHeight="1">
      <c r="E115" s="1"/>
    </row>
    <row r="116" ht="15.75" customHeight="1">
      <c r="E116" s="1"/>
    </row>
    <row r="117" ht="15.75" customHeight="1">
      <c r="E117" s="1"/>
    </row>
    <row r="118" ht="15.75" customHeight="1">
      <c r="E118" s="1"/>
    </row>
    <row r="119" ht="15.75" customHeight="1">
      <c r="E119" s="1"/>
    </row>
    <row r="120" ht="15.75" customHeight="1">
      <c r="E120" s="1"/>
    </row>
    <row r="121" ht="15.75" customHeight="1">
      <c r="E121" s="1"/>
    </row>
    <row r="122" ht="15.75" customHeight="1">
      <c r="E122" s="1"/>
    </row>
    <row r="123" ht="15.75" customHeight="1">
      <c r="E123" s="1"/>
    </row>
    <row r="124" ht="15.75" customHeight="1">
      <c r="E124" s="1"/>
    </row>
    <row r="125" ht="15.75" customHeight="1">
      <c r="E125" s="1"/>
    </row>
    <row r="126" ht="15.75" customHeight="1">
      <c r="E126" s="1"/>
    </row>
    <row r="127" ht="15.75" customHeight="1">
      <c r="E127" s="1"/>
    </row>
    <row r="128" ht="15.75" customHeight="1">
      <c r="E128" s="1"/>
    </row>
    <row r="129" ht="15.75" customHeight="1">
      <c r="E129" s="1"/>
    </row>
    <row r="130" ht="15.75" customHeight="1">
      <c r="E130" s="1"/>
    </row>
    <row r="131" ht="15.75" customHeight="1">
      <c r="E131" s="1"/>
    </row>
    <row r="132" ht="15.75" customHeight="1">
      <c r="E132" s="1"/>
    </row>
    <row r="133" ht="15.75" customHeight="1">
      <c r="E133" s="1"/>
    </row>
    <row r="134" ht="15.75" customHeight="1">
      <c r="E134" s="1"/>
    </row>
    <row r="135" ht="15.75" customHeight="1">
      <c r="E135" s="1"/>
    </row>
    <row r="136" ht="15.75" customHeight="1">
      <c r="E136" s="1"/>
    </row>
    <row r="137" ht="15.75" customHeight="1">
      <c r="E137" s="1"/>
    </row>
    <row r="138" ht="15.75" customHeight="1">
      <c r="E138" s="1"/>
    </row>
    <row r="139" ht="15.75" customHeight="1">
      <c r="E139" s="1"/>
    </row>
    <row r="140" ht="15.75" customHeight="1">
      <c r="E140" s="1"/>
    </row>
    <row r="141" ht="15.75" customHeight="1">
      <c r="E141" s="1"/>
    </row>
    <row r="142" ht="15.75" customHeight="1">
      <c r="E142" s="1"/>
    </row>
    <row r="143" ht="15.75" customHeight="1">
      <c r="E143" s="1"/>
    </row>
    <row r="144" ht="15.75" customHeight="1">
      <c r="E144" s="1"/>
    </row>
    <row r="145" ht="15.75" customHeight="1">
      <c r="E145" s="1"/>
    </row>
    <row r="146" ht="15.75" customHeight="1">
      <c r="E146" s="1"/>
    </row>
    <row r="147" ht="15.75" customHeight="1">
      <c r="E147" s="1"/>
    </row>
    <row r="148" ht="15.75" customHeight="1">
      <c r="E148" s="1"/>
    </row>
    <row r="149" ht="15.75" customHeight="1">
      <c r="E149" s="1"/>
    </row>
    <row r="150" ht="15.75" customHeight="1">
      <c r="E150" s="1"/>
    </row>
    <row r="151" ht="15.75" customHeight="1">
      <c r="E151" s="1"/>
    </row>
    <row r="152" ht="15.75" customHeight="1">
      <c r="E152" s="1"/>
    </row>
    <row r="153" ht="15.75" customHeight="1">
      <c r="E153" s="1"/>
    </row>
    <row r="154" ht="15.75" customHeight="1">
      <c r="E154" s="1"/>
    </row>
    <row r="155" ht="15.75" customHeight="1">
      <c r="E155" s="1"/>
    </row>
    <row r="156" ht="15.75" customHeight="1">
      <c r="E156" s="1"/>
    </row>
    <row r="157" ht="15.75" customHeight="1">
      <c r="E157" s="1"/>
    </row>
    <row r="158" ht="15.75" customHeight="1">
      <c r="E158" s="1"/>
    </row>
    <row r="159" ht="15.75" customHeight="1">
      <c r="E159" s="1"/>
    </row>
    <row r="160" ht="15.75" customHeight="1">
      <c r="E160" s="1"/>
    </row>
    <row r="161" ht="15.75" customHeight="1">
      <c r="E161" s="1"/>
    </row>
    <row r="162" ht="15.75" customHeight="1">
      <c r="E162" s="1"/>
    </row>
    <row r="163" ht="15.75" customHeight="1">
      <c r="E163" s="1"/>
    </row>
    <row r="164" ht="15.75" customHeight="1">
      <c r="E164" s="1"/>
    </row>
    <row r="165" ht="15.75" customHeight="1">
      <c r="E165" s="1"/>
    </row>
    <row r="166" ht="15.75" customHeight="1">
      <c r="E166" s="1"/>
    </row>
    <row r="167" ht="15.75" customHeight="1">
      <c r="E167" s="1"/>
    </row>
    <row r="168" ht="15.75" customHeight="1">
      <c r="E168" s="1"/>
    </row>
    <row r="169" ht="15.75" customHeight="1">
      <c r="E169" s="1"/>
    </row>
    <row r="170" ht="15.75" customHeight="1">
      <c r="E170" s="1"/>
    </row>
    <row r="171" ht="15.75" customHeight="1">
      <c r="E171" s="1"/>
    </row>
    <row r="172" ht="15.75" customHeight="1">
      <c r="E172" s="1"/>
    </row>
    <row r="173" ht="15.75" customHeight="1">
      <c r="E173" s="1"/>
    </row>
    <row r="174" ht="15.75" customHeight="1">
      <c r="E174" s="1"/>
    </row>
    <row r="175" ht="15.75" customHeight="1">
      <c r="E175" s="1"/>
    </row>
    <row r="176" ht="15.75" customHeight="1">
      <c r="E176" s="1"/>
    </row>
    <row r="177" ht="15.75" customHeight="1">
      <c r="E177" s="1"/>
    </row>
    <row r="178" ht="15.75" customHeight="1">
      <c r="E178" s="1"/>
    </row>
    <row r="179" ht="15.75" customHeight="1">
      <c r="E179" s="1"/>
    </row>
    <row r="180" ht="15.75" customHeight="1">
      <c r="E180" s="1"/>
    </row>
    <row r="181" ht="15.75" customHeight="1">
      <c r="E181" s="1"/>
    </row>
    <row r="182" ht="15.75" customHeight="1">
      <c r="E182" s="1"/>
    </row>
    <row r="183" ht="15.75" customHeight="1">
      <c r="E183" s="1"/>
    </row>
    <row r="184" ht="15.75" customHeight="1">
      <c r="E184" s="1"/>
    </row>
    <row r="185" ht="15.75" customHeight="1">
      <c r="E185" s="1"/>
    </row>
    <row r="186" ht="15.75" customHeight="1">
      <c r="E186" s="1"/>
    </row>
    <row r="187" ht="15.75" customHeight="1">
      <c r="E187" s="1"/>
    </row>
    <row r="188" ht="15.75" customHeight="1">
      <c r="E188" s="1"/>
    </row>
    <row r="189" ht="15.75" customHeight="1">
      <c r="E189" s="1"/>
    </row>
    <row r="190" ht="15.75" customHeight="1">
      <c r="E190" s="1"/>
    </row>
    <row r="191" ht="15.75" customHeight="1">
      <c r="E191" s="1"/>
    </row>
    <row r="192" ht="15.75" customHeight="1">
      <c r="E192" s="1"/>
    </row>
    <row r="193" ht="15.75" customHeight="1">
      <c r="E193" s="1"/>
    </row>
    <row r="194" ht="15.75" customHeight="1">
      <c r="E194" s="1"/>
    </row>
    <row r="195" ht="15.75" customHeight="1">
      <c r="E195" s="1"/>
    </row>
    <row r="196" ht="15.75" customHeight="1">
      <c r="E196" s="1"/>
    </row>
    <row r="197" ht="15.75" customHeight="1">
      <c r="E197" s="1"/>
    </row>
    <row r="198" ht="15.75" customHeight="1">
      <c r="E198" s="1"/>
    </row>
    <row r="199" ht="15.75" customHeight="1">
      <c r="E199" s="1"/>
    </row>
    <row r="200" ht="15.75" customHeight="1">
      <c r="E200" s="1"/>
    </row>
    <row r="201" ht="15.75" customHeight="1">
      <c r="E201" s="1"/>
    </row>
    <row r="202" ht="15.75" customHeight="1">
      <c r="E202" s="1"/>
    </row>
    <row r="203" ht="15.75" customHeight="1">
      <c r="E203" s="1"/>
    </row>
    <row r="204" ht="15.75" customHeight="1">
      <c r="E204" s="1"/>
    </row>
    <row r="205" ht="15.75" customHeight="1">
      <c r="E205" s="1"/>
    </row>
    <row r="206" ht="15.75" customHeight="1">
      <c r="E206" s="1"/>
    </row>
    <row r="207" ht="15.75" customHeight="1">
      <c r="E207" s="1"/>
    </row>
    <row r="208" ht="15.75" customHeight="1">
      <c r="E208" s="1"/>
    </row>
    <row r="209" ht="15.75" customHeight="1">
      <c r="E209" s="1"/>
    </row>
    <row r="210" ht="15.75" customHeight="1">
      <c r="E210" s="1"/>
    </row>
    <row r="211" ht="15.75" customHeight="1">
      <c r="E211" s="1"/>
    </row>
    <row r="212" ht="15.75" customHeight="1">
      <c r="E212" s="1"/>
    </row>
    <row r="213" ht="15.75" customHeight="1">
      <c r="E213" s="1"/>
    </row>
    <row r="214" ht="15.75" customHeight="1">
      <c r="E214" s="1"/>
    </row>
    <row r="215" ht="15.75" customHeight="1">
      <c r="E215" s="1"/>
    </row>
    <row r="216" ht="15.75" customHeight="1">
      <c r="E216" s="1"/>
    </row>
    <row r="217" ht="15.75" customHeight="1">
      <c r="E217" s="1"/>
    </row>
    <row r="218" ht="15.75" customHeight="1">
      <c r="E218" s="1"/>
    </row>
    <row r="219" ht="15.75" customHeight="1">
      <c r="E219" s="1"/>
    </row>
    <row r="220" ht="15.75" customHeight="1">
      <c r="E220" s="1"/>
    </row>
    <row r="221" ht="15.75" customHeight="1">
      <c r="E221" s="1"/>
    </row>
    <row r="222" ht="15.75" customHeight="1">
      <c r="E222" s="1"/>
    </row>
    <row r="223" ht="15.75" customHeight="1">
      <c r="E223" s="1"/>
    </row>
    <row r="224" ht="15.75" customHeight="1">
      <c r="E224" s="1"/>
    </row>
    <row r="225" ht="15.75" customHeight="1">
      <c r="E225" s="1"/>
    </row>
    <row r="226" ht="15.75" customHeight="1">
      <c r="E226" s="1"/>
    </row>
    <row r="227" ht="15.75" customHeight="1">
      <c r="E227" s="1"/>
    </row>
    <row r="228" ht="15.75" customHeight="1">
      <c r="E228" s="1"/>
    </row>
    <row r="229" ht="15.75" customHeight="1">
      <c r="E229" s="1"/>
    </row>
    <row r="230" ht="15.75" customHeight="1">
      <c r="E230" s="1"/>
    </row>
    <row r="231" ht="15.75" customHeight="1">
      <c r="E231" s="1"/>
    </row>
    <row r="232" ht="15.75" customHeight="1">
      <c r="E232" s="1"/>
    </row>
    <row r="233" ht="15.75" customHeight="1">
      <c r="E233" s="1"/>
    </row>
    <row r="234" ht="15.75" customHeight="1">
      <c r="E234" s="1"/>
    </row>
    <row r="235" ht="15.75" customHeight="1">
      <c r="E235" s="1"/>
    </row>
    <row r="236" ht="15.75" customHeight="1">
      <c r="E236" s="1"/>
    </row>
    <row r="237" ht="15.75" customHeight="1">
      <c r="E237" s="1"/>
    </row>
    <row r="238" ht="15.75" customHeight="1">
      <c r="E238" s="1"/>
    </row>
    <row r="239" ht="15.75" customHeight="1">
      <c r="E239" s="1"/>
    </row>
    <row r="240" ht="15.75" customHeight="1">
      <c r="E240" s="1"/>
    </row>
    <row r="241" ht="15.75" customHeight="1">
      <c r="E241" s="1"/>
    </row>
    <row r="242" ht="15.75" customHeight="1">
      <c r="E242" s="1"/>
    </row>
    <row r="243" ht="15.75" customHeight="1">
      <c r="E243" s="1"/>
    </row>
    <row r="244" ht="15.75" customHeight="1">
      <c r="E244" s="1"/>
    </row>
    <row r="245" ht="15.75" customHeight="1">
      <c r="E245" s="1"/>
    </row>
    <row r="246" ht="15.75" customHeight="1">
      <c r="E246" s="1"/>
    </row>
    <row r="247" ht="15.75" customHeight="1">
      <c r="E247" s="1"/>
    </row>
    <row r="248" ht="15.75" customHeight="1">
      <c r="E248" s="1"/>
    </row>
    <row r="249" ht="15.75" customHeight="1">
      <c r="E249" s="1"/>
    </row>
    <row r="250" ht="15.75" customHeight="1">
      <c r="E250" s="1"/>
    </row>
    <row r="251" ht="15.75" customHeight="1">
      <c r="E251" s="1"/>
    </row>
    <row r="252" ht="15.75" customHeight="1">
      <c r="E252" s="1"/>
    </row>
    <row r="253" ht="15.75" customHeight="1">
      <c r="E253" s="1"/>
    </row>
    <row r="254" ht="15.75" customHeight="1">
      <c r="E254" s="1"/>
    </row>
    <row r="255" ht="15.75" customHeight="1">
      <c r="E255" s="1"/>
    </row>
    <row r="256" ht="15.75" customHeight="1">
      <c r="E256" s="1"/>
    </row>
    <row r="257" ht="15.75" customHeight="1">
      <c r="E257" s="1"/>
    </row>
    <row r="258" ht="15.75" customHeight="1">
      <c r="E258" s="1"/>
    </row>
    <row r="259" ht="15.75" customHeight="1">
      <c r="E259" s="1"/>
    </row>
    <row r="260" ht="15.75" customHeight="1">
      <c r="E260" s="1"/>
    </row>
    <row r="261" ht="15.75" customHeight="1">
      <c r="E261" s="1"/>
    </row>
    <row r="262" ht="15.75" customHeight="1">
      <c r="E262" s="1"/>
    </row>
    <row r="263" ht="15.75" customHeight="1">
      <c r="E263" s="1"/>
    </row>
    <row r="264" ht="15.75" customHeight="1">
      <c r="E264" s="1"/>
    </row>
    <row r="265" ht="15.75" customHeight="1">
      <c r="E265" s="1"/>
    </row>
    <row r="266" ht="15.75" customHeight="1">
      <c r="E266" s="1"/>
    </row>
    <row r="267" ht="15.75" customHeight="1">
      <c r="E267" s="1"/>
    </row>
    <row r="268" ht="15.75" customHeight="1">
      <c r="E268" s="1"/>
    </row>
    <row r="269" ht="15.75" customHeight="1">
      <c r="E269" s="1"/>
    </row>
    <row r="270" ht="15.75" customHeight="1">
      <c r="E270" s="1"/>
    </row>
    <row r="271" ht="15.75" customHeight="1">
      <c r="E271" s="1"/>
    </row>
    <row r="272" ht="15.75" customHeight="1">
      <c r="E272" s="1"/>
    </row>
    <row r="273" ht="15.75" customHeight="1">
      <c r="E273" s="1"/>
    </row>
    <row r="274" ht="15.75" customHeight="1">
      <c r="E274" s="1"/>
    </row>
    <row r="275" ht="15.75" customHeight="1">
      <c r="E275" s="1"/>
    </row>
    <row r="276" ht="15.75" customHeight="1">
      <c r="E276" s="1"/>
    </row>
    <row r="277" ht="15.75" customHeight="1">
      <c r="E277" s="1"/>
    </row>
    <row r="278" ht="15.75" customHeight="1">
      <c r="E278" s="1"/>
    </row>
    <row r="279" ht="15.75" customHeight="1">
      <c r="E279" s="1"/>
    </row>
    <row r="280" ht="15.75" customHeight="1">
      <c r="E280" s="1"/>
    </row>
    <row r="281" ht="15.75" customHeight="1">
      <c r="E281" s="1"/>
    </row>
    <row r="282" ht="15.75" customHeight="1">
      <c r="E282" s="1"/>
    </row>
    <row r="283" ht="15.75" customHeight="1">
      <c r="E283" s="1"/>
    </row>
    <row r="284" ht="15.75" customHeight="1">
      <c r="E284" s="1"/>
    </row>
    <row r="285" ht="15.75" customHeight="1">
      <c r="E285" s="1"/>
    </row>
    <row r="286" ht="15.75" customHeight="1">
      <c r="E286" s="1"/>
    </row>
    <row r="287" ht="15.75" customHeight="1">
      <c r="E287" s="1"/>
    </row>
    <row r="288" ht="15.75" customHeight="1">
      <c r="E288" s="1"/>
    </row>
    <row r="289" ht="15.75" customHeight="1">
      <c r="E289" s="1"/>
    </row>
    <row r="290" ht="15.75" customHeight="1">
      <c r="E290" s="1"/>
    </row>
    <row r="291" ht="15.75" customHeight="1">
      <c r="E291" s="1"/>
    </row>
    <row r="292" ht="15.75" customHeight="1">
      <c r="E292" s="1"/>
    </row>
    <row r="293" ht="15.75" customHeight="1">
      <c r="E293" s="1"/>
    </row>
    <row r="294" ht="15.75" customHeight="1">
      <c r="E294" s="1"/>
    </row>
    <row r="295" ht="15.75" customHeight="1">
      <c r="E295" s="1"/>
    </row>
    <row r="296" ht="15.75" customHeight="1">
      <c r="E296" s="1"/>
    </row>
    <row r="297" ht="15.75" customHeight="1">
      <c r="E297" s="1"/>
    </row>
    <row r="298" ht="15.75" customHeight="1">
      <c r="E298" s="1"/>
    </row>
    <row r="299" ht="15.75" customHeight="1">
      <c r="E299" s="1"/>
    </row>
    <row r="300" ht="15.75" customHeight="1">
      <c r="E300" s="1"/>
    </row>
    <row r="301" ht="15.75" customHeight="1">
      <c r="E301" s="1"/>
    </row>
    <row r="302" ht="15.75" customHeight="1">
      <c r="E302" s="1"/>
    </row>
    <row r="303" ht="15.75" customHeight="1">
      <c r="E303" s="1"/>
    </row>
    <row r="304" ht="15.75" customHeight="1">
      <c r="E304" s="1"/>
    </row>
    <row r="305" ht="15.75" customHeight="1">
      <c r="E305" s="1"/>
    </row>
    <row r="306" ht="15.75" customHeight="1">
      <c r="E306" s="1"/>
    </row>
    <row r="307" ht="15.75" customHeight="1">
      <c r="E307" s="1"/>
    </row>
    <row r="308" ht="15.75" customHeight="1">
      <c r="E308" s="1"/>
    </row>
    <row r="309" ht="15.75" customHeight="1">
      <c r="E309" s="1"/>
    </row>
    <row r="310" ht="15.75" customHeight="1">
      <c r="E310" s="1"/>
    </row>
    <row r="311" ht="15.75" customHeight="1">
      <c r="E311" s="1"/>
    </row>
    <row r="312" ht="15.75" customHeight="1">
      <c r="E312" s="1"/>
    </row>
    <row r="313" ht="15.75" customHeight="1">
      <c r="E313" s="1"/>
    </row>
    <row r="314" ht="15.75" customHeight="1">
      <c r="E314" s="1"/>
    </row>
    <row r="315" ht="15.75" customHeight="1">
      <c r="E315" s="1"/>
    </row>
    <row r="316" ht="15.75" customHeight="1">
      <c r="E316" s="1"/>
    </row>
    <row r="317" ht="15.75" customHeight="1">
      <c r="E317" s="1"/>
    </row>
    <row r="318" ht="15.75" customHeight="1">
      <c r="E318" s="1"/>
    </row>
    <row r="319" ht="15.75" customHeight="1">
      <c r="E319" s="1"/>
    </row>
    <row r="320" ht="15.75" customHeight="1">
      <c r="E320" s="1"/>
    </row>
    <row r="321" ht="15.75" customHeight="1">
      <c r="E321" s="1"/>
    </row>
    <row r="322" ht="15.75" customHeight="1">
      <c r="E322" s="1"/>
    </row>
    <row r="323" ht="15.75" customHeight="1">
      <c r="E323" s="1"/>
    </row>
    <row r="324" ht="15.75" customHeight="1">
      <c r="E324" s="1"/>
    </row>
    <row r="325" ht="15.75" customHeight="1">
      <c r="E325" s="1"/>
    </row>
    <row r="326" ht="15.75" customHeight="1">
      <c r="E326" s="1"/>
    </row>
    <row r="327" ht="15.75" customHeight="1">
      <c r="E327" s="1"/>
    </row>
    <row r="328" ht="15.75" customHeight="1">
      <c r="E328" s="1"/>
    </row>
    <row r="329" ht="15.75" customHeight="1">
      <c r="E329" s="1"/>
    </row>
    <row r="330" ht="15.75" customHeight="1">
      <c r="E330" s="1"/>
    </row>
    <row r="331" ht="15.75" customHeight="1">
      <c r="E331" s="1"/>
    </row>
    <row r="332" ht="15.75" customHeight="1">
      <c r="E332" s="1"/>
    </row>
    <row r="333" ht="15.75" customHeight="1">
      <c r="E333" s="1"/>
    </row>
    <row r="334" ht="15.75" customHeight="1">
      <c r="E334" s="1"/>
    </row>
    <row r="335" ht="15.75" customHeight="1">
      <c r="E335" s="1"/>
    </row>
    <row r="336" ht="15.75" customHeight="1">
      <c r="E336" s="1"/>
    </row>
    <row r="337" ht="15.75" customHeight="1">
      <c r="E337" s="1"/>
    </row>
    <row r="338" ht="15.75" customHeight="1">
      <c r="E338" s="1"/>
    </row>
    <row r="339" ht="15.75" customHeight="1">
      <c r="E339" s="1"/>
    </row>
    <row r="340" ht="15.75" customHeight="1">
      <c r="E340" s="1"/>
    </row>
    <row r="341" ht="15.75" customHeight="1">
      <c r="E341" s="1"/>
    </row>
    <row r="342" ht="15.75" customHeight="1">
      <c r="E342" s="1"/>
    </row>
    <row r="343" ht="15.75" customHeight="1">
      <c r="E343" s="1"/>
    </row>
    <row r="344" ht="15.75" customHeight="1">
      <c r="E344" s="1"/>
    </row>
    <row r="345" ht="15.75" customHeight="1">
      <c r="E345" s="1"/>
    </row>
    <row r="346" ht="15.75" customHeight="1">
      <c r="E346" s="1"/>
    </row>
    <row r="347" ht="15.75" customHeight="1">
      <c r="E347" s="1"/>
    </row>
    <row r="348" ht="15.75" customHeight="1">
      <c r="E348" s="1"/>
    </row>
    <row r="349" ht="15.75" customHeight="1">
      <c r="E349" s="1"/>
    </row>
    <row r="350" ht="15.75" customHeight="1">
      <c r="E350" s="1"/>
    </row>
    <row r="351" ht="15.75" customHeight="1">
      <c r="E351" s="1"/>
    </row>
    <row r="352" ht="15.75" customHeight="1">
      <c r="E352" s="1"/>
    </row>
    <row r="353" ht="15.75" customHeight="1">
      <c r="E353" s="1"/>
    </row>
    <row r="354" ht="15.75" customHeight="1">
      <c r="E354" s="1"/>
    </row>
    <row r="355" ht="15.75" customHeight="1">
      <c r="E355" s="1"/>
    </row>
    <row r="356" ht="15.75" customHeight="1">
      <c r="E356" s="1"/>
    </row>
    <row r="357" ht="15.75" customHeight="1">
      <c r="E357" s="1"/>
    </row>
    <row r="358" ht="15.75" customHeight="1">
      <c r="E358" s="1"/>
    </row>
    <row r="359" ht="15.75" customHeight="1">
      <c r="E359" s="1"/>
    </row>
    <row r="360" ht="15.75" customHeight="1">
      <c r="E360" s="1"/>
    </row>
    <row r="361" ht="15.75" customHeight="1">
      <c r="E361" s="1"/>
    </row>
    <row r="362" ht="15.75" customHeight="1">
      <c r="E362" s="1"/>
    </row>
    <row r="363" ht="15.75" customHeight="1">
      <c r="E363" s="1"/>
    </row>
    <row r="364" ht="15.75" customHeight="1">
      <c r="E364" s="1"/>
    </row>
    <row r="365" ht="15.75" customHeight="1">
      <c r="E365" s="1"/>
    </row>
    <row r="366" ht="15.75" customHeight="1">
      <c r="E366" s="1"/>
    </row>
    <row r="367" ht="15.75" customHeight="1">
      <c r="E367" s="1"/>
    </row>
    <row r="368" ht="15.75" customHeight="1">
      <c r="E368" s="1"/>
    </row>
    <row r="369" ht="15.75" customHeight="1">
      <c r="E369" s="1"/>
    </row>
    <row r="370" ht="15.75" customHeight="1">
      <c r="E370" s="1"/>
    </row>
    <row r="371" ht="15.75" customHeight="1">
      <c r="E371" s="1"/>
    </row>
    <row r="372" ht="15.75" customHeight="1">
      <c r="E372" s="1"/>
    </row>
    <row r="373" ht="15.75" customHeight="1">
      <c r="E373" s="1"/>
    </row>
    <row r="374" ht="15.75" customHeight="1">
      <c r="E374" s="1"/>
    </row>
    <row r="375" ht="15.75" customHeight="1">
      <c r="E375" s="1"/>
    </row>
    <row r="376" ht="15.75" customHeight="1">
      <c r="E376" s="1"/>
    </row>
    <row r="377" ht="15.75" customHeight="1">
      <c r="E377" s="1"/>
    </row>
    <row r="378" ht="15.75" customHeight="1">
      <c r="E378" s="1"/>
    </row>
    <row r="379" ht="15.75" customHeight="1">
      <c r="E379" s="1"/>
    </row>
    <row r="380" ht="15.75" customHeight="1">
      <c r="E380" s="1"/>
    </row>
    <row r="381" ht="15.75" customHeight="1">
      <c r="E381" s="1"/>
    </row>
    <row r="382" ht="15.75" customHeight="1">
      <c r="E382" s="1"/>
    </row>
    <row r="383" ht="15.75" customHeight="1">
      <c r="E383" s="1"/>
    </row>
    <row r="384" ht="15.75" customHeight="1">
      <c r="E384" s="1"/>
    </row>
    <row r="385" ht="15.75" customHeight="1">
      <c r="E385" s="1"/>
    </row>
    <row r="386" ht="15.75" customHeight="1">
      <c r="E386" s="1"/>
    </row>
    <row r="387" ht="15.75" customHeight="1">
      <c r="E387" s="1"/>
    </row>
    <row r="388" ht="15.75" customHeight="1">
      <c r="E388" s="1"/>
    </row>
    <row r="389" ht="15.75" customHeight="1">
      <c r="E389" s="1"/>
    </row>
    <row r="390" ht="15.75" customHeight="1">
      <c r="E390" s="1"/>
    </row>
    <row r="391" ht="15.75" customHeight="1">
      <c r="E391" s="1"/>
    </row>
    <row r="392" ht="15.75" customHeight="1">
      <c r="E392" s="1"/>
    </row>
    <row r="393" ht="15.75" customHeight="1">
      <c r="E393" s="1"/>
    </row>
    <row r="394" ht="15.75" customHeight="1">
      <c r="E394" s="1"/>
    </row>
    <row r="395" ht="15.75" customHeight="1">
      <c r="E395" s="1"/>
    </row>
    <row r="396" ht="15.75" customHeight="1">
      <c r="E396" s="1"/>
    </row>
    <row r="397" ht="15.75" customHeight="1">
      <c r="E397" s="1"/>
    </row>
    <row r="398" ht="15.75" customHeight="1">
      <c r="E398" s="1"/>
    </row>
    <row r="399" ht="15.75" customHeight="1">
      <c r="E399" s="1"/>
    </row>
    <row r="400" ht="15.75" customHeight="1">
      <c r="E400" s="1"/>
    </row>
    <row r="401" ht="15.75" customHeight="1">
      <c r="E401" s="1"/>
    </row>
    <row r="402" ht="15.75" customHeight="1">
      <c r="E402" s="1"/>
    </row>
    <row r="403" ht="15.75" customHeight="1">
      <c r="E403" s="1"/>
    </row>
    <row r="404" ht="15.75" customHeight="1">
      <c r="E404" s="1"/>
    </row>
    <row r="405" ht="15.75" customHeight="1">
      <c r="E405" s="1"/>
    </row>
    <row r="406" ht="15.75" customHeight="1">
      <c r="E406" s="1"/>
    </row>
    <row r="407" ht="15.75" customHeight="1">
      <c r="E407" s="1"/>
    </row>
    <row r="408" ht="15.75" customHeight="1">
      <c r="E408" s="1"/>
    </row>
    <row r="409" ht="15.75" customHeight="1">
      <c r="E409" s="1"/>
    </row>
    <row r="410" ht="15.75" customHeight="1">
      <c r="E410" s="1"/>
    </row>
    <row r="411" ht="15.75" customHeight="1">
      <c r="E411" s="1"/>
    </row>
    <row r="412" ht="15.75" customHeight="1">
      <c r="E412" s="1"/>
    </row>
    <row r="413" ht="15.75" customHeight="1">
      <c r="E413" s="1"/>
    </row>
    <row r="414" ht="15.75" customHeight="1">
      <c r="E414" s="1"/>
    </row>
    <row r="415" ht="15.75" customHeight="1">
      <c r="E415" s="1"/>
    </row>
    <row r="416" ht="15.75" customHeight="1">
      <c r="E416" s="1"/>
    </row>
    <row r="417" ht="15.75" customHeight="1">
      <c r="E417" s="1"/>
    </row>
    <row r="418" ht="15.75" customHeight="1">
      <c r="E418" s="1"/>
    </row>
    <row r="419" ht="15.75" customHeight="1">
      <c r="E419" s="1"/>
    </row>
    <row r="420" ht="15.75" customHeight="1">
      <c r="E420" s="1"/>
    </row>
    <row r="421" ht="15.75" customHeight="1">
      <c r="E421" s="1"/>
    </row>
    <row r="422" ht="15.75" customHeight="1">
      <c r="E422" s="1"/>
    </row>
    <row r="423" ht="15.75" customHeight="1">
      <c r="E423" s="1"/>
    </row>
    <row r="424" ht="15.75" customHeight="1">
      <c r="E424" s="1"/>
    </row>
    <row r="425" ht="15.75" customHeight="1">
      <c r="E425" s="1"/>
    </row>
    <row r="426" ht="15.75" customHeight="1">
      <c r="E426" s="1"/>
    </row>
    <row r="427" ht="15.75" customHeight="1">
      <c r="E427" s="1"/>
    </row>
    <row r="428" ht="15.75" customHeight="1">
      <c r="E428" s="1"/>
    </row>
    <row r="429" ht="15.75" customHeight="1">
      <c r="E429" s="1"/>
    </row>
    <row r="430" ht="15.75" customHeight="1">
      <c r="E430" s="1"/>
    </row>
    <row r="431" ht="15.75" customHeight="1">
      <c r="E431" s="1"/>
    </row>
    <row r="432" ht="15.75" customHeight="1">
      <c r="E432" s="1"/>
    </row>
    <row r="433" ht="15.75" customHeight="1">
      <c r="E433" s="1"/>
    </row>
    <row r="434" ht="15.75" customHeight="1">
      <c r="E434" s="1"/>
    </row>
    <row r="435" ht="15.75" customHeight="1">
      <c r="E435" s="1"/>
    </row>
    <row r="436" ht="15.75" customHeight="1">
      <c r="E436" s="1"/>
    </row>
    <row r="437" ht="15.75" customHeight="1">
      <c r="E437" s="1"/>
    </row>
    <row r="438" ht="15.75" customHeight="1">
      <c r="E438" s="1"/>
    </row>
    <row r="439" ht="15.75" customHeight="1">
      <c r="E439" s="1"/>
    </row>
    <row r="440" ht="15.75" customHeight="1">
      <c r="E440" s="1"/>
    </row>
    <row r="441" ht="15.75" customHeight="1">
      <c r="E441" s="1"/>
    </row>
    <row r="442" ht="15.75" customHeight="1">
      <c r="E442" s="1"/>
    </row>
    <row r="443" ht="15.75" customHeight="1">
      <c r="E443" s="1"/>
    </row>
    <row r="444" ht="15.75" customHeight="1">
      <c r="E444" s="1"/>
    </row>
    <row r="445" ht="15.75" customHeight="1">
      <c r="E445" s="1"/>
    </row>
    <row r="446" ht="15.75" customHeight="1">
      <c r="E446" s="1"/>
    </row>
    <row r="447" ht="15.75" customHeight="1">
      <c r="E447" s="1"/>
    </row>
    <row r="448" ht="15.75" customHeight="1">
      <c r="E448" s="1"/>
    </row>
    <row r="449" ht="15.75" customHeight="1">
      <c r="E449" s="1"/>
    </row>
    <row r="450" ht="15.75" customHeight="1">
      <c r="E450" s="1"/>
    </row>
    <row r="451" ht="15.75" customHeight="1">
      <c r="E451" s="1"/>
    </row>
    <row r="452" ht="15.75" customHeight="1">
      <c r="E452" s="1"/>
    </row>
    <row r="453" ht="15.75" customHeight="1">
      <c r="E453" s="1"/>
    </row>
    <row r="454" ht="15.75" customHeight="1">
      <c r="E454" s="1"/>
    </row>
    <row r="455" ht="15.75" customHeight="1">
      <c r="E455" s="1"/>
    </row>
    <row r="456" ht="15.75" customHeight="1">
      <c r="E456" s="1"/>
    </row>
    <row r="457" ht="15.75" customHeight="1">
      <c r="E457" s="1"/>
    </row>
    <row r="458" ht="15.75" customHeight="1">
      <c r="E458" s="1"/>
    </row>
    <row r="459" ht="15.75" customHeight="1">
      <c r="E459" s="1"/>
    </row>
    <row r="460" ht="15.75" customHeight="1">
      <c r="E460" s="1"/>
    </row>
    <row r="461" ht="15.75" customHeight="1">
      <c r="E461" s="1"/>
    </row>
    <row r="462" ht="15.75" customHeight="1">
      <c r="E462" s="1"/>
    </row>
    <row r="463" ht="15.75" customHeight="1">
      <c r="E463" s="1"/>
    </row>
    <row r="464" ht="15.75" customHeight="1">
      <c r="E464" s="1"/>
    </row>
    <row r="465" ht="15.75" customHeight="1">
      <c r="E465" s="1"/>
    </row>
    <row r="466" ht="15.75" customHeight="1">
      <c r="E466" s="1"/>
    </row>
    <row r="467" ht="15.75" customHeight="1">
      <c r="E467" s="1"/>
    </row>
    <row r="468" ht="15.75" customHeight="1">
      <c r="E468" s="1"/>
    </row>
    <row r="469" ht="15.75" customHeight="1">
      <c r="E469" s="1"/>
    </row>
    <row r="470" ht="15.75" customHeight="1">
      <c r="E470" s="1"/>
    </row>
    <row r="471" ht="15.75" customHeight="1">
      <c r="E471" s="1"/>
    </row>
    <row r="472" ht="15.75" customHeight="1">
      <c r="E472" s="1"/>
    </row>
    <row r="473" ht="15.75" customHeight="1">
      <c r="E473" s="1"/>
    </row>
    <row r="474" ht="15.75" customHeight="1">
      <c r="E474" s="1"/>
    </row>
    <row r="475" ht="15.75" customHeight="1">
      <c r="E475" s="1"/>
    </row>
    <row r="476" ht="15.75" customHeight="1">
      <c r="E476" s="1"/>
    </row>
    <row r="477" ht="15.75" customHeight="1">
      <c r="E477" s="1"/>
    </row>
    <row r="478" ht="15.75" customHeight="1">
      <c r="E478" s="1"/>
    </row>
    <row r="479" ht="15.75" customHeight="1">
      <c r="E479" s="1"/>
    </row>
    <row r="480" ht="15.75" customHeight="1">
      <c r="E480" s="1"/>
    </row>
    <row r="481" ht="15.75" customHeight="1">
      <c r="E481" s="1"/>
    </row>
    <row r="482" ht="15.75" customHeight="1">
      <c r="E482" s="1"/>
    </row>
    <row r="483" ht="15.75" customHeight="1">
      <c r="E483" s="1"/>
    </row>
    <row r="484" ht="15.75" customHeight="1">
      <c r="E484" s="1"/>
    </row>
    <row r="485" ht="15.75" customHeight="1">
      <c r="E485" s="1"/>
    </row>
    <row r="486" ht="15.75" customHeight="1">
      <c r="E486" s="1"/>
    </row>
    <row r="487" ht="15.75" customHeight="1">
      <c r="E487" s="1"/>
    </row>
    <row r="488" ht="15.75" customHeight="1">
      <c r="E488" s="1"/>
    </row>
    <row r="489" ht="15.75" customHeight="1">
      <c r="E489" s="1"/>
    </row>
    <row r="490" ht="15.75" customHeight="1">
      <c r="E490" s="1"/>
    </row>
    <row r="491" ht="15.75" customHeight="1">
      <c r="E491" s="1"/>
    </row>
    <row r="492" ht="15.75" customHeight="1">
      <c r="E492" s="1"/>
    </row>
    <row r="493" ht="15.75" customHeight="1">
      <c r="E493" s="1"/>
    </row>
    <row r="494" ht="15.75" customHeight="1">
      <c r="E494" s="1"/>
    </row>
    <row r="495" ht="15.75" customHeight="1">
      <c r="E495" s="1"/>
    </row>
    <row r="496" ht="15.75" customHeight="1">
      <c r="E496" s="1"/>
    </row>
    <row r="497" ht="15.75" customHeight="1">
      <c r="E497" s="1"/>
    </row>
    <row r="498" ht="15.75" customHeight="1">
      <c r="E498" s="1"/>
    </row>
    <row r="499" ht="15.75" customHeight="1">
      <c r="E499" s="1"/>
    </row>
    <row r="500" ht="15.75" customHeight="1">
      <c r="E500" s="1"/>
    </row>
    <row r="501" ht="15.75" customHeight="1">
      <c r="E501" s="1"/>
    </row>
    <row r="502" ht="15.75" customHeight="1">
      <c r="E502" s="1"/>
    </row>
    <row r="503" ht="15.75" customHeight="1">
      <c r="E503" s="1"/>
    </row>
    <row r="504" ht="15.75" customHeight="1">
      <c r="E504" s="1"/>
    </row>
    <row r="505" ht="15.75" customHeight="1">
      <c r="E505" s="1"/>
    </row>
    <row r="506" ht="15.75" customHeight="1">
      <c r="E506" s="1"/>
    </row>
    <row r="507" ht="15.75" customHeight="1">
      <c r="E507" s="1"/>
    </row>
    <row r="508" ht="15.75" customHeight="1">
      <c r="E508" s="1"/>
    </row>
    <row r="509" ht="15.75" customHeight="1">
      <c r="E509" s="1"/>
    </row>
    <row r="510" ht="15.75" customHeight="1">
      <c r="E510" s="1"/>
    </row>
    <row r="511" ht="15.75" customHeight="1">
      <c r="E511" s="1"/>
    </row>
    <row r="512" ht="15.75" customHeight="1">
      <c r="E512" s="1"/>
    </row>
    <row r="513" ht="15.75" customHeight="1">
      <c r="E513" s="1"/>
    </row>
    <row r="514" ht="15.75" customHeight="1">
      <c r="E514" s="1"/>
    </row>
    <row r="515" ht="15.75" customHeight="1">
      <c r="E515" s="1"/>
    </row>
    <row r="516" ht="15.75" customHeight="1">
      <c r="E516" s="1"/>
    </row>
    <row r="517" ht="15.75" customHeight="1">
      <c r="E517" s="1"/>
    </row>
    <row r="518" ht="15.75" customHeight="1">
      <c r="E518" s="1"/>
    </row>
    <row r="519" ht="15.75" customHeight="1">
      <c r="E519" s="1"/>
    </row>
    <row r="520" ht="15.75" customHeight="1">
      <c r="E520" s="1"/>
    </row>
    <row r="521" ht="15.75" customHeight="1">
      <c r="E521" s="1"/>
    </row>
    <row r="522" ht="15.75" customHeight="1">
      <c r="E522" s="1"/>
    </row>
    <row r="523" ht="15.75" customHeight="1">
      <c r="E523" s="1"/>
    </row>
    <row r="524" ht="15.75" customHeight="1">
      <c r="E524" s="1"/>
    </row>
    <row r="525" ht="15.75" customHeight="1">
      <c r="E525" s="1"/>
    </row>
    <row r="526" ht="15.75" customHeight="1">
      <c r="E526" s="1"/>
    </row>
    <row r="527" ht="15.75" customHeight="1">
      <c r="E527" s="1"/>
    </row>
    <row r="528" ht="15.75" customHeight="1">
      <c r="E528" s="1"/>
    </row>
    <row r="529" ht="15.75" customHeight="1">
      <c r="E529" s="1"/>
    </row>
    <row r="530" ht="15.75" customHeight="1">
      <c r="E530" s="1"/>
    </row>
    <row r="531" ht="15.75" customHeight="1">
      <c r="E531" s="1"/>
    </row>
    <row r="532" ht="15.75" customHeight="1">
      <c r="E532" s="1"/>
    </row>
    <row r="533" ht="15.75" customHeight="1">
      <c r="E533" s="1"/>
    </row>
    <row r="534" ht="15.75" customHeight="1">
      <c r="E534" s="1"/>
    </row>
    <row r="535" ht="15.75" customHeight="1">
      <c r="E535" s="1"/>
    </row>
    <row r="536" ht="15.75" customHeight="1">
      <c r="E536" s="1"/>
    </row>
    <row r="537" ht="15.75" customHeight="1">
      <c r="E537" s="1"/>
    </row>
    <row r="538" ht="15.75" customHeight="1">
      <c r="E538" s="1"/>
    </row>
    <row r="539" ht="15.75" customHeight="1">
      <c r="E539" s="1"/>
    </row>
    <row r="540" ht="15.75" customHeight="1">
      <c r="E540" s="1"/>
    </row>
    <row r="541" ht="15.75" customHeight="1">
      <c r="E541" s="1"/>
    </row>
    <row r="542" ht="15.75" customHeight="1">
      <c r="E542" s="1"/>
    </row>
    <row r="543" ht="15.75" customHeight="1">
      <c r="E543" s="1"/>
    </row>
    <row r="544" ht="15.75" customHeight="1">
      <c r="E544" s="1"/>
    </row>
    <row r="545" ht="15.75" customHeight="1">
      <c r="E545" s="1"/>
    </row>
    <row r="546" ht="15.75" customHeight="1">
      <c r="E546" s="1"/>
    </row>
    <row r="547" ht="15.75" customHeight="1">
      <c r="E547" s="1"/>
    </row>
    <row r="548" ht="15.75" customHeight="1">
      <c r="E548" s="1"/>
    </row>
    <row r="549" ht="15.75" customHeight="1">
      <c r="E549" s="1"/>
    </row>
    <row r="550" ht="15.75" customHeight="1">
      <c r="E550" s="1"/>
    </row>
    <row r="551" ht="15.75" customHeight="1">
      <c r="E551" s="1"/>
    </row>
    <row r="552" ht="15.75" customHeight="1">
      <c r="E552" s="1"/>
    </row>
    <row r="553" ht="15.75" customHeight="1">
      <c r="E553" s="1"/>
    </row>
    <row r="554" ht="15.75" customHeight="1">
      <c r="E554" s="1"/>
    </row>
    <row r="555" ht="15.75" customHeight="1">
      <c r="E555" s="1"/>
    </row>
    <row r="556" ht="15.75" customHeight="1">
      <c r="E556" s="1"/>
    </row>
    <row r="557" ht="15.75" customHeight="1">
      <c r="E557" s="1"/>
    </row>
    <row r="558" ht="15.75" customHeight="1">
      <c r="E558" s="1"/>
    </row>
    <row r="559" ht="15.75" customHeight="1">
      <c r="E559" s="1"/>
    </row>
    <row r="560" ht="15.75" customHeight="1">
      <c r="E560" s="1"/>
    </row>
    <row r="561" ht="15.75" customHeight="1">
      <c r="E561" s="1"/>
    </row>
    <row r="562" ht="15.75" customHeight="1">
      <c r="E562" s="1"/>
    </row>
    <row r="563" ht="15.75" customHeight="1">
      <c r="E563" s="1"/>
    </row>
    <row r="564" ht="15.75" customHeight="1">
      <c r="E564" s="1"/>
    </row>
    <row r="565" ht="15.75" customHeight="1">
      <c r="E565" s="1"/>
    </row>
    <row r="566" ht="15.75" customHeight="1">
      <c r="E566" s="1"/>
    </row>
    <row r="567" ht="15.75" customHeight="1">
      <c r="E567" s="1"/>
    </row>
    <row r="568" ht="15.75" customHeight="1">
      <c r="E568" s="1"/>
    </row>
    <row r="569" ht="15.75" customHeight="1">
      <c r="E569" s="1"/>
    </row>
    <row r="570" ht="15.75" customHeight="1">
      <c r="E570" s="1"/>
    </row>
    <row r="571" ht="15.75" customHeight="1">
      <c r="E571" s="1"/>
    </row>
    <row r="572" ht="15.75" customHeight="1">
      <c r="E572" s="1"/>
    </row>
    <row r="573" ht="15.75" customHeight="1">
      <c r="E573" s="1"/>
    </row>
    <row r="574" ht="15.75" customHeight="1">
      <c r="E574" s="1"/>
    </row>
    <row r="575" ht="15.75" customHeight="1">
      <c r="E575" s="1"/>
    </row>
    <row r="576" ht="15.75" customHeight="1">
      <c r="E576" s="1"/>
    </row>
    <row r="577" ht="15.75" customHeight="1">
      <c r="E577" s="1"/>
    </row>
    <row r="578" ht="15.75" customHeight="1">
      <c r="E578" s="1"/>
    </row>
    <row r="579" ht="15.75" customHeight="1">
      <c r="E579" s="1"/>
    </row>
    <row r="580" ht="15.75" customHeight="1">
      <c r="E580" s="1"/>
    </row>
    <row r="581" ht="15.75" customHeight="1">
      <c r="E581" s="1"/>
    </row>
    <row r="582" ht="15.75" customHeight="1">
      <c r="E582" s="1"/>
    </row>
    <row r="583" ht="15.75" customHeight="1">
      <c r="E583" s="1"/>
    </row>
    <row r="584" ht="15.75" customHeight="1">
      <c r="E584" s="1"/>
    </row>
    <row r="585" ht="15.75" customHeight="1">
      <c r="E585" s="1"/>
    </row>
    <row r="586" ht="15.75" customHeight="1">
      <c r="E586" s="1"/>
    </row>
    <row r="587" ht="15.75" customHeight="1">
      <c r="E587" s="1"/>
    </row>
    <row r="588" ht="15.75" customHeight="1">
      <c r="E588" s="1"/>
    </row>
    <row r="589" ht="15.75" customHeight="1">
      <c r="E589" s="1"/>
    </row>
    <row r="590" ht="15.75" customHeight="1">
      <c r="E590" s="1"/>
    </row>
    <row r="591" ht="15.75" customHeight="1">
      <c r="E591" s="1"/>
    </row>
    <row r="592" ht="15.75" customHeight="1">
      <c r="E592" s="1"/>
    </row>
    <row r="593" ht="15.75" customHeight="1">
      <c r="E593" s="1"/>
    </row>
    <row r="594" ht="15.75" customHeight="1">
      <c r="E594" s="1"/>
    </row>
    <row r="595" ht="15.75" customHeight="1">
      <c r="E595" s="1"/>
    </row>
    <row r="596" ht="15.75" customHeight="1">
      <c r="E596" s="1"/>
    </row>
    <row r="597" ht="15.75" customHeight="1">
      <c r="E597" s="1"/>
    </row>
    <row r="598" ht="15.75" customHeight="1">
      <c r="E598" s="1"/>
    </row>
    <row r="599" ht="15.75" customHeight="1">
      <c r="E599" s="1"/>
    </row>
    <row r="600" ht="15.75" customHeight="1">
      <c r="E600" s="1"/>
    </row>
    <row r="601" ht="15.75" customHeight="1">
      <c r="E601" s="1"/>
    </row>
    <row r="602" ht="15.75" customHeight="1">
      <c r="E602" s="1"/>
    </row>
    <row r="603" ht="15.75" customHeight="1">
      <c r="E603" s="1"/>
    </row>
    <row r="604" ht="15.75" customHeight="1">
      <c r="E604" s="1"/>
    </row>
    <row r="605" ht="15.75" customHeight="1">
      <c r="E605" s="1"/>
    </row>
    <row r="606" ht="15.75" customHeight="1">
      <c r="E606" s="1"/>
    </row>
    <row r="607" ht="15.75" customHeight="1">
      <c r="E607" s="1"/>
    </row>
    <row r="608" ht="15.75" customHeight="1">
      <c r="E608" s="1"/>
    </row>
    <row r="609" ht="15.75" customHeight="1">
      <c r="E609" s="1"/>
    </row>
    <row r="610" ht="15.75" customHeight="1">
      <c r="E610" s="1"/>
    </row>
    <row r="611" ht="15.75" customHeight="1">
      <c r="E611" s="1"/>
    </row>
    <row r="612" ht="15.75" customHeight="1">
      <c r="E612" s="1"/>
    </row>
    <row r="613" ht="15.75" customHeight="1">
      <c r="E613" s="1"/>
    </row>
    <row r="614" ht="15.75" customHeight="1">
      <c r="E614" s="1"/>
    </row>
    <row r="615" ht="15.75" customHeight="1">
      <c r="E615" s="1"/>
    </row>
    <row r="616" ht="15.75" customHeight="1">
      <c r="E616" s="1"/>
    </row>
    <row r="617" ht="15.75" customHeight="1">
      <c r="E617" s="1"/>
    </row>
    <row r="618" ht="15.75" customHeight="1">
      <c r="E618" s="1"/>
    </row>
    <row r="619" ht="15.75" customHeight="1">
      <c r="E619" s="1"/>
    </row>
    <row r="620" ht="15.75" customHeight="1">
      <c r="E620" s="1"/>
    </row>
    <row r="621" ht="15.75" customHeight="1">
      <c r="E621" s="1"/>
    </row>
    <row r="622" ht="15.75" customHeight="1">
      <c r="E622" s="1"/>
    </row>
    <row r="623" ht="15.75" customHeight="1">
      <c r="E623" s="1"/>
    </row>
    <row r="624" ht="15.75" customHeight="1">
      <c r="E624" s="1"/>
    </row>
    <row r="625" ht="15.75" customHeight="1">
      <c r="E625" s="1"/>
    </row>
    <row r="626" ht="15.75" customHeight="1">
      <c r="E626" s="1"/>
    </row>
    <row r="627" ht="15.75" customHeight="1">
      <c r="E627" s="1"/>
    </row>
    <row r="628" ht="15.75" customHeight="1">
      <c r="E628" s="1"/>
    </row>
    <row r="629" ht="15.75" customHeight="1">
      <c r="E629" s="1"/>
    </row>
    <row r="630" ht="15.75" customHeight="1">
      <c r="E630" s="1"/>
    </row>
    <row r="631" ht="15.75" customHeight="1">
      <c r="E631" s="1"/>
    </row>
    <row r="632" ht="15.75" customHeight="1">
      <c r="E632" s="1"/>
    </row>
    <row r="633" ht="15.75" customHeight="1">
      <c r="E633" s="1"/>
    </row>
    <row r="634" ht="15.75" customHeight="1">
      <c r="E634" s="1"/>
    </row>
    <row r="635" ht="15.75" customHeight="1">
      <c r="E635" s="1"/>
    </row>
    <row r="636" ht="15.75" customHeight="1">
      <c r="E636" s="1"/>
    </row>
    <row r="637" ht="15.75" customHeight="1">
      <c r="E637" s="1"/>
    </row>
    <row r="638" ht="15.75" customHeight="1">
      <c r="E638" s="1"/>
    </row>
    <row r="639" ht="15.75" customHeight="1">
      <c r="E639" s="1"/>
    </row>
    <row r="640" ht="15.75" customHeight="1">
      <c r="E640" s="1"/>
    </row>
    <row r="641" ht="15.75" customHeight="1">
      <c r="E641" s="1"/>
    </row>
    <row r="642" ht="15.75" customHeight="1">
      <c r="E642" s="1"/>
    </row>
    <row r="643" ht="15.75" customHeight="1">
      <c r="E643" s="1"/>
    </row>
    <row r="644" ht="15.75" customHeight="1">
      <c r="E644" s="1"/>
    </row>
    <row r="645" ht="15.75" customHeight="1">
      <c r="E645" s="1"/>
    </row>
    <row r="646" ht="15.75" customHeight="1">
      <c r="E646" s="1"/>
    </row>
    <row r="647" ht="15.75" customHeight="1">
      <c r="E647" s="1"/>
    </row>
    <row r="648" ht="15.75" customHeight="1">
      <c r="E648" s="1"/>
    </row>
    <row r="649" ht="15.75" customHeight="1">
      <c r="E649" s="1"/>
    </row>
    <row r="650" ht="15.75" customHeight="1">
      <c r="E650" s="1"/>
    </row>
    <row r="651" ht="15.75" customHeight="1">
      <c r="E651" s="1"/>
    </row>
    <row r="652" ht="15.75" customHeight="1">
      <c r="E652" s="1"/>
    </row>
    <row r="653" ht="15.75" customHeight="1">
      <c r="E653" s="1"/>
    </row>
    <row r="654" ht="15.75" customHeight="1">
      <c r="E654" s="1"/>
    </row>
    <row r="655" ht="15.75" customHeight="1">
      <c r="E655" s="1"/>
    </row>
    <row r="656" ht="15.75" customHeight="1">
      <c r="E656" s="1"/>
    </row>
    <row r="657" ht="15.75" customHeight="1">
      <c r="E657" s="1"/>
    </row>
    <row r="658" ht="15.75" customHeight="1">
      <c r="E658" s="1"/>
    </row>
    <row r="659" ht="15.75" customHeight="1">
      <c r="E659" s="1"/>
    </row>
    <row r="660" ht="15.75" customHeight="1">
      <c r="E660" s="1"/>
    </row>
    <row r="661" ht="15.75" customHeight="1">
      <c r="E661" s="1"/>
    </row>
    <row r="662" ht="15.75" customHeight="1">
      <c r="E662" s="1"/>
    </row>
    <row r="663" ht="15.75" customHeight="1">
      <c r="E663" s="1"/>
    </row>
    <row r="664" ht="15.75" customHeight="1">
      <c r="E664" s="1"/>
    </row>
    <row r="665" ht="15.75" customHeight="1">
      <c r="E665" s="1"/>
    </row>
    <row r="666" ht="15.75" customHeight="1">
      <c r="E666" s="1"/>
    </row>
    <row r="667" ht="15.75" customHeight="1">
      <c r="E667" s="1"/>
    </row>
    <row r="668" ht="15.75" customHeight="1">
      <c r="E668" s="1"/>
    </row>
    <row r="669" ht="15.75" customHeight="1">
      <c r="E669" s="1"/>
    </row>
    <row r="670" ht="15.75" customHeight="1">
      <c r="E670" s="1"/>
    </row>
    <row r="671" ht="15.75" customHeight="1">
      <c r="E671" s="1"/>
    </row>
    <row r="672" ht="15.75" customHeight="1">
      <c r="E672" s="1"/>
    </row>
    <row r="673" ht="15.75" customHeight="1">
      <c r="E673" s="1"/>
    </row>
    <row r="674" ht="15.75" customHeight="1">
      <c r="E674" s="1"/>
    </row>
    <row r="675" ht="15.75" customHeight="1">
      <c r="E675" s="1"/>
    </row>
    <row r="676" ht="15.75" customHeight="1">
      <c r="E676" s="1"/>
    </row>
    <row r="677" ht="15.75" customHeight="1">
      <c r="E677" s="1"/>
    </row>
    <row r="678" ht="15.75" customHeight="1">
      <c r="E678" s="1"/>
    </row>
    <row r="679" ht="15.75" customHeight="1">
      <c r="E679" s="1"/>
    </row>
    <row r="680" ht="15.75" customHeight="1">
      <c r="E680" s="1"/>
    </row>
    <row r="681" ht="15.75" customHeight="1">
      <c r="E681" s="1"/>
    </row>
    <row r="682" ht="15.75" customHeight="1">
      <c r="E682" s="1"/>
    </row>
    <row r="683" ht="15.75" customHeight="1">
      <c r="E683" s="1"/>
    </row>
    <row r="684" ht="15.75" customHeight="1">
      <c r="E684" s="1"/>
    </row>
    <row r="685" ht="15.75" customHeight="1">
      <c r="E685" s="1"/>
    </row>
    <row r="686" ht="15.75" customHeight="1">
      <c r="E686" s="1"/>
    </row>
    <row r="687" ht="15.75" customHeight="1">
      <c r="E687" s="1"/>
    </row>
    <row r="688" ht="15.75" customHeight="1">
      <c r="E688" s="1"/>
    </row>
    <row r="689" ht="15.75" customHeight="1">
      <c r="E689" s="1"/>
    </row>
    <row r="690" ht="15.75" customHeight="1">
      <c r="E690" s="1"/>
    </row>
    <row r="691" ht="15.75" customHeight="1">
      <c r="E691" s="1"/>
    </row>
    <row r="692" ht="15.75" customHeight="1">
      <c r="E692" s="1"/>
    </row>
    <row r="693" ht="15.75" customHeight="1">
      <c r="E693" s="1"/>
    </row>
    <row r="694" ht="15.75" customHeight="1">
      <c r="E694" s="1"/>
    </row>
    <row r="695" ht="15.75" customHeight="1">
      <c r="E695" s="1"/>
    </row>
    <row r="696" ht="15.75" customHeight="1">
      <c r="E696" s="1"/>
    </row>
    <row r="697" ht="15.75" customHeight="1">
      <c r="E697" s="1"/>
    </row>
    <row r="698" ht="15.75" customHeight="1">
      <c r="E698" s="1"/>
    </row>
    <row r="699" ht="15.75" customHeight="1">
      <c r="E699" s="1"/>
    </row>
    <row r="700" ht="15.75" customHeight="1">
      <c r="E700" s="1"/>
    </row>
    <row r="701" ht="15.75" customHeight="1">
      <c r="E701" s="1"/>
    </row>
    <row r="702" ht="15.75" customHeight="1">
      <c r="E702" s="1"/>
    </row>
    <row r="703" ht="15.75" customHeight="1">
      <c r="E703" s="1"/>
    </row>
    <row r="704" ht="15.75" customHeight="1">
      <c r="E704" s="1"/>
    </row>
    <row r="705" ht="15.75" customHeight="1">
      <c r="E705" s="1"/>
    </row>
    <row r="706" ht="15.75" customHeight="1">
      <c r="E706" s="1"/>
    </row>
    <row r="707" ht="15.75" customHeight="1">
      <c r="E707" s="1"/>
    </row>
    <row r="708" ht="15.75" customHeight="1">
      <c r="E708" s="1"/>
    </row>
    <row r="709" ht="15.75" customHeight="1">
      <c r="E709" s="1"/>
    </row>
    <row r="710" ht="15.75" customHeight="1">
      <c r="E710" s="1"/>
    </row>
    <row r="711" ht="15.75" customHeight="1">
      <c r="E711" s="1"/>
    </row>
    <row r="712" ht="15.75" customHeight="1">
      <c r="E712" s="1"/>
    </row>
    <row r="713" ht="15.75" customHeight="1">
      <c r="E713" s="1"/>
    </row>
    <row r="714" ht="15.75" customHeight="1">
      <c r="E714" s="1"/>
    </row>
    <row r="715" ht="15.75" customHeight="1">
      <c r="E715" s="1"/>
    </row>
    <row r="716" ht="15.75" customHeight="1">
      <c r="E716" s="1"/>
    </row>
    <row r="717" ht="15.75" customHeight="1">
      <c r="E717" s="1"/>
    </row>
    <row r="718" ht="15.75" customHeight="1">
      <c r="E718" s="1"/>
    </row>
    <row r="719" ht="15.75" customHeight="1">
      <c r="E719" s="1"/>
    </row>
    <row r="720" ht="15.75" customHeight="1">
      <c r="E720" s="1"/>
    </row>
    <row r="721" ht="15.75" customHeight="1">
      <c r="E721" s="1"/>
    </row>
    <row r="722" ht="15.75" customHeight="1">
      <c r="E722" s="1"/>
    </row>
    <row r="723" ht="15.75" customHeight="1">
      <c r="E723" s="1"/>
    </row>
    <row r="724" ht="15.75" customHeight="1">
      <c r="E724" s="1"/>
    </row>
    <row r="725" ht="15.75" customHeight="1">
      <c r="E725" s="1"/>
    </row>
    <row r="726" ht="15.75" customHeight="1">
      <c r="E726" s="1"/>
    </row>
    <row r="727" ht="15.75" customHeight="1">
      <c r="E727" s="1"/>
    </row>
    <row r="728" ht="15.75" customHeight="1">
      <c r="E728" s="1"/>
    </row>
    <row r="729" ht="15.75" customHeight="1">
      <c r="E729" s="1"/>
    </row>
    <row r="730" ht="15.75" customHeight="1">
      <c r="E730" s="1"/>
    </row>
    <row r="731" ht="15.75" customHeight="1">
      <c r="E731" s="1"/>
    </row>
    <row r="732" ht="15.75" customHeight="1">
      <c r="E732" s="1"/>
    </row>
    <row r="733" ht="15.75" customHeight="1">
      <c r="E733" s="1"/>
    </row>
    <row r="734" ht="15.75" customHeight="1">
      <c r="E734" s="1"/>
    </row>
    <row r="735" ht="15.75" customHeight="1">
      <c r="E735" s="1"/>
    </row>
    <row r="736" ht="15.75" customHeight="1">
      <c r="E736" s="1"/>
    </row>
    <row r="737" ht="15.75" customHeight="1">
      <c r="E737" s="1"/>
    </row>
    <row r="738" ht="15.75" customHeight="1">
      <c r="E738" s="1"/>
    </row>
    <row r="739" ht="15.75" customHeight="1">
      <c r="E739" s="1"/>
    </row>
    <row r="740" ht="15.75" customHeight="1">
      <c r="E740" s="1"/>
    </row>
    <row r="741" ht="15.75" customHeight="1">
      <c r="E741" s="1"/>
    </row>
    <row r="742" ht="15.75" customHeight="1">
      <c r="E742" s="1"/>
    </row>
    <row r="743" ht="15.75" customHeight="1">
      <c r="E743" s="1"/>
    </row>
    <row r="744" ht="15.75" customHeight="1">
      <c r="E744" s="1"/>
    </row>
    <row r="745" ht="15.75" customHeight="1">
      <c r="E745" s="1"/>
    </row>
    <row r="746" ht="15.75" customHeight="1">
      <c r="E746" s="1"/>
    </row>
    <row r="747" ht="15.75" customHeight="1">
      <c r="E747" s="1"/>
    </row>
    <row r="748" ht="15.75" customHeight="1">
      <c r="E748" s="1"/>
    </row>
    <row r="749" ht="15.75" customHeight="1">
      <c r="E749" s="1"/>
    </row>
    <row r="750" ht="15.75" customHeight="1">
      <c r="E750" s="1"/>
    </row>
    <row r="751" ht="15.75" customHeight="1">
      <c r="E751" s="1"/>
    </row>
    <row r="752" ht="15.75" customHeight="1">
      <c r="E752" s="1"/>
    </row>
    <row r="753" ht="15.75" customHeight="1">
      <c r="E753" s="1"/>
    </row>
    <row r="754" ht="15.75" customHeight="1">
      <c r="E754" s="1"/>
    </row>
    <row r="755" ht="15.75" customHeight="1">
      <c r="E755" s="1"/>
    </row>
    <row r="756" ht="15.75" customHeight="1">
      <c r="E756" s="1"/>
    </row>
    <row r="757" ht="15.75" customHeight="1">
      <c r="E757" s="1"/>
    </row>
    <row r="758" ht="15.75" customHeight="1">
      <c r="E758" s="1"/>
    </row>
    <row r="759" ht="15.75" customHeight="1">
      <c r="E759" s="1"/>
    </row>
    <row r="760" ht="15.75" customHeight="1">
      <c r="E760" s="1"/>
    </row>
    <row r="761" ht="15.75" customHeight="1">
      <c r="E761" s="1"/>
    </row>
    <row r="762" ht="15.75" customHeight="1">
      <c r="E762" s="1"/>
    </row>
    <row r="763" ht="15.75" customHeight="1">
      <c r="E763" s="1"/>
    </row>
    <row r="764" ht="15.75" customHeight="1">
      <c r="E764" s="1"/>
    </row>
    <row r="765" ht="15.75" customHeight="1">
      <c r="E765" s="1"/>
    </row>
    <row r="766" ht="15.75" customHeight="1">
      <c r="E766" s="1"/>
    </row>
    <row r="767" ht="15.75" customHeight="1">
      <c r="E767" s="1"/>
    </row>
    <row r="768" ht="15.75" customHeight="1">
      <c r="E768" s="1"/>
    </row>
    <row r="769" ht="15.75" customHeight="1">
      <c r="E769" s="1"/>
    </row>
    <row r="770" ht="15.75" customHeight="1">
      <c r="E770" s="1"/>
    </row>
    <row r="771" ht="15.75" customHeight="1">
      <c r="E771" s="1"/>
    </row>
    <row r="772" ht="15.75" customHeight="1">
      <c r="E772" s="1"/>
    </row>
    <row r="773" ht="15.75" customHeight="1">
      <c r="E773" s="1"/>
    </row>
    <row r="774" ht="15.75" customHeight="1">
      <c r="E774" s="1"/>
    </row>
    <row r="775" ht="15.75" customHeight="1">
      <c r="E775" s="1"/>
    </row>
    <row r="776" ht="15.75" customHeight="1">
      <c r="E776" s="1"/>
    </row>
    <row r="777" ht="15.75" customHeight="1">
      <c r="E777" s="1"/>
    </row>
    <row r="778" ht="15.75" customHeight="1">
      <c r="E778" s="1"/>
    </row>
    <row r="779" ht="15.75" customHeight="1">
      <c r="E779" s="1"/>
    </row>
    <row r="780" ht="15.75" customHeight="1">
      <c r="E780" s="1"/>
    </row>
    <row r="781" ht="15.75" customHeight="1">
      <c r="E781" s="1"/>
    </row>
    <row r="782" ht="15.75" customHeight="1">
      <c r="E782" s="1"/>
    </row>
    <row r="783" ht="15.75" customHeight="1">
      <c r="E783" s="1"/>
    </row>
    <row r="784" ht="15.75" customHeight="1">
      <c r="E784" s="1"/>
    </row>
    <row r="785" ht="15.75" customHeight="1">
      <c r="E785" s="1"/>
    </row>
    <row r="786" ht="15.75" customHeight="1">
      <c r="E786" s="1"/>
    </row>
    <row r="787" ht="15.75" customHeight="1">
      <c r="E787" s="1"/>
    </row>
    <row r="788" ht="15.75" customHeight="1">
      <c r="E788" s="1"/>
    </row>
    <row r="789" ht="15.75" customHeight="1">
      <c r="E789" s="1"/>
    </row>
    <row r="790" ht="15.75" customHeight="1">
      <c r="E790" s="1"/>
    </row>
    <row r="791" ht="15.75" customHeight="1">
      <c r="E791" s="1"/>
    </row>
    <row r="792" ht="15.75" customHeight="1">
      <c r="E792" s="1"/>
    </row>
    <row r="793" ht="15.75" customHeight="1">
      <c r="E793" s="1"/>
    </row>
    <row r="794" ht="15.75" customHeight="1">
      <c r="E794" s="1"/>
    </row>
    <row r="795" ht="15.75" customHeight="1">
      <c r="E795" s="1"/>
    </row>
    <row r="796" ht="15.75" customHeight="1">
      <c r="E796" s="1"/>
    </row>
    <row r="797" ht="15.75" customHeight="1">
      <c r="E797" s="1"/>
    </row>
    <row r="798" ht="15.75" customHeight="1">
      <c r="E798" s="1"/>
    </row>
    <row r="799" ht="15.75" customHeight="1">
      <c r="E799" s="1"/>
    </row>
    <row r="800" ht="15.75" customHeight="1">
      <c r="E800" s="1"/>
    </row>
    <row r="801" ht="15.75" customHeight="1">
      <c r="E801" s="1"/>
    </row>
    <row r="802" ht="15.75" customHeight="1">
      <c r="E802" s="1"/>
    </row>
    <row r="803" ht="15.75" customHeight="1">
      <c r="E803" s="1"/>
    </row>
    <row r="804" ht="15.75" customHeight="1">
      <c r="E804" s="1"/>
    </row>
    <row r="805" ht="15.75" customHeight="1">
      <c r="E805" s="1"/>
    </row>
    <row r="806" ht="15.75" customHeight="1">
      <c r="E806" s="1"/>
    </row>
    <row r="807" ht="15.75" customHeight="1">
      <c r="E807" s="1"/>
    </row>
    <row r="808" ht="15.75" customHeight="1">
      <c r="E808" s="1"/>
    </row>
    <row r="809" ht="15.75" customHeight="1">
      <c r="E809" s="1"/>
    </row>
    <row r="810" ht="15.75" customHeight="1">
      <c r="E810" s="1"/>
    </row>
    <row r="811" ht="15.75" customHeight="1">
      <c r="E811" s="1"/>
    </row>
    <row r="812" ht="15.75" customHeight="1">
      <c r="E812" s="1"/>
    </row>
    <row r="813" ht="15.75" customHeight="1">
      <c r="E813" s="1"/>
    </row>
    <row r="814" ht="15.75" customHeight="1">
      <c r="E814" s="1"/>
    </row>
    <row r="815" ht="15.75" customHeight="1">
      <c r="E815" s="1"/>
    </row>
    <row r="816" ht="15.75" customHeight="1">
      <c r="E816" s="1"/>
    </row>
    <row r="817" ht="15.75" customHeight="1">
      <c r="E817" s="1"/>
    </row>
    <row r="818" ht="15.75" customHeight="1">
      <c r="E818" s="1"/>
    </row>
    <row r="819" ht="15.75" customHeight="1">
      <c r="E819" s="1"/>
    </row>
    <row r="820" ht="15.75" customHeight="1">
      <c r="E820" s="1"/>
    </row>
    <row r="821" ht="15.75" customHeight="1">
      <c r="E821" s="1"/>
    </row>
    <row r="822" ht="15.75" customHeight="1">
      <c r="E822" s="1"/>
    </row>
    <row r="823" ht="15.75" customHeight="1">
      <c r="E823" s="1"/>
    </row>
    <row r="824" ht="15.75" customHeight="1">
      <c r="E824" s="1"/>
    </row>
    <row r="825" ht="15.75" customHeight="1">
      <c r="E825" s="1"/>
    </row>
    <row r="826" ht="15.75" customHeight="1">
      <c r="E826" s="1"/>
    </row>
    <row r="827" ht="15.75" customHeight="1">
      <c r="E827" s="1"/>
    </row>
    <row r="828" ht="15.75" customHeight="1">
      <c r="E828" s="1"/>
    </row>
    <row r="829" ht="15.75" customHeight="1">
      <c r="E829" s="1"/>
    </row>
    <row r="830" ht="15.75" customHeight="1">
      <c r="E830" s="1"/>
    </row>
    <row r="831" ht="15.75" customHeight="1">
      <c r="E831" s="1"/>
    </row>
    <row r="832" ht="15.75" customHeight="1">
      <c r="E832" s="1"/>
    </row>
    <row r="833" ht="15.75" customHeight="1">
      <c r="E833" s="1"/>
    </row>
    <row r="834" ht="15.75" customHeight="1">
      <c r="E834" s="1"/>
    </row>
    <row r="835" ht="15.75" customHeight="1">
      <c r="E835" s="1"/>
    </row>
    <row r="836" ht="15.75" customHeight="1">
      <c r="E836" s="1"/>
    </row>
    <row r="837" ht="15.75" customHeight="1">
      <c r="E837" s="1"/>
    </row>
    <row r="838" ht="15.75" customHeight="1">
      <c r="E838" s="1"/>
    </row>
    <row r="839" ht="15.75" customHeight="1">
      <c r="E839" s="1"/>
    </row>
    <row r="840" ht="15.75" customHeight="1">
      <c r="E840" s="1"/>
    </row>
    <row r="841" ht="15.75" customHeight="1">
      <c r="E841" s="1"/>
    </row>
    <row r="842" ht="15.75" customHeight="1">
      <c r="E842" s="1"/>
    </row>
    <row r="843" ht="15.75" customHeight="1">
      <c r="E843" s="1"/>
    </row>
    <row r="844" ht="15.75" customHeight="1">
      <c r="E844" s="1"/>
    </row>
    <row r="845" ht="15.75" customHeight="1">
      <c r="E845" s="1"/>
    </row>
    <row r="846" ht="15.75" customHeight="1">
      <c r="E846" s="1"/>
    </row>
    <row r="847" ht="15.75" customHeight="1">
      <c r="E847" s="1"/>
    </row>
    <row r="848" ht="15.75" customHeight="1">
      <c r="E848" s="1"/>
    </row>
    <row r="849" ht="15.75" customHeight="1">
      <c r="E849" s="1"/>
    </row>
    <row r="850" ht="15.75" customHeight="1">
      <c r="E850" s="1"/>
    </row>
    <row r="851" ht="15.75" customHeight="1">
      <c r="E851" s="1"/>
    </row>
    <row r="852" ht="15.75" customHeight="1">
      <c r="E852" s="1"/>
    </row>
    <row r="853" ht="15.75" customHeight="1">
      <c r="E853" s="1"/>
    </row>
    <row r="854" ht="15.75" customHeight="1">
      <c r="E854" s="1"/>
    </row>
    <row r="855" ht="15.75" customHeight="1">
      <c r="E855" s="1"/>
    </row>
    <row r="856" ht="15.75" customHeight="1">
      <c r="E856" s="1"/>
    </row>
    <row r="857" ht="15.75" customHeight="1">
      <c r="E857" s="1"/>
    </row>
    <row r="858" ht="15.75" customHeight="1">
      <c r="E858" s="1"/>
    </row>
    <row r="859" ht="15.75" customHeight="1">
      <c r="E859" s="1"/>
    </row>
    <row r="860" ht="15.75" customHeight="1">
      <c r="E860" s="1"/>
    </row>
    <row r="861" ht="15.75" customHeight="1">
      <c r="E861" s="1"/>
    </row>
    <row r="862" ht="15.75" customHeight="1">
      <c r="E862" s="1"/>
    </row>
    <row r="863" ht="15.75" customHeight="1">
      <c r="E863" s="1"/>
    </row>
    <row r="864" ht="15.75" customHeight="1">
      <c r="E864" s="1"/>
    </row>
    <row r="865" ht="15.75" customHeight="1">
      <c r="E865" s="1"/>
    </row>
    <row r="866" ht="15.75" customHeight="1">
      <c r="E866" s="1"/>
    </row>
    <row r="867" ht="15.75" customHeight="1">
      <c r="E867" s="1"/>
    </row>
    <row r="868" ht="15.75" customHeight="1">
      <c r="E868" s="1"/>
    </row>
    <row r="869" ht="15.75" customHeight="1">
      <c r="E869" s="1"/>
    </row>
    <row r="870" ht="15.75" customHeight="1">
      <c r="E870" s="1"/>
    </row>
    <row r="871" ht="15.75" customHeight="1">
      <c r="E871" s="1"/>
    </row>
    <row r="872" ht="15.75" customHeight="1">
      <c r="E872" s="1"/>
    </row>
    <row r="873" ht="15.75" customHeight="1">
      <c r="E873" s="1"/>
    </row>
    <row r="874" ht="15.75" customHeight="1">
      <c r="E874" s="1"/>
    </row>
    <row r="875" ht="15.75" customHeight="1">
      <c r="E875" s="1"/>
    </row>
    <row r="876" ht="15.75" customHeight="1">
      <c r="E876" s="1"/>
    </row>
    <row r="877" ht="15.75" customHeight="1">
      <c r="E877" s="1"/>
    </row>
    <row r="878" ht="15.75" customHeight="1">
      <c r="E878" s="1"/>
    </row>
    <row r="879" ht="15.75" customHeight="1">
      <c r="E879" s="1"/>
    </row>
    <row r="880" ht="15.75" customHeight="1">
      <c r="E880" s="1"/>
    </row>
    <row r="881" ht="15.75" customHeight="1">
      <c r="E881" s="1"/>
    </row>
    <row r="882" ht="15.75" customHeight="1">
      <c r="E882" s="1"/>
    </row>
    <row r="883" ht="15.75" customHeight="1">
      <c r="E883" s="1"/>
    </row>
    <row r="884" ht="15.75" customHeight="1">
      <c r="E884" s="1"/>
    </row>
    <row r="885" ht="15.75" customHeight="1">
      <c r="E885" s="1"/>
    </row>
    <row r="886" ht="15.75" customHeight="1">
      <c r="E886" s="1"/>
    </row>
    <row r="887" ht="15.75" customHeight="1">
      <c r="E887" s="1"/>
    </row>
    <row r="888" ht="15.75" customHeight="1">
      <c r="E888" s="1"/>
    </row>
    <row r="889" ht="15.75" customHeight="1">
      <c r="E889" s="1"/>
    </row>
    <row r="890" ht="15.75" customHeight="1">
      <c r="E890" s="1"/>
    </row>
    <row r="891" ht="15.75" customHeight="1">
      <c r="E891" s="1"/>
    </row>
    <row r="892" ht="15.75" customHeight="1">
      <c r="E892" s="1"/>
    </row>
    <row r="893" ht="15.75" customHeight="1">
      <c r="E893" s="1"/>
    </row>
    <row r="894" ht="15.75" customHeight="1">
      <c r="E894" s="1"/>
    </row>
    <row r="895" ht="15.75" customHeight="1">
      <c r="E895" s="1"/>
    </row>
    <row r="896" ht="15.75" customHeight="1">
      <c r="E896" s="1"/>
    </row>
    <row r="897" ht="15.75" customHeight="1">
      <c r="E897" s="1"/>
    </row>
    <row r="898" ht="15.75" customHeight="1">
      <c r="E898" s="1"/>
    </row>
    <row r="899" ht="15.75" customHeight="1">
      <c r="E899" s="1"/>
    </row>
    <row r="900" ht="15.75" customHeight="1">
      <c r="E900" s="1"/>
    </row>
    <row r="901" ht="15.75" customHeight="1">
      <c r="E901" s="1"/>
    </row>
    <row r="902" ht="15.75" customHeight="1">
      <c r="E902" s="1"/>
    </row>
    <row r="903" ht="15.75" customHeight="1">
      <c r="E903" s="1"/>
    </row>
    <row r="904" ht="15.75" customHeight="1">
      <c r="E904" s="1"/>
    </row>
    <row r="905" ht="15.75" customHeight="1">
      <c r="E905" s="1"/>
    </row>
    <row r="906" ht="15.75" customHeight="1">
      <c r="E906" s="1"/>
    </row>
    <row r="907" ht="15.75" customHeight="1">
      <c r="E907" s="1"/>
    </row>
    <row r="908" ht="15.75" customHeight="1">
      <c r="E908" s="1"/>
    </row>
    <row r="909" ht="15.75" customHeight="1">
      <c r="E909" s="1"/>
    </row>
    <row r="910" ht="15.75" customHeight="1">
      <c r="E910" s="1"/>
    </row>
    <row r="911" ht="15.75" customHeight="1">
      <c r="E911" s="1"/>
    </row>
    <row r="912" ht="15.75" customHeight="1">
      <c r="E912" s="1"/>
    </row>
    <row r="913" ht="15.75" customHeight="1">
      <c r="E913" s="1"/>
    </row>
    <row r="914" ht="15.75" customHeight="1">
      <c r="E914" s="1"/>
    </row>
    <row r="915" ht="15.75" customHeight="1">
      <c r="E915" s="1"/>
    </row>
    <row r="916" ht="15.75" customHeight="1">
      <c r="E916" s="1"/>
    </row>
    <row r="917" ht="15.75" customHeight="1">
      <c r="E917" s="1"/>
    </row>
    <row r="918" ht="15.75" customHeight="1">
      <c r="E918" s="1"/>
    </row>
    <row r="919" ht="15.75" customHeight="1">
      <c r="E919" s="1"/>
    </row>
    <row r="920" ht="15.75" customHeight="1">
      <c r="E920" s="1"/>
    </row>
    <row r="921" ht="15.75" customHeight="1">
      <c r="E921" s="1"/>
    </row>
    <row r="922" ht="15.75" customHeight="1">
      <c r="E922" s="1"/>
    </row>
    <row r="923" ht="15.75" customHeight="1">
      <c r="E923" s="1"/>
    </row>
    <row r="924" ht="15.75" customHeight="1">
      <c r="E924" s="1"/>
    </row>
    <row r="925" ht="15.75" customHeight="1">
      <c r="E925" s="1"/>
    </row>
    <row r="926" ht="15.75" customHeight="1">
      <c r="E926" s="1"/>
    </row>
    <row r="927" ht="15.75" customHeight="1">
      <c r="E927" s="1"/>
    </row>
    <row r="928" ht="15.75" customHeight="1">
      <c r="E928" s="1"/>
    </row>
    <row r="929" ht="15.75" customHeight="1">
      <c r="E929" s="1"/>
    </row>
    <row r="930" ht="15.75" customHeight="1">
      <c r="E930" s="1"/>
    </row>
    <row r="931" ht="15.75" customHeight="1">
      <c r="E931" s="1"/>
    </row>
    <row r="932" ht="15.75" customHeight="1">
      <c r="E932" s="1"/>
    </row>
    <row r="933" ht="15.75" customHeight="1">
      <c r="E933" s="1"/>
    </row>
    <row r="934" ht="15.75" customHeight="1">
      <c r="E934" s="1"/>
    </row>
    <row r="935" ht="15.75" customHeight="1">
      <c r="E935" s="1"/>
    </row>
    <row r="936" ht="15.75" customHeight="1">
      <c r="E936" s="1"/>
    </row>
    <row r="937" ht="15.75" customHeight="1">
      <c r="E937" s="1"/>
    </row>
    <row r="938" ht="15.75" customHeight="1">
      <c r="E938" s="1"/>
    </row>
    <row r="939" ht="15.75" customHeight="1">
      <c r="E939" s="1"/>
    </row>
    <row r="940" ht="15.75" customHeight="1">
      <c r="E940" s="1"/>
    </row>
    <row r="941" ht="15.75" customHeight="1">
      <c r="E941" s="1"/>
    </row>
    <row r="942" ht="15.75" customHeight="1">
      <c r="E942" s="1"/>
    </row>
    <row r="943" ht="15.75" customHeight="1">
      <c r="E943" s="1"/>
    </row>
    <row r="944" ht="15.75" customHeight="1">
      <c r="E944" s="1"/>
    </row>
    <row r="945" ht="15.75" customHeight="1">
      <c r="E945" s="1"/>
    </row>
    <row r="946" ht="15.75" customHeight="1">
      <c r="E946" s="1"/>
    </row>
    <row r="947" ht="15.75" customHeight="1">
      <c r="E947" s="1"/>
    </row>
    <row r="948" ht="15.75" customHeight="1">
      <c r="E948" s="1"/>
    </row>
    <row r="949" ht="15.75" customHeight="1">
      <c r="E949" s="1"/>
    </row>
    <row r="950" ht="15.75" customHeight="1">
      <c r="E950" s="1"/>
    </row>
    <row r="951" ht="15.75" customHeight="1">
      <c r="E951" s="1"/>
    </row>
    <row r="952" ht="15.75" customHeight="1">
      <c r="E952" s="1"/>
    </row>
    <row r="953" ht="15.75" customHeight="1">
      <c r="E953" s="1"/>
    </row>
    <row r="954" ht="15.75" customHeight="1">
      <c r="E954" s="1"/>
    </row>
    <row r="955" ht="15.75" customHeight="1">
      <c r="E955" s="1"/>
    </row>
    <row r="956" ht="15.75" customHeight="1">
      <c r="E956" s="1"/>
    </row>
    <row r="957" ht="15.75" customHeight="1">
      <c r="E957" s="1"/>
    </row>
    <row r="958" ht="15.75" customHeight="1">
      <c r="E958" s="1"/>
    </row>
    <row r="959" ht="15.75" customHeight="1">
      <c r="E959" s="1"/>
    </row>
    <row r="960" ht="15.75" customHeight="1">
      <c r="E960" s="1"/>
    </row>
    <row r="961" ht="15.75" customHeight="1">
      <c r="E961" s="1"/>
    </row>
    <row r="962" ht="15.75" customHeight="1">
      <c r="E962" s="1"/>
    </row>
    <row r="963" ht="15.75" customHeight="1">
      <c r="E963" s="1"/>
    </row>
    <row r="964" ht="15.75" customHeight="1">
      <c r="E964" s="1"/>
    </row>
    <row r="965" ht="15.75" customHeight="1">
      <c r="E965" s="1"/>
    </row>
    <row r="966" ht="15.75" customHeight="1">
      <c r="E966" s="1"/>
    </row>
    <row r="967" ht="15.75" customHeight="1">
      <c r="E967" s="1"/>
    </row>
    <row r="968" ht="15.75" customHeight="1">
      <c r="E968" s="1"/>
    </row>
    <row r="969" ht="15.75" customHeight="1">
      <c r="E969" s="1"/>
    </row>
    <row r="970" ht="15.75" customHeight="1">
      <c r="E970" s="1"/>
    </row>
    <row r="971" ht="15.75" customHeight="1">
      <c r="E971" s="1"/>
    </row>
    <row r="972" ht="15.75" customHeight="1">
      <c r="E972" s="1"/>
    </row>
    <row r="973" ht="15.75" customHeight="1">
      <c r="E973" s="1"/>
    </row>
    <row r="974" ht="15.75" customHeight="1">
      <c r="E974" s="1"/>
    </row>
    <row r="975" ht="15.75" customHeight="1">
      <c r="E975" s="1"/>
    </row>
    <row r="976" ht="15.75" customHeight="1">
      <c r="E976" s="1"/>
    </row>
    <row r="977" ht="15.75" customHeight="1">
      <c r="E977" s="1"/>
    </row>
    <row r="978" ht="15.75" customHeight="1">
      <c r="E978" s="1"/>
    </row>
    <row r="979" ht="15.75" customHeight="1">
      <c r="E979" s="1"/>
    </row>
    <row r="980" ht="15.75" customHeight="1">
      <c r="E980" s="1"/>
    </row>
    <row r="981" ht="15.75" customHeight="1">
      <c r="E981" s="1"/>
    </row>
    <row r="982" ht="15.75" customHeight="1">
      <c r="E982" s="1"/>
    </row>
    <row r="983" ht="15.75" customHeight="1">
      <c r="E983" s="1"/>
    </row>
    <row r="984" ht="15.75" customHeight="1">
      <c r="E984" s="1"/>
    </row>
    <row r="985" ht="15.75" customHeight="1">
      <c r="E985" s="1"/>
    </row>
    <row r="986" ht="15.75" customHeight="1">
      <c r="E986" s="1"/>
    </row>
    <row r="987" ht="15.75" customHeight="1">
      <c r="E987" s="1"/>
    </row>
    <row r="988" ht="15.75" customHeight="1">
      <c r="E988" s="1"/>
    </row>
    <row r="989" ht="15.75" customHeight="1">
      <c r="E989" s="1"/>
    </row>
    <row r="990" ht="15.75" customHeight="1">
      <c r="E990" s="1"/>
    </row>
    <row r="991" ht="15.75" customHeight="1">
      <c r="E991" s="1"/>
    </row>
    <row r="992" ht="15.75" customHeight="1">
      <c r="E992" s="1"/>
    </row>
    <row r="993" ht="15.75" customHeight="1">
      <c r="E993" s="1"/>
    </row>
    <row r="994" ht="15.75" customHeight="1">
      <c r="E994" s="1"/>
    </row>
    <row r="995" ht="15.75" customHeight="1">
      <c r="E995" s="1"/>
    </row>
    <row r="996" ht="15.75" customHeight="1">
      <c r="E996" s="1"/>
    </row>
    <row r="997" ht="15.75" customHeight="1">
      <c r="E997" s="1"/>
    </row>
    <row r="998" ht="15.75" customHeight="1">
      <c r="E998" s="1"/>
    </row>
    <row r="999" ht="15.75" customHeight="1">
      <c r="E999" s="1"/>
    </row>
    <row r="1000" ht="15.75" customHeight="1">
      <c r="E1000" s="1"/>
    </row>
  </sheetData>
  <printOptions/>
  <pageMargins bottom="0.75" footer="0.0" header="0.0" left="0.7" right="0.7" top="0.75"/>
  <pageSetup orientation="landscape"/>
  <drawing r:id="rId1"/>
</worksheet>
</file>